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activeTab="2"/>
  </bookViews>
  <sheets>
    <sheet name="ARPU" sheetId="1" r:id="rId1"/>
    <sheet name="Av.Rw" sheetId="2" r:id="rId2"/>
    <sheet name="And" sheetId="3" r:id="rId3"/>
    <sheet name="Boosters_And" sheetId="4" r:id="rId4"/>
    <sheet name="IOS" sheetId="5" r:id="rId5"/>
    <sheet name="Boosters_IOS" sheetId="6" r:id="rId6"/>
  </sheets>
  <definedNames>
    <definedName name="_xlnm._FilterDatabase" localSheetId="4" hidden="1">IOS!$M$2:$M$1217</definedName>
  </definedNames>
  <calcPr calcId="152511"/>
</workbook>
</file>

<file path=xl/sharedStrings.xml><?xml version="1.0" encoding="utf-8"?>
<sst xmlns="http://schemas.openxmlformats.org/spreadsheetml/2006/main" count="50" uniqueCount="50">
  <si>
    <t>Level</t>
  </si>
  <si>
    <t xml:space="preserve"> ARPU AND</t>
  </si>
  <si>
    <t>ARPU IOS</t>
  </si>
  <si>
    <t>AND_Avg Rwr</t>
  </si>
  <si>
    <t>IOS_Avg Rwr</t>
  </si>
  <si>
    <t>Segment</t>
  </si>
  <si>
    <t>Start</t>
  </si>
  <si>
    <t>Complete</t>
  </si>
  <si>
    <t>Fail</t>
  </si>
  <si>
    <t>Try again</t>
  </si>
  <si>
    <t>LevelType</t>
  </si>
  <si>
    <t>Active users</t>
  </si>
  <si>
    <t>Complete rate</t>
  </si>
  <si>
    <t>Fail Rate</t>
  </si>
  <si>
    <t>Drop 1</t>
  </si>
  <si>
    <t>Uncomplete</t>
  </si>
  <si>
    <t>Drop 2</t>
  </si>
  <si>
    <t>%</t>
  </si>
  <si>
    <t>avarage_attempt</t>
  </si>
  <si>
    <t>Total $</t>
  </si>
  <si>
    <t>ARPU</t>
  </si>
  <si>
    <t>%_used_booster</t>
  </si>
  <si>
    <t>avg_used_booster</t>
  </si>
  <si>
    <t>avg_owned_booster</t>
  </si>
  <si>
    <t>Avg. Thinking Time</t>
  </si>
  <si>
    <t>Avg.Rewarded</t>
  </si>
  <si>
    <t>Avg,Coin</t>
  </si>
  <si>
    <t>coin owned</t>
  </si>
  <si>
    <t>Normal</t>
  </si>
  <si>
    <t>Hard</t>
  </si>
  <si>
    <t>Very Hard</t>
  </si>
  <si>
    <t>Column 1</t>
  </si>
  <si>
    <t>Column 2</t>
  </si>
  <si>
    <t>Column 3</t>
  </si>
  <si>
    <t>Total USED Booster</t>
  </si>
  <si>
    <t>Booster A used</t>
  </si>
  <si>
    <t>Booster B used</t>
  </si>
  <si>
    <t>Booster C used</t>
  </si>
  <si>
    <t>%_A_used</t>
  </si>
  <si>
    <t>%_B_used</t>
  </si>
  <si>
    <t>%_C_used</t>
  </si>
  <si>
    <t>Total not USED Booster</t>
  </si>
  <si>
    <t>Total OWNED Booster</t>
  </si>
  <si>
    <t>Booster A owned</t>
  </si>
  <si>
    <t>Booster B owned</t>
  </si>
  <si>
    <t>Booster C owned</t>
  </si>
  <si>
    <t>Total Rewarded</t>
  </si>
  <si>
    <t>%_A_owned</t>
  </si>
  <si>
    <t>%_B_owned</t>
  </si>
  <si>
    <t>%_C_owned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</si>
</sst>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&quot;$&quot;#,##0.00"/>
    <numFmt numFmtId="166" formatCode="0.00000"/>
    <numFmt numFmtId="367" formatCode="_(&quot;$&quot;* #,##0.00_);_(&quot;$&quot;* \(#,##0.00\);_(&quot;$&quot;* &quot;-&quot;??_);_(@_)"/>
  </numFmts>
  <fonts count="70">
    <font>
      <sz val="10.0"/>
      <name val="Arial"/>
      <scheme val="minor"/>
      <color rgb="FF000000"/>
    </font>
    <font>
      <sz val="11.0"/>
      <name val="Arial"/>
      <color theme="1"/>
    </font>
    <font>
      <b/>
      <sz val="11.0"/>
      <name val="Segoe UI"/>
      <color theme="1"/>
    </font>
    <font>
      <b/>
      <sz val="11.0"/>
      <name val="Arial"/>
      <color theme="1"/>
    </font>
    <font>
      <sz val="11.0"/>
      <name val="Segoe UI"/>
      <color theme="1"/>
    </font>
    <font>
      <sz val="16.0"/>
      <name val="Arial"/>
      <color rgb="FF434343"/>
    </font>
    <font>
      <sz val="16.0"/>
      <name val="Roboto"/>
      <color rgb="FF383A3C"/>
    </font>
    <font>
      <sz val="11.0"/>
      <name val="&quot;Segoe UI&quot;"/>
      <color theme="1"/>
    </font>
    <font>
      <sz val="11.0"/>
      <name val="&quot;Segoe UI&quot;"/>
      <color rgb="FF000000"/>
    </font>
    <font>
      <b/>
      <sz val="11.0"/>
      <name val="Arial"/>
      <color rgb="FFFFFFFF"/>
    </font>
    <font>
      <sz val="11.0"/>
      <name val="Arial"/>
      <color rgb="FF000000"/>
    </font>
    <font>
      <b/>
      <sz val="11.0"/>
      <name val="&quot;Segoe UI&quot;"/>
      <color rgb="FF000000"/>
    </font>
    <font>
      <b/>
      <sz val="11.0"/>
      <name val="Arial"/>
      <color rgb="FF000000"/>
    </font>
    <font>
      <b/>
      <sz val="11.0"/>
      <name val="Arial"/>
      <scheme val="minor"/>
      <color rgb="FF000000"/>
    </font>
    <font>
      <sz val="11.0"/>
      <name val="Arial"/>
      <color rgb="FFFFFFFF"/>
    </font>
    <font>
      <sz val="16.0"/>
      <name val="&quot;Segoe UI&quot;"/>
      <color rgb="FF000000"/>
    </font>
    <font>
      <sz val="16.0"/>
      <name val="Arial"/>
      <scheme val="minor"/>
      <color theme="1"/>
    </font>
    <font>
      <sz val="16.0"/>
      <name val="Arial"/>
      <color theme="1"/>
    </font>
    <font>
      <sz val="16.0"/>
      <name val="Roboto"/>
      <color rgb="FF4C535E"/>
    </font>
    <font>
      <sz val="16.0"/>
      <name val="Arial"/>
      <scheme val="minor"/>
      <color rgb="FF000000"/>
    </font>
    <font>
      <sz val="16.0"/>
      <name val="Roboto"/>
      <color rgb="FF363F32"/>
    </font>
    <font>
      <sz val="16.0"/>
      <name val="Roboto"/>
      <color rgb="FF434343"/>
    </font>
    <font>
      <sz val="11.0"/>
      <name val="Arial"/>
      <scheme val="minor"/>
      <color theme="1"/>
    </font>
    <font>
      <sz val="11.0"/>
      <name val="Roboto"/>
      <color rgb="FF383A3C"/>
    </font>
    <font>
      <sz val="11.0"/>
      <name val="Roboto"/>
      <color rgb="FF4C535E"/>
    </font>
    <font>
      <sz val="11.0"/>
      <name val="Roboto"/>
      <color rgb="FF363F32"/>
    </font>
    <font>
      <sz val="15.0"/>
      <name val="Arial"/>
      <color rgb="FF434343"/>
    </font>
    <font>
      <sz val="11.0"/>
      <name val="Segoe UI"/>
      <color rgb="FF000000"/>
    </font>
    <font>
      <sz val="16.0"/>
      <name val="Segoe UI"/>
      <color rgb="FF000000"/>
    </font>
    <font>
      <sz val="11.0"/>
      <name val="Arial"/>
      <scheme val="minor"/>
      <color theme="10"/>
    </font>
    <font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b/>
      <sz val="18.0"/>
      <name val="Arial"/>
      <color rgb="FF000000"/>
    </font>
    <font>
      <sz val="14.0"/>
      <name val="Arial"/>
      <color rgb="FF757575"/>
    </font>
    <font>
      <sz val="10.0"/>
      <name val="Arial"/>
      <color rgb="FF000000"/>
    </font>
    <font>
      <b/>
      <sz val="14.0"/>
      <name val="Arial"/>
      <color rgb="FF000000"/>
    </font>
    <font>
      <sz val="11.0"/>
      <name val="Arial"/>
      <color rgb="FF1A1A1A"/>
    </font>
    <font>
      <sz val="14.0"/>
      <name val="Arial"/>
      <color rgb="FF000000"/>
    </font>
    <font>
      <sz val="4.0"/>
      <name val="Arial"/>
      <scheme val="minor"/>
      <color rgb="FF000000"/>
    </font>
    <font>
      <b/>
      <sz val="4.0"/>
      <name val="Arial"/>
      <scheme val="minor"/>
      <color theme="1"/>
    </font>
    <font>
      <sz val="4.0"/>
      <name val="Arial"/>
      <scheme val="minor"/>
      <color theme="1"/>
    </font>
    <font>
      <b/>
      <sz val="4.0"/>
      <name val="Arial"/>
      <scheme val="minor"/>
      <color theme="4" tint="-0.249980"/>
    </font>
    <font>
      <sz val="4.0"/>
      <name val="Arial"/>
      <scheme val="minor"/>
      <color theme="4" tint="-0.249980"/>
    </font>
    <font>
      <b/>
      <sz val="4.0"/>
      <name val="Arial"/>
      <scheme val="minor"/>
      <color theme="5" tint="-0.249980"/>
    </font>
    <font>
      <sz val="4.0"/>
      <name val="Arial"/>
      <scheme val="minor"/>
      <color theme="5" tint="-0.249980"/>
    </font>
    <font>
      <b/>
      <sz val="4.0"/>
      <name val="Arial"/>
      <scheme val="minor"/>
      <color theme="6" tint="-0.249980"/>
    </font>
    <font>
      <sz val="4.0"/>
      <name val="Arial"/>
      <scheme val="minor"/>
      <color theme="6" tint="-0.249980"/>
    </font>
    <font>
      <b/>
      <sz val="4.0"/>
      <name val="Arial"/>
      <scheme val="minor"/>
      <color theme="7" tint="-0.249980"/>
    </font>
    <font>
      <sz val="4.0"/>
      <name val="Arial"/>
      <scheme val="minor"/>
      <color theme="7" tint="-0.249980"/>
    </font>
    <font>
      <b/>
      <sz val="4.0"/>
      <name val="Arial"/>
      <scheme val="minor"/>
      <color theme="8" tint="-0.249980"/>
    </font>
    <font>
      <sz val="4.0"/>
      <name val="Arial"/>
      <scheme val="minor"/>
      <color theme="8" tint="-0.249980"/>
    </font>
    <font>
      <b/>
      <sz val="4.0"/>
      <name val="Arial"/>
      <scheme val="minor"/>
      <color theme="9" tint="-0.249980"/>
    </font>
    <font>
      <sz val="4.0"/>
      <name val="Arial"/>
      <scheme val="minor"/>
      <color theme="9" tint="-0.249980"/>
    </font>
    <font>
      <b/>
      <sz val="4.0"/>
      <name val="Arial"/>
      <scheme val="minor"/>
      <color theme="0"/>
    </font>
    <font>
      <sz val="4.0"/>
      <name val="Arial"/>
      <scheme val="minor"/>
      <color theme="0"/>
    </font>
  </fonts>
  <fills count="52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6AA84F"/>
      </patternFill>
    </fill>
    <fill>
      <patternFill patternType="solid">
        <fgColor theme="2"/>
        <bgColor rgb="FF00FF00"/>
      </patternFill>
    </fill>
    <fill>
      <patternFill patternType="solid">
        <fgColor theme="2"/>
        <bgColor rgb="FFFF0000"/>
      </patternFill>
    </fill>
    <fill>
      <patternFill patternType="solid">
        <fgColor theme="2"/>
        <bgColor rgb="FFFFFF00"/>
      </patternFill>
    </fill>
    <fill>
      <patternFill patternType="solid">
        <fgColor rgb="FF6AA84F"/>
        <bgColor rgb="FF000000"/>
      </patternFill>
    </fill>
  </fills>
  <borders count="29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5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14" borderId="19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20">
      <alignment vertical="center"/>
    </xf>
    <xf numFmtId="0" fontId="34" fillId="0" borderId="21">
      <alignment vertical="center"/>
    </xf>
    <xf numFmtId="0" fontId="35" fillId="0" borderId="22">
      <alignment vertical="center"/>
    </xf>
    <xf numFmtId="0" fontId="35" fillId="0" borderId="0">
      <alignment vertical="center"/>
    </xf>
    <xf numFmtId="0" fontId="36" fillId="15" borderId="23">
      <alignment vertical="center"/>
    </xf>
    <xf numFmtId="0" fontId="37" fillId="16" borderId="24">
      <alignment vertical="center"/>
    </xf>
    <xf numFmtId="0" fontId="38" fillId="16" borderId="23">
      <alignment vertical="center"/>
    </xf>
    <xf numFmtId="0" fontId="39" fillId="17" borderId="25">
      <alignment vertical="center"/>
    </xf>
    <xf numFmtId="0" fontId="40" fillId="0" borderId="26">
      <alignment vertical="center"/>
    </xf>
    <xf numFmtId="0" fontId="41" fillId="0" borderId="27">
      <alignment vertical="center"/>
    </xf>
    <xf numFmtId="0" fontId="42" fillId="18" borderId="0">
      <alignment vertical="center"/>
    </xf>
    <xf numFmtId="0" fontId="43" fillId="19" borderId="0">
      <alignment vertical="center"/>
    </xf>
    <xf numFmtId="0" fontId="44" fillId="20" borderId="0">
      <alignment vertical="center"/>
    </xf>
    <xf numFmtId="0" fontId="45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45" fillId="24" borderId="0">
      <alignment vertical="center"/>
    </xf>
    <xf numFmtId="0" fontId="45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45" fillId="28" borderId="0">
      <alignment vertical="center"/>
    </xf>
    <xf numFmtId="0" fontId="45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45" fillId="32" borderId="0">
      <alignment vertical="center"/>
    </xf>
    <xf numFmtId="0" fontId="45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45" fillId="36" borderId="0">
      <alignment vertical="center"/>
    </xf>
    <xf numFmtId="0" fontId="45" fillId="37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45" fillId="40" borderId="0">
      <alignment vertical="center"/>
    </xf>
    <xf numFmtId="0" fontId="45" fillId="41" borderId="0">
      <alignment vertical="center"/>
    </xf>
    <xf numFmtId="0" fontId="22" fillId="42" borderId="0">
      <alignment vertical="center"/>
    </xf>
    <xf numFmtId="0" fontId="22" fillId="43" borderId="0">
      <alignment vertical="center"/>
    </xf>
    <xf numFmtId="0" fontId="45" fillId="44" borderId="0">
      <alignment vertical="center"/>
    </xf>
    <xf numFmtId="0" fontId="46" fillId="0" borderId="0">
      <alignment vertical="center"/>
    </xf>
  </cellStyleXfs>
  <cellXfs count="169">
    <xf numFmtId="0" fontId="0" fillId="0" borderId="0" xfId="0" applyAlignment="1">
      <alignment wrapText="1"/>
    </xf>
    <xf numFmtId="0" fontId="1" fillId="0" borderId="0" xfId="0"/>
    <xf numFmtId="164" fontId="1" fillId="0" borderId="0" xfId="0"/>
    <xf numFmtId="0" fontId="2" fillId="0" borderId="0" xfId="0" applyAlignment="1">
      <alignment horizontal="left" vertical="center" wrapText="1"/>
    </xf>
    <xf numFmtId="49" fontId="3" fillId="0" borderId="0" xfId="0" applyAlignment="1">
      <alignment horizontal="right" wrapText="1"/>
    </xf>
    <xf numFmtId="0" fontId="4" fillId="2" borderId="1" xfId="0" applyAlignment="1">
      <alignment horizontal="right" vertical="center" wrapText="1"/>
    </xf>
    <xf numFmtId="164" fontId="5" fillId="2" borderId="2" xfId="0" applyAlignment="1">
      <alignment horizontal="right" wrapText="1"/>
    </xf>
    <xf numFmtId="164" fontId="5" fillId="2" borderId="3" xfId="0" applyAlignment="1">
      <alignment horizontal="right" wrapText="1"/>
    </xf>
    <xf numFmtId="0" fontId="4" fillId="3" borderId="4" xfId="0" applyAlignment="1">
      <alignment horizontal="right" vertical="center" wrapText="1"/>
    </xf>
    <xf numFmtId="164" fontId="5" fillId="3" borderId="5" xfId="0" applyAlignment="1">
      <alignment horizontal="right" wrapText="1"/>
    </xf>
    <xf numFmtId="164" fontId="5" fillId="3" borderId="6" xfId="0" applyAlignment="1">
      <alignment horizontal="right" wrapText="1"/>
    </xf>
    <xf numFmtId="164" fontId="1" fillId="2" borderId="2" xfId="0" applyAlignment="1">
      <alignment vertical="center" wrapText="1"/>
    </xf>
    <xf numFmtId="164" fontId="1" fillId="2" borderId="3" xfId="0" applyAlignment="1">
      <alignment wrapText="1"/>
    </xf>
    <xf numFmtId="164" fontId="1" fillId="3" borderId="5" xfId="0" applyAlignment="1">
      <alignment vertical="center" wrapText="1"/>
    </xf>
    <xf numFmtId="164" fontId="1" fillId="3" borderId="6" xfId="0" applyAlignment="1">
      <alignment wrapText="1"/>
    </xf>
    <xf numFmtId="0" fontId="4" fillId="2" borderId="7" xfId="0" applyAlignment="1">
      <alignment horizontal="right" vertical="center" wrapText="1"/>
    </xf>
    <xf numFmtId="164" fontId="1" fillId="2" borderId="8" xfId="0" applyAlignment="1">
      <alignment vertical="center" wrapText="1"/>
    </xf>
    <xf numFmtId="164" fontId="1" fillId="2" borderId="9" xfId="0" applyAlignment="1">
      <alignment wrapText="1"/>
    </xf>
    <xf numFmtId="0" fontId="4" fillId="0" borderId="0" xfId="0" applyAlignment="1">
      <alignment horizontal="right"/>
    </xf>
    <xf numFmtId="164" fontId="1" fillId="4" borderId="0" xfId="0"/>
    <xf numFmtId="164" fontId="1" fillId="2" borderId="0" xfId="0"/>
    <xf numFmtId="164" fontId="1" fillId="5" borderId="0" xfId="0"/>
    <xf numFmtId="0" fontId="3" fillId="0" borderId="0" xfId="0" applyAlignment="1">
      <alignment horizontal="left" wrapText="1"/>
    </xf>
    <xf numFmtId="2" fontId="1" fillId="2" borderId="2" xfId="0" applyAlignment="1">
      <alignment vertical="center" wrapText="1"/>
    </xf>
    <xf numFmtId="2" fontId="6" fillId="2" borderId="3" xfId="0" applyAlignment="1">
      <alignment horizontal="right" vertical="center" wrapText="1"/>
    </xf>
    <xf numFmtId="2" fontId="6" fillId="2" borderId="2" xfId="0" applyAlignment="1">
      <alignment horizontal="right" vertical="center" wrapText="1"/>
    </xf>
    <xf numFmtId="2" fontId="6" fillId="2" borderId="2" xfId="0" applyAlignment="1">
      <alignment horizontal="center" vertical="center" wrapText="1"/>
    </xf>
    <xf numFmtId="2" fontId="1" fillId="2" borderId="3" xfId="0" applyAlignment="1">
      <alignment vertical="center" wrapText="1"/>
    </xf>
    <xf numFmtId="2" fontId="1" fillId="2" borderId="8" xfId="0" applyAlignment="1">
      <alignment vertical="center" wrapText="1"/>
    </xf>
    <xf numFmtId="2" fontId="1" fillId="2" borderId="9" xfId="0" applyAlignment="1">
      <alignment vertical="center" wrapText="1"/>
    </xf>
    <xf numFmtId="2" fontId="1" fillId="2" borderId="0" xfId="0"/>
    <xf numFmtId="2" fontId="1" fillId="0" borderId="0" xfId="0"/>
    <xf numFmtId="0" fontId="7" fillId="0" borderId="0" xfId="0" applyAlignment="1">
      <alignment wrapText="1"/>
    </xf>
    <xf numFmtId="0" fontId="7" fillId="2" borderId="0" xfId="0" applyAlignment="1">
      <alignment wrapText="1"/>
    </xf>
    <xf numFmtId="0" fontId="8" fillId="0" borderId="0" xfId="0" applyAlignment="1">
      <alignment wrapText="1"/>
    </xf>
    <xf numFmtId="0" fontId="9" fillId="6" borderId="10" xfId="0" applyAlignment="1">
      <alignment horizontal="center" wrapText="1"/>
    </xf>
    <xf numFmtId="165" fontId="1" fillId="0" borderId="0" xfId="0"/>
    <xf numFmtId="166" fontId="10" fillId="0" borderId="0" xfId="0" applyAlignment="1">
      <alignment horizontal="right"/>
    </xf>
    <xf numFmtId="4" fontId="10" fillId="0" borderId="0" xfId="0" applyAlignment="1">
      <alignment horizontal="right"/>
    </xf>
    <xf numFmtId="4" fontId="1" fillId="0" borderId="0" xfId="0" applyAlignment="1">
      <alignment horizontal="right"/>
    </xf>
    <xf numFmtId="0" fontId="11" fillId="7" borderId="0" xfId="0" applyAlignment="1">
      <alignment wrapText="1"/>
    </xf>
    <xf numFmtId="2" fontId="12" fillId="7" borderId="0" xfId="0" applyAlignment="1">
      <alignment wrapText="1"/>
    </xf>
    <xf numFmtId="2" fontId="13" fillId="7" borderId="0" xfId="0"/>
    <xf numFmtId="165" fontId="3" fillId="7" borderId="0" xfId="0" applyAlignment="1">
      <alignment wrapText="1"/>
    </xf>
    <xf numFmtId="164" fontId="3" fillId="7" borderId="0" xfId="0" applyAlignment="1">
      <alignment wrapText="1"/>
    </xf>
    <xf numFmtId="0" fontId="12" fillId="7" borderId="0" xfId="0" applyAlignment="1">
      <alignment wrapText="1"/>
    </xf>
    <xf numFmtId="0" fontId="1" fillId="0" borderId="0" xfId="0" applyAlignment="1">
      <alignment horizontal="right" wrapText="1"/>
    </xf>
    <xf numFmtId="4" fontId="14" fillId="6" borderId="11" xfId="0" applyAlignment="1">
      <alignment horizontal="right" wrapText="1"/>
    </xf>
    <xf numFmtId="0" fontId="10" fillId="0" borderId="0" xfId="0" applyAlignment="1">
      <alignment wrapText="1"/>
    </xf>
    <xf numFmtId="0" fontId="1" fillId="0" borderId="0" xfId="0" applyAlignment="1">
      <alignment horizontal="right"/>
    </xf>
    <xf numFmtId="2" fontId="15" fillId="0" borderId="0" xfId="0" applyAlignment="1">
      <alignment wrapText="1"/>
    </xf>
    <xf numFmtId="2" fontId="16" fillId="8" borderId="0" xfId="0"/>
    <xf numFmtId="2" fontId="16" fillId="2" borderId="0" xfId="0"/>
    <xf numFmtId="2" fontId="16" fillId="0" borderId="0" xfId="0"/>
    <xf numFmtId="2" fontId="1" fillId="0" borderId="0" xfId="0" applyAlignment="1">
      <alignment horizontal="right"/>
    </xf>
    <xf numFmtId="0" fontId="6" fillId="2" borderId="12" xfId="0" applyAlignment="1">
      <alignment vertical="center" wrapText="1"/>
    </xf>
    <xf numFmtId="164" fontId="1" fillId="0" borderId="0" xfId="0" applyAlignment="1">
      <alignment horizontal="right"/>
    </xf>
    <xf numFmtId="2" fontId="6" fillId="2" borderId="0" xfId="0" applyAlignment="1">
      <alignment wrapText="1"/>
    </xf>
    <xf numFmtId="2" fontId="17" fillId="0" borderId="0" xfId="0" applyAlignment="1">
      <alignment horizontal="right"/>
    </xf>
    <xf numFmtId="3" fontId="1" fillId="0" borderId="0" xfId="0" applyAlignment="1">
      <alignment horizontal="right" wrapText="1"/>
    </xf>
    <xf numFmtId="4" fontId="5" fillId="2" borderId="3" xfId="0" applyAlignment="1">
      <alignment horizontal="right" wrapText="1"/>
    </xf>
    <xf numFmtId="0" fontId="6" fillId="5" borderId="13" xfId="0" applyAlignment="1">
      <alignment vertical="center" wrapText="1"/>
    </xf>
    <xf numFmtId="0" fontId="6" fillId="2" borderId="13" xfId="0" applyAlignment="1">
      <alignment vertical="center" wrapText="1"/>
    </xf>
    <xf numFmtId="2" fontId="15" fillId="8" borderId="0" xfId="0" applyAlignment="1">
      <alignment wrapText="1"/>
    </xf>
    <xf numFmtId="0" fontId="8" fillId="9" borderId="0" xfId="0" applyAlignment="1">
      <alignment wrapText="1"/>
    </xf>
    <xf numFmtId="2" fontId="15" fillId="10" borderId="0" xfId="0" applyAlignment="1">
      <alignment wrapText="1"/>
    </xf>
    <xf numFmtId="2" fontId="16" fillId="11" borderId="0" xfId="0"/>
    <xf numFmtId="0" fontId="8" fillId="2" borderId="0" xfId="0" applyAlignment="1">
      <alignment wrapText="1"/>
    </xf>
    <xf numFmtId="0" fontId="18" fillId="5" borderId="14" xfId="0" applyAlignment="1">
      <alignment vertical="center" wrapText="1"/>
    </xf>
    <xf numFmtId="0" fontId="6" fillId="5" borderId="14" xfId="0" applyAlignment="1">
      <alignment vertical="center" wrapText="1"/>
    </xf>
    <xf numFmtId="0" fontId="18" fillId="2" borderId="12" xfId="0" applyAlignment="1">
      <alignment vertical="center" wrapText="1"/>
    </xf>
    <xf numFmtId="2" fontId="19" fillId="2" borderId="0" xfId="0"/>
    <xf numFmtId="2" fontId="15" fillId="2" borderId="0" xfId="0" applyAlignment="1">
      <alignment wrapText="1"/>
    </xf>
    <xf numFmtId="0" fontId="20" fillId="2" borderId="12" xfId="0" applyAlignment="1">
      <alignment vertical="center" wrapText="1"/>
    </xf>
    <xf numFmtId="2" fontId="6" fillId="8" borderId="0" xfId="0" applyAlignment="1">
      <alignment wrapText="1"/>
    </xf>
    <xf numFmtId="0" fontId="20" fillId="5" borderId="14" xfId="0" applyAlignment="1">
      <alignment vertical="center" wrapText="1"/>
    </xf>
    <xf numFmtId="0" fontId="8" fillId="12" borderId="0" xfId="0" applyAlignment="1">
      <alignment wrapText="1"/>
    </xf>
    <xf numFmtId="2" fontId="21" fillId="2" borderId="3" xfId="0" applyAlignment="1">
      <alignment horizontal="right" vertical="center" wrapText="1"/>
    </xf>
    <xf numFmtId="2" fontId="22" fillId="0" borderId="0" xfId="0"/>
    <xf numFmtId="0" fontId="23" fillId="2" borderId="12" xfId="0" applyAlignment="1">
      <alignment vertical="center" wrapText="1"/>
    </xf>
    <xf numFmtId="0" fontId="23" fillId="5" borderId="14" xfId="0" applyAlignment="1">
      <alignment vertical="center" wrapText="1"/>
    </xf>
    <xf numFmtId="0" fontId="24" fillId="2" borderId="12" xfId="0" applyAlignment="1">
      <alignment vertical="center" wrapText="1"/>
    </xf>
    <xf numFmtId="0" fontId="24" fillId="5" borderId="14" xfId="0" applyAlignment="1">
      <alignment vertical="center" wrapText="1"/>
    </xf>
    <xf numFmtId="0" fontId="25" fillId="2" borderId="12" xfId="0" applyAlignment="1">
      <alignment vertical="center" wrapText="1"/>
    </xf>
    <xf numFmtId="0" fontId="25" fillId="5" borderId="14" xfId="0" applyAlignment="1">
      <alignment vertical="center" wrapText="1"/>
    </xf>
    <xf numFmtId="2" fontId="8" fillId="0" borderId="0" xfId="0" applyAlignment="1">
      <alignment wrapText="1"/>
    </xf>
    <xf numFmtId="2" fontId="22" fillId="2" borderId="0" xfId="0"/>
    <xf numFmtId="165" fontId="1" fillId="2" borderId="0" xfId="0"/>
    <xf numFmtId="2" fontId="23" fillId="2" borderId="0" xfId="0" applyAlignment="1">
      <alignment wrapText="1"/>
    </xf>
    <xf numFmtId="3" fontId="5" fillId="2" borderId="2" xfId="0" applyAlignment="1">
      <alignment horizontal="right" wrapText="1"/>
    </xf>
    <xf numFmtId="3" fontId="1" fillId="2" borderId="2" xfId="0" applyAlignment="1">
      <alignment vertical="center" wrapText="1"/>
    </xf>
    <xf numFmtId="4" fontId="5" fillId="2" borderId="3" xfId="0" applyAlignment="1">
      <alignment horizontal="center" vertical="center" wrapText="1"/>
    </xf>
    <xf numFmtId="4" fontId="26" fillId="2" borderId="3" xfId="0" applyAlignment="1">
      <alignment horizontal="center" vertical="center" wrapText="1"/>
    </xf>
    <xf numFmtId="3" fontId="1" fillId="5" borderId="15" xfId="0" applyAlignment="1">
      <alignment vertical="center" wrapText="1"/>
    </xf>
    <xf numFmtId="4" fontId="26" fillId="5" borderId="16" xfId="0" applyAlignment="1">
      <alignment horizontal="center" vertical="center" wrapText="1"/>
    </xf>
    <xf numFmtId="0" fontId="1" fillId="2" borderId="2" xfId="0" applyAlignment="1">
      <alignment vertical="center" wrapText="1"/>
    </xf>
    <xf numFmtId="0" fontId="1" fillId="5" borderId="15" xfId="0" applyAlignment="1">
      <alignment vertical="center" wrapText="1"/>
    </xf>
    <xf numFmtId="0" fontId="1" fillId="5" borderId="17" xfId="0" applyAlignment="1">
      <alignment vertical="center" wrapText="1"/>
    </xf>
    <xf numFmtId="3" fontId="1" fillId="5" borderId="17" xfId="0" applyAlignment="1">
      <alignment vertical="center" wrapText="1"/>
    </xf>
    <xf numFmtId="4" fontId="26" fillId="5" borderId="18" xfId="0" applyAlignment="1">
      <alignment horizontal="center" vertical="center" wrapText="1"/>
    </xf>
    <xf numFmtId="49" fontId="8" fillId="0" borderId="0" xfId="0" applyAlignment="1">
      <alignment wrapText="1"/>
    </xf>
    <xf numFmtId="4" fontId="1" fillId="0" borderId="0" xfId="0"/>
    <xf numFmtId="2" fontId="10" fillId="0" borderId="0" xfId="0" applyAlignment="1">
      <alignment wrapText="1"/>
    </xf>
    <xf numFmtId="0" fontId="8" fillId="0" borderId="0" xfId="0" applyAlignment="1">
      <alignment horizontal="left" vertical="center" wrapText="1"/>
    </xf>
    <xf numFmtId="0" fontId="10" fillId="13" borderId="0" xfId="0" applyAlignment="1">
      <alignment wrapText="1"/>
    </xf>
    <xf numFmtId="2" fontId="22" fillId="13" borderId="0" xfId="0"/>
    <xf numFmtId="0" fontId="10" fillId="13" borderId="0" xfId="0" applyAlignment="1">
      <alignment vertical="center" wrapText="1"/>
    </xf>
    <xf numFmtId="0" fontId="22" fillId="0" borderId="0" xfId="0"/>
    <xf numFmtId="1" fontId="22" fillId="0" borderId="0" xfId="0"/>
    <xf numFmtId="1" fontId="1" fillId="0" borderId="0" xfId="0" applyAlignment="1">
      <alignment horizontal="right"/>
    </xf>
    <xf numFmtId="2" fontId="10" fillId="0" borderId="0" xfId="0" applyAlignment="1">
      <alignment vertical="center" wrapText="1"/>
    </xf>
    <xf numFmtId="0" fontId="10" fillId="0" borderId="0" xfId="0" applyAlignment="1">
      <alignment vertical="center" wrapText="1"/>
    </xf>
    <xf numFmtId="1" fontId="10" fillId="0" borderId="0" xfId="0" applyAlignment="1">
      <alignment vertical="center" wrapText="1"/>
    </xf>
    <xf numFmtId="164" fontId="12" fillId="7" borderId="0" xfId="0" applyAlignment="1">
      <alignment wrapText="1"/>
    </xf>
    <xf numFmtId="0" fontId="22" fillId="0" borderId="0" xfId="0" applyAlignment="1">
      <alignment horizontal="left" vertical="center" wrapText="1"/>
    </xf>
    <xf numFmtId="0" fontId="14" fillId="0" borderId="0" xfId="0" applyAlignment="1">
      <alignment horizontal="left" vertical="center" wrapText="1"/>
    </xf>
    <xf numFmtId="0" fontId="27" fillId="0" borderId="0" xfId="0" applyAlignment="1">
      <alignment wrapText="1"/>
    </xf>
    <xf numFmtId="0" fontId="6" fillId="2" borderId="12" xfId="0" applyAlignment="1">
      <alignment wrapText="1"/>
    </xf>
    <xf numFmtId="2" fontId="28" fillId="0" borderId="0" xfId="0" applyAlignment="1">
      <alignment wrapText="1"/>
    </xf>
    <xf numFmtId="21" fontId="16" fillId="0" borderId="0" xfId="0" applyAlignment="1">
      <alignment vertical="center" wrapText="1"/>
    </xf>
    <xf numFmtId="2" fontId="28" fillId="0" borderId="0" xfId="0" applyAlignment="1">
      <alignment vertical="center" wrapText="1"/>
    </xf>
    <xf numFmtId="0" fontId="28" fillId="0" borderId="0" xfId="0" applyAlignment="1">
      <alignment wrapText="1"/>
    </xf>
    <xf numFmtId="0" fontId="6" fillId="5" borderId="13" xfId="0" applyAlignment="1">
      <alignment wrapText="1"/>
    </xf>
    <xf numFmtId="0" fontId="6" fillId="2" borderId="13" xfId="0" applyAlignment="1">
      <alignment wrapText="1"/>
    </xf>
    <xf numFmtId="0" fontId="18" fillId="5" borderId="14" xfId="0" applyAlignment="1">
      <alignment wrapText="1"/>
    </xf>
    <xf numFmtId="0" fontId="6" fillId="5" borderId="14" xfId="0" applyAlignment="1">
      <alignment wrapText="1"/>
    </xf>
    <xf numFmtId="0" fontId="18" fillId="2" borderId="12" xfId="0" applyAlignment="1">
      <alignment wrapText="1"/>
    </xf>
    <xf numFmtId="0" fontId="20" fillId="2" borderId="12" xfId="0" applyAlignment="1">
      <alignment wrapText="1"/>
    </xf>
    <xf numFmtId="0" fontId="20" fillId="5" borderId="14" xfId="0" applyAlignment="1">
      <alignment wrapText="1"/>
    </xf>
    <xf numFmtId="0" fontId="16" fillId="0" borderId="0" xfId="0"/>
    <xf numFmtId="2" fontId="15" fillId="0" borderId="0" xfId="0" applyAlignment="1">
      <alignment vertical="center" wrapText="1"/>
    </xf>
    <xf numFmtId="2" fontId="16" fillId="10" borderId="0" xfId="0"/>
    <xf numFmtId="0" fontId="15" fillId="0" borderId="0" xfId="0" applyAlignment="1">
      <alignment wrapText="1"/>
    </xf>
    <xf numFmtId="2" fontId="16" fillId="0" borderId="0" xfId="0" applyAlignment="1">
      <alignment vertical="center" wrapText="1"/>
    </xf>
    <xf numFmtId="0" fontId="16" fillId="0" borderId="0" xfId="0" applyAlignment="1">
      <alignment vertical="center" wrapText="1"/>
    </xf>
    <xf numFmtId="0" fontId="23" fillId="2" borderId="12" xfId="0" applyAlignment="1">
      <alignment wrapText="1"/>
    </xf>
    <xf numFmtId="0" fontId="23" fillId="5" borderId="14" xfId="0" applyAlignment="1">
      <alignment wrapText="1"/>
    </xf>
    <xf numFmtId="0" fontId="24" fillId="2" borderId="12" xfId="0" applyAlignment="1">
      <alignment wrapText="1"/>
    </xf>
    <xf numFmtId="0" fontId="24" fillId="5" borderId="14" xfId="0" applyAlignment="1">
      <alignment wrapText="1"/>
    </xf>
    <xf numFmtId="0" fontId="25" fillId="2" borderId="12" xfId="0" applyAlignment="1">
      <alignment wrapText="1"/>
    </xf>
    <xf numFmtId="0" fontId="25" fillId="5" borderId="14" xfId="0" applyAlignment="1">
      <alignment wrapText="1"/>
    </xf>
    <xf numFmtId="164" fontId="23" fillId="2" borderId="0" xfId="0" applyAlignment="1">
      <alignment wrapText="1"/>
    </xf>
    <xf numFmtId="0" fontId="1" fillId="2" borderId="2" xfId="0"/>
    <xf numFmtId="0" fontId="1" fillId="5" borderId="15" xfId="0"/>
    <xf numFmtId="0" fontId="1" fillId="5" borderId="17" xfId="0"/>
    <xf numFmtId="164" fontId="22" fillId="0" borderId="0" xfId="0"/>
    <xf numFmtId="2" fontId="10" fillId="0" borderId="0" xfId="0" applyAlignment="1">
      <alignment horizontal="right"/>
    </xf>
    <xf numFmtId="0" fontId="53" fillId="0" borderId="0" xfId="0" applyAlignment="1">
      <alignment horizontal="center" wrapText="1"/>
    </xf>
    <xf numFmtId="0" fontId="0" fillId="45" borderId="0" xfId="0" applyAlignment="1">
      <alignment wrapText="1"/>
    </xf>
    <xf numFmtId="0" fontId="7" fillId="46" borderId="0" xfId="0" applyAlignment="1">
      <alignment wrapText="1"/>
    </xf>
    <xf numFmtId="2" fontId="12" fillId="47" borderId="0" xfId="0" applyAlignment="1">
      <alignment wrapText="1"/>
    </xf>
    <xf numFmtId="2" fontId="16" fillId="48" borderId="0" xfId="0"/>
    <xf numFmtId="2" fontId="16" fillId="46" borderId="0" xfId="0"/>
    <xf numFmtId="2" fontId="19" fillId="46" borderId="0" xfId="0"/>
    <xf numFmtId="2" fontId="16" fillId="49" borderId="0" xfId="0"/>
    <xf numFmtId="2" fontId="22" fillId="45" borderId="0" xfId="0"/>
    <xf numFmtId="2" fontId="15" fillId="45" borderId="0" xfId="0" applyAlignment="1">
      <alignment wrapText="1"/>
    </xf>
    <xf numFmtId="2" fontId="15" fillId="48" borderId="0" xfId="0" applyAlignment="1">
      <alignment wrapText="1"/>
    </xf>
    <xf numFmtId="2" fontId="15" fillId="49" borderId="0" xfId="0" applyAlignment="1">
      <alignment wrapText="1"/>
    </xf>
    <xf numFmtId="2" fontId="8" fillId="45" borderId="0" xfId="0" applyAlignment="1">
      <alignment wrapText="1"/>
    </xf>
    <xf numFmtId="2" fontId="13" fillId="47" borderId="0" xfId="0"/>
    <xf numFmtId="2" fontId="16" fillId="45" borderId="0" xfId="0"/>
    <xf numFmtId="2" fontId="15" fillId="46" borderId="0" xfId="0" applyAlignment="1">
      <alignment wrapText="1"/>
    </xf>
    <xf numFmtId="2" fontId="16" fillId="50" borderId="0" xfId="0"/>
    <xf numFmtId="2" fontId="22" fillId="46" borderId="0" xfId="0"/>
    <xf numFmtId="2" fontId="17" fillId="0" borderId="28" xfId="0" applyAlignment="1">
      <alignment horizontal="right"/>
    </xf>
    <xf numFmtId="0" fontId="12" fillId="51" borderId="0" xfId="0" applyAlignment="1">
      <alignment wrapText="1"/>
    </xf>
    <xf numFmtId="0" fontId="49" fillId="0" borderId="0" xfId="0" applyAlignment="1">
      <alignment wrapText="1"/>
    </xf>
    <xf numFmtId="0" fontId="0" fillId="0" borderId="0" xfId="0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Output" xfId="16" builtinId="21"/>
    <cellStyle name="Percentage" xfId="3" builtinId="5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  <dxfs count="10">
    <dxf>
      <font/>
      <fill>
        <patternFill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11" defaultTableStyle="TableStyleMedium2" defaultPivotStyle="PivotStyleLight16">
    <tableStyle name="ARPU-style" pivot="0" count="4">
      <tableStyleElement type="wholeTable" dxfId="4" size="0"/>
      <tableStyleElement type="headerRow" dxfId="1"/>
      <tableStyleElement type="firstRowStripe" dxfId="2"/>
      <tableStyleElement type="secondRowStripe" dxfId="3"/>
    </tableStyle>
    <tableStyle name="Av.Rw-style" pivot="0" count="4">
      <tableStyleElement type="wholeTable" dxfId="4" size="0"/>
      <tableStyleElement type="headerRow" dxfId="1"/>
      <tableStyleElement type="firstRowStripe" dxfId="2"/>
      <tableStyleElement type="secondRowStripe" dxfId="3"/>
    </tableStyle>
    <tableStyle name="And-style" pivot="0" count="3">
      <tableStyleElement type="headerRow" dxfId="1"/>
      <tableStyleElement type="firstRowStripe" dxfId="2"/>
      <tableStyleElement type="secondRowStripe" dxfId="5"/>
    </tableStyle>
    <tableStyle name="And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And-style 3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And-style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And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IOS-style" pivot="0" count="3">
      <tableStyleElement type="headerRow" dxfId="1"/>
      <tableStyleElement type="firstRowStripe" dxfId="2"/>
      <tableStyleElement type="secondRowStripe" dxfId="5"/>
    </tableStyle>
    <tableStyle name="IOS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IOS-style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IOS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theme" Target="theme/theme1.xml"></Relationship><Relationship Id="rId8" Type="http://schemas.openxmlformats.org/officeDocument/2006/relationships/styles" Target="styles.xml"></Relationship><Relationship Id="rId9" Type="http://schemas.openxmlformats.org/officeDocument/2006/relationships/sharedStrings" Target="sharedStrings.xml"></Relationship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anchor="ctr" anchorCtr="1" rot="0" vert="horz"/>
          <a:lstStyle/>
          <a:p>
            <a:pPr algn="ctr">
              <a:defRPr sz="14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u="none" baseline="0">
                <a:solidFill>
                  <a:srgbClr val="000000"/>
                </a:solidFill>
                <a:latin typeface="Arial"/>
                <a:ea typeface="Arial"/>
              </a:rPr>
              <a:t>Level Bazında ARPU Değişimi </a:t>
            </a:r>
          </a:p>
        </c:rich>
      </c:tx>
      <c:layout/>
      <c:overlay val="0"/>
      <c:spPr>
        <a:noFill/>
        <a:ln>
          <a:noFill/>
          <a:round/>
        </a:ln>
      </c:spPr>
    </c:title>
    <c:plotArea>
      <c:layout/>
      <c:lineChart>
        <c:grouping val="standard"/>
        <c:varyColors val="1"/>
        <c:ser>
          <c:idx val="0"/>
          <c:order val="0"/>
          <c:tx>
            <c:v>Android ARPU</c:v>
          </c:tx>
          <c:spPr>
            <a:ln w="9525" cap="flat">
              <a:solidFill>
                <a:srgbClr val="F6B26B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5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ARPU!$U$2:$U$252</c:f>
              <c:strCache>
                <c:ptCount val="25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strCache>
            </c:strRef>
          </c:cat>
          <c:val>
            <c:numRef>
              <c:f>ARPU!$V$2:$V$252</c:f>
              <c:numCache>
                <c:formatCode>General</c:formatCode>
                <c:ptCount val="251"/>
                <c:pt idx="0">
                  <c:v>0</c:v>
                </c:pt>
                <c:pt idx="1">
                  <c:v>0.00345227858985383</c:v>
                </c:pt>
                <c:pt idx="2">
                  <c:v>0.00175430940432031</c:v>
                </c:pt>
                <c:pt idx="3">
                  <c:v>0.00173683050473881</c:v>
                </c:pt>
                <c:pt idx="4">
                  <c:v>0.00050922837447187</c:v>
                </c:pt>
                <c:pt idx="5">
                  <c:v>0.000893942805674398</c:v>
                </c:pt>
                <c:pt idx="6">
                  <c:v>0.000902683037744429</c:v>
                </c:pt>
                <c:pt idx="7">
                  <c:v>0.00136958017894012</c:v>
                </c:pt>
                <c:pt idx="8">
                  <c:v>0.000461288827074641</c:v>
                </c:pt>
                <c:pt idx="9">
                  <c:v>0.000455607476635514</c:v>
                </c:pt>
                <c:pt idx="10">
                  <c:v>0.00436507936507936</c:v>
                </c:pt>
                <c:pt idx="11">
                  <c:v>0.00359431524547804</c:v>
                </c:pt>
                <c:pt idx="12">
                  <c:v>0.00557068918550804</c:v>
                </c:pt>
                <c:pt idx="13">
                  <c:v>0.00445810055865922</c:v>
                </c:pt>
                <c:pt idx="14">
                  <c:v>0.00345753899480069</c:v>
                </c:pt>
                <c:pt idx="15">
                  <c:v>0.00514580265095729</c:v>
                </c:pt>
                <c:pt idx="16">
                  <c:v>0.00120169082125604</c:v>
                </c:pt>
                <c:pt idx="17">
                  <c:v>0.00771631644004944</c:v>
                </c:pt>
                <c:pt idx="18">
                  <c:v>0.00527777777777778</c:v>
                </c:pt>
                <c:pt idx="19">
                  <c:v>0.00740717232624564</c:v>
                </c:pt>
                <c:pt idx="20">
                  <c:v>0.00288393145813126</c:v>
                </c:pt>
                <c:pt idx="21">
                  <c:v>0.00315123251165889</c:v>
                </c:pt>
                <c:pt idx="22">
                  <c:v>0.00704234972677596</c:v>
                </c:pt>
                <c:pt idx="23">
                  <c:v>0.0040365682137834</c:v>
                </c:pt>
                <c:pt idx="24">
                  <c:v>0.0093984962406015</c:v>
                </c:pt>
                <c:pt idx="25">
                  <c:v>0.00215579710144928</c:v>
                </c:pt>
                <c:pt idx="26">
                  <c:v>0</c:v>
                </c:pt>
                <c:pt idx="27">
                  <c:v>0.00321198331437239</c:v>
                </c:pt>
                <c:pt idx="28">
                  <c:v>0.0061364507474128</c:v>
                </c:pt>
                <c:pt idx="29">
                  <c:v>0.0023127667830811</c:v>
                </c:pt>
                <c:pt idx="30">
                  <c:v>0.000872984663782934</c:v>
                </c:pt>
                <c:pt idx="31">
                  <c:v>0.00569791240278346</c:v>
                </c:pt>
                <c:pt idx="32">
                  <c:v>0.00484375</c:v>
                </c:pt>
                <c:pt idx="33">
                  <c:v>0.0198421290031574</c:v>
                </c:pt>
                <c:pt idx="34">
                  <c:v>0.0235622317596567</c:v>
                </c:pt>
                <c:pt idx="35">
                  <c:v>0.00577145612343298</c:v>
                </c:pt>
                <c:pt idx="36">
                  <c:v>0.00483714146815751</c:v>
                </c:pt>
                <c:pt idx="37">
                  <c:v>0.00785433070866142</c:v>
                </c:pt>
                <c:pt idx="38">
                  <c:v>0.0172920792079208</c:v>
                </c:pt>
                <c:pt idx="39">
                  <c:v>0.0278533475026568</c:v>
                </c:pt>
                <c:pt idx="40">
                  <c:v>0.0621716287215412</c:v>
                </c:pt>
                <c:pt idx="41">
                  <c:v>0.0110942071386776</c:v>
                </c:pt>
                <c:pt idx="42">
                  <c:v>0.0509503372164316</c:v>
                </c:pt>
                <c:pt idx="43">
                  <c:v>0.00369727047146402</c:v>
                </c:pt>
                <c:pt idx="44">
                  <c:v>0.00593358395989975</c:v>
                </c:pt>
                <c:pt idx="45">
                  <c:v>0.0107129337539432</c:v>
                </c:pt>
                <c:pt idx="46">
                  <c:v>0.00380102040816327</c:v>
                </c:pt>
                <c:pt idx="47">
                  <c:v>0.00385109114249037</c:v>
                </c:pt>
                <c:pt idx="48">
                  <c:v>0.00323815704088254</c:v>
                </c:pt>
                <c:pt idx="49">
                  <c:v>0.0447066756574511</c:v>
                </c:pt>
                <c:pt idx="50">
                  <c:v>0.02925822253324</c:v>
                </c:pt>
                <c:pt idx="51">
                  <c:v>0.0884491978609626</c:v>
                </c:pt>
                <c:pt idx="52">
                  <c:v>0.0157379636937648</c:v>
                </c:pt>
                <c:pt idx="53">
                  <c:v>0.00157936507936508</c:v>
                </c:pt>
                <c:pt idx="54">
                  <c:v>0.001592</c:v>
                </c:pt>
                <c:pt idx="55">
                  <c:v>0.137511436413541</c:v>
                </c:pt>
                <c:pt idx="56">
                  <c:v>0.00462825278810409</c:v>
                </c:pt>
                <c:pt idx="57">
                  <c:v>0.00279439252336449</c:v>
                </c:pt>
                <c:pt idx="58">
                  <c:v>0.00611687087653157</c:v>
                </c:pt>
                <c:pt idx="59">
                  <c:v>0.0273734479465139</c:v>
                </c:pt>
                <c:pt idx="60">
                  <c:v>0.00483059051306873</c:v>
                </c:pt>
                <c:pt idx="61">
                  <c:v>0.0386831683168317</c:v>
                </c:pt>
                <c:pt idx="62">
                  <c:v>0.0156795131845842</c:v>
                </c:pt>
                <c:pt idx="63">
                  <c:v>0.00202854230377166</c:v>
                </c:pt>
                <c:pt idx="64">
                  <c:v>0.0170113753877973</c:v>
                </c:pt>
                <c:pt idx="65">
                  <c:v>0.380725388601036</c:v>
                </c:pt>
                <c:pt idx="66">
                  <c:v>0.0169451697127937</c:v>
                </c:pt>
                <c:pt idx="67">
                  <c:v>0.00786561264822134</c:v>
                </c:pt>
                <c:pt idx="68">
                  <c:v>0.00918421052631579</c:v>
                </c:pt>
                <c:pt idx="69">
                  <c:v>0.00855072463768116</c:v>
                </c:pt>
                <c:pt idx="70">
                  <c:v>0.00130606860158311</c:v>
                </c:pt>
                <c:pt idx="71">
                  <c:v>0.0146143617021277</c:v>
                </c:pt>
                <c:pt idx="72">
                  <c:v>0</c:v>
                </c:pt>
                <c:pt idx="73">
                  <c:v>0.00668900804289544</c:v>
                </c:pt>
                <c:pt idx="74">
                  <c:v>0.00676630434782609</c:v>
                </c:pt>
                <c:pt idx="75">
                  <c:v>0.20394495412844</c:v>
                </c:pt>
                <c:pt idx="76">
                  <c:v>0.0202180685358255</c:v>
                </c:pt>
                <c:pt idx="77">
                  <c:v>0.007796875</c:v>
                </c:pt>
                <c:pt idx="78">
                  <c:v>0</c:v>
                </c:pt>
                <c:pt idx="79">
                  <c:v>0.0176121794871795</c:v>
                </c:pt>
                <c:pt idx="80">
                  <c:v>0.109933665008292</c:v>
                </c:pt>
                <c:pt idx="81">
                  <c:v>0.0439933444259567</c:v>
                </c:pt>
                <c:pt idx="82">
                  <c:v>0.00333333333333333</c:v>
                </c:pt>
                <c:pt idx="83">
                  <c:v>0.00334453781512605</c:v>
                </c:pt>
                <c:pt idx="84">
                  <c:v>0.0523924268502582</c:v>
                </c:pt>
                <c:pt idx="85">
                  <c:v>0.0738800705467372</c:v>
                </c:pt>
                <c:pt idx="86">
                  <c:v>0.0116308243727599</c:v>
                </c:pt>
                <c:pt idx="87">
                  <c:v>0.144575645756458</c:v>
                </c:pt>
                <c:pt idx="88">
                  <c:v>0</c:v>
                </c:pt>
                <c:pt idx="89">
                  <c:v>0</c:v>
                </c:pt>
                <c:pt idx="90">
                  <c:v>0.0350588235294118</c:v>
                </c:pt>
                <c:pt idx="91">
                  <c:v>0.00768339768339768</c:v>
                </c:pt>
                <c:pt idx="92">
                  <c:v>0.0311111111111111</c:v>
                </c:pt>
                <c:pt idx="93">
                  <c:v>0</c:v>
                </c:pt>
                <c:pt idx="94">
                  <c:v>0</c:v>
                </c:pt>
                <c:pt idx="95">
                  <c:v>0.344728033472803</c:v>
                </c:pt>
                <c:pt idx="96">
                  <c:v>0.0622245322245322</c:v>
                </c:pt>
                <c:pt idx="97">
                  <c:v>0.034789029535865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0.00431670281995662</c:v>
                </c:pt>
                <c:pt idx="103">
                  <c:v>0</c:v>
                </c:pt>
                <c:pt idx="104">
                  <c:v>0.0675166297117517</c:v>
                </c:pt>
                <c:pt idx="105">
                  <c:v>0.0304063205417607</c:v>
                </c:pt>
                <c:pt idx="106">
                  <c:v>0.00463869463869464</c:v>
                </c:pt>
                <c:pt idx="107">
                  <c:v>0.0314841849148418</c:v>
                </c:pt>
                <c:pt idx="108">
                  <c:v>0.0472727272727273</c:v>
                </c:pt>
                <c:pt idx="109">
                  <c:v>0</c:v>
                </c:pt>
                <c:pt idx="110">
                  <c:v>0.035615763546798</c:v>
                </c:pt>
                <c:pt idx="111">
                  <c:v>0.0281572481572482</c:v>
                </c:pt>
                <c:pt idx="112">
                  <c:v>0.0347512437810945</c:v>
                </c:pt>
                <c:pt idx="113">
                  <c:v>0.0245454545454545</c:v>
                </c:pt>
                <c:pt idx="114">
                  <c:v>0.00488943488943489</c:v>
                </c:pt>
                <c:pt idx="115">
                  <c:v>0.186820512820513</c:v>
                </c:pt>
                <c:pt idx="116">
                  <c:v>0.0111825192802057</c:v>
                </c:pt>
                <c:pt idx="117">
                  <c:v>0</c:v>
                </c:pt>
                <c:pt idx="118">
                  <c:v>0.0155874673629243</c:v>
                </c:pt>
                <c:pt idx="119">
                  <c:v>0.0131315789473684</c:v>
                </c:pt>
                <c:pt idx="120">
                  <c:v>0.14312676056338</c:v>
                </c:pt>
                <c:pt idx="121">
                  <c:v>0.0510526315789474</c:v>
                </c:pt>
                <c:pt idx="122">
                  <c:v>0</c:v>
                </c:pt>
                <c:pt idx="123">
                  <c:v>0</c:v>
                </c:pt>
                <c:pt idx="124">
                  <c:v>0.267885196374622</c:v>
                </c:pt>
                <c:pt idx="125">
                  <c:v>0.00294642857142857</c:v>
                </c:pt>
                <c:pt idx="126">
                  <c:v>0</c:v>
                </c:pt>
                <c:pt idx="127">
                  <c:v>0.0247305389221557</c:v>
                </c:pt>
                <c:pt idx="128">
                  <c:v>0.0331419939577039</c:v>
                </c:pt>
                <c:pt idx="129">
                  <c:v>0.0292283950617284</c:v>
                </c:pt>
                <c:pt idx="130">
                  <c:v>0.0231578947368421</c:v>
                </c:pt>
                <c:pt idx="131">
                  <c:v>0.0248286604361371</c:v>
                </c:pt>
                <c:pt idx="132">
                  <c:v>0.0695046439628483</c:v>
                </c:pt>
                <c:pt idx="133">
                  <c:v>0.0742546583850932</c:v>
                </c:pt>
                <c:pt idx="134">
                  <c:v>0.00614197530864198</c:v>
                </c:pt>
                <c:pt idx="135">
                  <c:v>0.0307076923076923</c:v>
                </c:pt>
                <c:pt idx="136">
                  <c:v>0.156472392638037</c:v>
                </c:pt>
                <c:pt idx="137">
                  <c:v>0.120282131661442</c:v>
                </c:pt>
                <c:pt idx="138">
                  <c:v>0</c:v>
                </c:pt>
                <c:pt idx="139">
                  <c:v>0.02814696485623</c:v>
                </c:pt>
                <c:pt idx="140">
                  <c:v>0.295849673202614</c:v>
                </c:pt>
                <c:pt idx="141">
                  <c:v>0.0636274509803922</c:v>
                </c:pt>
                <c:pt idx="142">
                  <c:v>0</c:v>
                </c:pt>
                <c:pt idx="143">
                  <c:v>0.00983552631578948</c:v>
                </c:pt>
                <c:pt idx="144">
                  <c:v>0</c:v>
                </c:pt>
                <c:pt idx="145">
                  <c:v>0.0300974025974026</c:v>
                </c:pt>
                <c:pt idx="146">
                  <c:v>0</c:v>
                </c:pt>
                <c:pt idx="147">
                  <c:v>0.275723684210526</c:v>
                </c:pt>
                <c:pt idx="148">
                  <c:v>0</c:v>
                </c:pt>
                <c:pt idx="149">
                  <c:v>0</c:v>
                </c:pt>
                <c:pt idx="150">
                  <c:v>0.0656907894736842</c:v>
                </c:pt>
                <c:pt idx="151">
                  <c:v>0.0761458333333333</c:v>
                </c:pt>
                <c:pt idx="152">
                  <c:v>0</c:v>
                </c:pt>
                <c:pt idx="153">
                  <c:v>0</c:v>
                </c:pt>
                <c:pt idx="154">
                  <c:v>0.0503971119133574</c:v>
                </c:pt>
                <c:pt idx="155">
                  <c:v>0.0363272727272727</c:v>
                </c:pt>
                <c:pt idx="156">
                  <c:v>0</c:v>
                </c:pt>
                <c:pt idx="157">
                  <c:v>0.0512167300380228</c:v>
                </c:pt>
                <c:pt idx="158">
                  <c:v>0.0113688212927757</c:v>
                </c:pt>
                <c:pt idx="159">
                  <c:v>0.603873517786561</c:v>
                </c:pt>
                <c:pt idx="160">
                  <c:v>0.0567886178861789</c:v>
                </c:pt>
                <c:pt idx="161">
                  <c:v>0.0121544715447154</c:v>
                </c:pt>
                <c:pt idx="162">
                  <c:v>0.0324897959183674</c:v>
                </c:pt>
                <c:pt idx="163">
                  <c:v>0.0202845528455285</c:v>
                </c:pt>
                <c:pt idx="164">
                  <c:v>0.106913580246914</c:v>
                </c:pt>
                <c:pt idx="165">
                  <c:v>0.0283739837398374</c:v>
                </c:pt>
                <c:pt idx="166">
                  <c:v>0.0613524590163935</c:v>
                </c:pt>
                <c:pt idx="167">
                  <c:v>0</c:v>
                </c:pt>
                <c:pt idx="168">
                  <c:v>0.0607391304347826</c:v>
                </c:pt>
                <c:pt idx="169">
                  <c:v>0.252972972972973</c:v>
                </c:pt>
                <c:pt idx="170">
                  <c:v>0.0544888888888889</c:v>
                </c:pt>
                <c:pt idx="171">
                  <c:v>0.0398666666666667</c:v>
                </c:pt>
                <c:pt idx="172">
                  <c:v>0.129775784753363</c:v>
                </c:pt>
                <c:pt idx="173">
                  <c:v>0.0766981132075472</c:v>
                </c:pt>
                <c:pt idx="174">
                  <c:v>0</c:v>
                </c:pt>
                <c:pt idx="175">
                  <c:v>0.189268292682927</c:v>
                </c:pt>
                <c:pt idx="176">
                  <c:v>0.200344827586207</c:v>
                </c:pt>
                <c:pt idx="177">
                  <c:v>0.285051020408163</c:v>
                </c:pt>
                <c:pt idx="178">
                  <c:v>0.169893617021277</c:v>
                </c:pt>
                <c:pt idx="179">
                  <c:v>0.169891891891892</c:v>
                </c:pt>
                <c:pt idx="180">
                  <c:v>0.110315789473684</c:v>
                </c:pt>
                <c:pt idx="181">
                  <c:v>0.247914438502674</c:v>
                </c:pt>
                <c:pt idx="182">
                  <c:v>0.352677595628415</c:v>
                </c:pt>
                <c:pt idx="183">
                  <c:v>0.0554444444444445</c:v>
                </c:pt>
                <c:pt idx="184">
                  <c:v>0.0110555555555556</c:v>
                </c:pt>
                <c:pt idx="185">
                  <c:v>0.110568181818182</c:v>
                </c:pt>
                <c:pt idx="186">
                  <c:v>0.100393258426966</c:v>
                </c:pt>
                <c:pt idx="187">
                  <c:v>0.249302325581395</c:v>
                </c:pt>
                <c:pt idx="188">
                  <c:v>0</c:v>
                </c:pt>
                <c:pt idx="189">
                  <c:v>0.309477124183007</c:v>
                </c:pt>
                <c:pt idx="190">
                  <c:v>0.089320987654321</c:v>
                </c:pt>
                <c:pt idx="191">
                  <c:v>0.0306134969325153</c:v>
                </c:pt>
                <c:pt idx="192">
                  <c:v>0.101042944785276</c:v>
                </c:pt>
                <c:pt idx="193">
                  <c:v>0.0728834355828221</c:v>
                </c:pt>
                <c:pt idx="194">
                  <c:v>0.0815094339622642</c:v>
                </c:pt>
                <c:pt idx="195">
                  <c:v>0.115806451612903</c:v>
                </c:pt>
                <c:pt idx="196">
                  <c:v>0.184415584415584</c:v>
                </c:pt>
                <c:pt idx="197">
                  <c:v>0.128354430379747</c:v>
                </c:pt>
                <c:pt idx="198">
                  <c:v>0.0954938271604938</c:v>
                </c:pt>
                <c:pt idx="199">
                  <c:v>0</c:v>
                </c:pt>
                <c:pt idx="200">
                  <c:v>0.226625</c:v>
                </c:pt>
                <c:pt idx="201">
                  <c:v>0.00630573248407643</c:v>
                </c:pt>
                <c:pt idx="202">
                  <c:v>0</c:v>
                </c:pt>
                <c:pt idx="203">
                  <c:v>0.143541666666667</c:v>
                </c:pt>
                <c:pt idx="204">
                  <c:v>0.0447586206896552</c:v>
                </c:pt>
                <c:pt idx="205">
                  <c:v>0</c:v>
                </c:pt>
                <c:pt idx="206">
                  <c:v>0</c:v>
                </c:pt>
                <c:pt idx="207">
                  <c:v>0.0341780821917808</c:v>
                </c:pt>
                <c:pt idx="208">
                  <c:v>0.132380952380952</c:v>
                </c:pt>
                <c:pt idx="209">
                  <c:v>0.0491549295774648</c:v>
                </c:pt>
                <c:pt idx="210">
                  <c:v>0.0772535211267606</c:v>
                </c:pt>
                <c:pt idx="211">
                  <c:v>0.085037037037037</c:v>
                </c:pt>
                <c:pt idx="212">
                  <c:v>0.0140140845070423</c:v>
                </c:pt>
                <c:pt idx="213">
                  <c:v>0.0912056737588653</c:v>
                </c:pt>
                <c:pt idx="214">
                  <c:v>0.027448275862069</c:v>
                </c:pt>
                <c:pt idx="215">
                  <c:v>0.0808108108108108</c:v>
                </c:pt>
                <c:pt idx="216">
                  <c:v>0.0207638888888889</c:v>
                </c:pt>
                <c:pt idx="217">
                  <c:v>0.0789208633093525</c:v>
                </c:pt>
                <c:pt idx="218">
                  <c:v>0</c:v>
                </c:pt>
                <c:pt idx="219">
                  <c:v>0.0437226277372263</c:v>
                </c:pt>
                <c:pt idx="220">
                  <c:v>0.0968656716417911</c:v>
                </c:pt>
                <c:pt idx="221">
                  <c:v>0</c:v>
                </c:pt>
                <c:pt idx="222">
                  <c:v>0.0988549618320611</c:v>
                </c:pt>
                <c:pt idx="223">
                  <c:v>0.0457251908396947</c:v>
                </c:pt>
                <c:pt idx="224">
                  <c:v>0</c:v>
                </c:pt>
                <c:pt idx="225">
                  <c:v>0.0717692307692308</c:v>
                </c:pt>
                <c:pt idx="226">
                  <c:v>0.0155555555555556</c:v>
                </c:pt>
                <c:pt idx="227">
                  <c:v>0</c:v>
                </c:pt>
                <c:pt idx="228">
                  <c:v>0</c:v>
                </c:pt>
                <c:pt idx="229">
                  <c:v>0.0316</c:v>
                </c:pt>
                <c:pt idx="230">
                  <c:v>0.0511111111111111</c:v>
                </c:pt>
                <c:pt idx="231">
                  <c:v>0.0588976377952756</c:v>
                </c:pt>
                <c:pt idx="232">
                  <c:v>0</c:v>
                </c:pt>
                <c:pt idx="233">
                  <c:v>0</c:v>
                </c:pt>
                <c:pt idx="234">
                  <c:v>0.01592</c:v>
                </c:pt>
                <c:pt idx="235">
                  <c:v>0</c:v>
                </c:pt>
                <c:pt idx="236">
                  <c:v>0.10725</c:v>
                </c:pt>
                <c:pt idx="237">
                  <c:v>0</c:v>
                </c:pt>
                <c:pt idx="238">
                  <c:v>0.160894308943089</c:v>
                </c:pt>
                <c:pt idx="239">
                  <c:v>0.233387096774194</c:v>
                </c:pt>
                <c:pt idx="240">
                  <c:v>0</c:v>
                </c:pt>
                <c:pt idx="241">
                  <c:v>0.054453125</c:v>
                </c:pt>
                <c:pt idx="242">
                  <c:v>0.0352755905511811</c:v>
                </c:pt>
                <c:pt idx="243">
                  <c:v>0.36704347826087</c:v>
                </c:pt>
                <c:pt idx="244">
                  <c:v>0</c:v>
                </c:pt>
                <c:pt idx="245">
                  <c:v>0.0589090909090909</c:v>
                </c:pt>
                <c:pt idx="246">
                  <c:v>0.13929203539823</c:v>
                </c:pt>
                <c:pt idx="247">
                  <c:v>0</c:v>
                </c:pt>
                <c:pt idx="248">
                  <c:v>0.0403603603603604</c:v>
                </c:pt>
                <c:pt idx="249">
                  <c:v>0.0403603603603604</c:v>
                </c:pt>
                <c:pt idx="250">
                  <c:v>0.0853153153153153</c:v>
                </c:pt>
              </c:numCache>
            </c:numRef>
          </c:val>
          <c:smooth val="1"/>
        </c:ser>
        <c:ser>
          <c:idx val="1"/>
          <c:order val="1"/>
          <c:tx>
            <c:v>IOS ARPU</c:v>
          </c:tx>
          <c:spPr>
            <a:ln w="9525" cap="flat">
              <a:solidFill>
                <a:srgbClr val="00FF00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3"/>
            <c:marker>
              <c:symbol val="none"/>
            </c:marker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ARPU!$U$2:$U$252</c:f>
              <c:strCache>
                <c:ptCount val="25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strCache>
            </c:strRef>
          </c:cat>
          <c:val>
            <c:numRef>
              <c:f>ARPU!$W$2:$W$252</c:f>
              <c:numCache>
                <c:formatCode>General</c:formatCode>
                <c:ptCount val="251"/>
                <c:pt idx="0">
                  <c:v>0</c:v>
                </c:pt>
                <c:pt idx="1">
                  <c:v>0.00769326683291771</c:v>
                </c:pt>
                <c:pt idx="2">
                  <c:v>0.00296153846153846</c:v>
                </c:pt>
                <c:pt idx="3">
                  <c:v>0.00301837270341207</c:v>
                </c:pt>
                <c:pt idx="4">
                  <c:v>0</c:v>
                </c:pt>
                <c:pt idx="5">
                  <c:v>0</c:v>
                </c:pt>
                <c:pt idx="6">
                  <c:v>0.0030446549391069</c:v>
                </c:pt>
                <c:pt idx="7">
                  <c:v>0.0027448275862069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0.0148148148148148</c:v>
                </c:pt>
                <c:pt idx="12">
                  <c:v>0</c:v>
                </c:pt>
                <c:pt idx="13">
                  <c:v>0.0235073409461664</c:v>
                </c:pt>
                <c:pt idx="14">
                  <c:v>0.0079327731092437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0.00564338235294118</c:v>
                </c:pt>
                <c:pt idx="20">
                  <c:v>0.0326425855513308</c:v>
                </c:pt>
                <c:pt idx="21">
                  <c:v>0.00886319845857418</c:v>
                </c:pt>
                <c:pt idx="22">
                  <c:v>0.0018503937007874</c:v>
                </c:pt>
                <c:pt idx="23">
                  <c:v>0.00460416666666667</c:v>
                </c:pt>
                <c:pt idx="24">
                  <c:v>0.00422505307855626</c:v>
                </c:pt>
                <c:pt idx="25">
                  <c:v>0</c:v>
                </c:pt>
                <c:pt idx="26">
                  <c:v>0</c:v>
                </c:pt>
                <c:pt idx="27">
                  <c:v>0.0112080536912752</c:v>
                </c:pt>
                <c:pt idx="28">
                  <c:v>0</c:v>
                </c:pt>
                <c:pt idx="29">
                  <c:v>0.00221973094170404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0.0222748815165877</c:v>
                </c:pt>
                <c:pt idx="34">
                  <c:v>0.00232941176470588</c:v>
                </c:pt>
                <c:pt idx="35">
                  <c:v>0</c:v>
                </c:pt>
                <c:pt idx="36">
                  <c:v>0</c:v>
                </c:pt>
                <c:pt idx="37">
                  <c:v>0.00481296758104738</c:v>
                </c:pt>
                <c:pt idx="38">
                  <c:v>0</c:v>
                </c:pt>
                <c:pt idx="39">
                  <c:v>0.04911227154047</c:v>
                </c:pt>
                <c:pt idx="40">
                  <c:v>0.104216216216216</c:v>
                </c:pt>
                <c:pt idx="41">
                  <c:v>0</c:v>
                </c:pt>
                <c:pt idx="42">
                  <c:v>0.0621345029239766</c:v>
                </c:pt>
                <c:pt idx="43">
                  <c:v>0.0106176470588235</c:v>
                </c:pt>
                <c:pt idx="44">
                  <c:v>0</c:v>
                </c:pt>
                <c:pt idx="45">
                  <c:v>0.0292961876832845</c:v>
                </c:pt>
                <c:pt idx="46">
                  <c:v>0</c:v>
                </c:pt>
                <c:pt idx="47">
                  <c:v>0.00292035398230089</c:v>
                </c:pt>
                <c:pt idx="48">
                  <c:v>0.0148511904761905</c:v>
                </c:pt>
                <c:pt idx="49">
                  <c:v>0.0433024691358025</c:v>
                </c:pt>
                <c:pt idx="50">
                  <c:v>0.0302424242424242</c:v>
                </c:pt>
                <c:pt idx="51">
                  <c:v>0.203993610223642</c:v>
                </c:pt>
                <c:pt idx="52">
                  <c:v>0.00868421052631579</c:v>
                </c:pt>
                <c:pt idx="53">
                  <c:v>0</c:v>
                </c:pt>
                <c:pt idx="54">
                  <c:v>0</c:v>
                </c:pt>
                <c:pt idx="55">
                  <c:v>0.141850533807829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0.0109558823529412</c:v>
                </c:pt>
                <c:pt idx="60">
                  <c:v>0</c:v>
                </c:pt>
                <c:pt idx="61">
                  <c:v>0.0594594594594595</c:v>
                </c:pt>
                <c:pt idx="62">
                  <c:v>0.0523505976095618</c:v>
                </c:pt>
                <c:pt idx="63">
                  <c:v>0</c:v>
                </c:pt>
                <c:pt idx="64">
                  <c:v>0.00984189723320158</c:v>
                </c:pt>
                <c:pt idx="65">
                  <c:v>0.971407766990291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0.0579227053140097</c:v>
                </c:pt>
                <c:pt idx="74">
                  <c:v>0.0300961538461538</c:v>
                </c:pt>
                <c:pt idx="75">
                  <c:v>0.358260869565217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0.0621468926553672</c:v>
                </c:pt>
                <c:pt idx="80">
                  <c:v>0.168245614035088</c:v>
                </c:pt>
                <c:pt idx="81">
                  <c:v>0</c:v>
                </c:pt>
                <c:pt idx="82">
                  <c:v>0.0141975308641975</c:v>
                </c:pt>
                <c:pt idx="83">
                  <c:v>0.0393333333333333</c:v>
                </c:pt>
                <c:pt idx="84">
                  <c:v>0</c:v>
                </c:pt>
                <c:pt idx="85">
                  <c:v>0.0411176470588235</c:v>
                </c:pt>
                <c:pt idx="86">
                  <c:v>0.017797619047619</c:v>
                </c:pt>
                <c:pt idx="87">
                  <c:v>0.204903225806452</c:v>
                </c:pt>
                <c:pt idx="88">
                  <c:v>0</c:v>
                </c:pt>
                <c:pt idx="89">
                  <c:v>0</c:v>
                </c:pt>
                <c:pt idx="90">
                  <c:v>0.0880392156862745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0.358201438848921</c:v>
                </c:pt>
                <c:pt idx="96">
                  <c:v>0</c:v>
                </c:pt>
                <c:pt idx="97">
                  <c:v>0.0733823529411765</c:v>
                </c:pt>
                <c:pt idx="98">
                  <c:v>0.0605970149253731</c:v>
                </c:pt>
                <c:pt idx="99">
                  <c:v>0</c:v>
                </c:pt>
                <c:pt idx="100">
                  <c:v>0</c:v>
                </c:pt>
                <c:pt idx="101">
                  <c:v>0.0480740740740741</c:v>
                </c:pt>
                <c:pt idx="102">
                  <c:v>0.0165467625899281</c:v>
                </c:pt>
                <c:pt idx="103">
                  <c:v>0</c:v>
                </c:pt>
                <c:pt idx="104">
                  <c:v>0</c:v>
                </c:pt>
                <c:pt idx="105">
                  <c:v>0.0177857142857143</c:v>
                </c:pt>
                <c:pt idx="106">
                  <c:v>0.0213571428571429</c:v>
                </c:pt>
                <c:pt idx="107">
                  <c:v>0.0808450704225352</c:v>
                </c:pt>
                <c:pt idx="108">
                  <c:v>0</c:v>
                </c:pt>
                <c:pt idx="109">
                  <c:v>0</c:v>
                </c:pt>
                <c:pt idx="110">
                  <c:v>0.0433333333333333</c:v>
                </c:pt>
                <c:pt idx="111">
                  <c:v>0.0134285714285714</c:v>
                </c:pt>
                <c:pt idx="112">
                  <c:v>0.0646043165467626</c:v>
                </c:pt>
                <c:pt idx="113">
                  <c:v>0</c:v>
                </c:pt>
                <c:pt idx="114">
                  <c:v>0</c:v>
                </c:pt>
                <c:pt idx="115">
                  <c:v>0.247101449275362</c:v>
                </c:pt>
                <c:pt idx="116">
                  <c:v>0</c:v>
                </c:pt>
                <c:pt idx="117">
                  <c:v>0.0320714285714286</c:v>
                </c:pt>
                <c:pt idx="118">
                  <c:v>0</c:v>
                </c:pt>
                <c:pt idx="119">
                  <c:v>0.0366911764705882</c:v>
                </c:pt>
                <c:pt idx="120">
                  <c:v>0.239758064516129</c:v>
                </c:pt>
                <c:pt idx="121">
                  <c:v>0.0990476190476191</c:v>
                </c:pt>
                <c:pt idx="122">
                  <c:v>0</c:v>
                </c:pt>
                <c:pt idx="123">
                  <c:v>0</c:v>
                </c:pt>
                <c:pt idx="124">
                  <c:v>0.21516393442623</c:v>
                </c:pt>
                <c:pt idx="125">
                  <c:v>0.0507317073170732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0.0563207547169811</c:v>
                </c:pt>
                <c:pt idx="133">
                  <c:v>0.205044247787611</c:v>
                </c:pt>
                <c:pt idx="134">
                  <c:v>0</c:v>
                </c:pt>
                <c:pt idx="135">
                  <c:v>0.0457798165137615</c:v>
                </c:pt>
                <c:pt idx="136">
                  <c:v>0.06</c:v>
                </c:pt>
                <c:pt idx="137">
                  <c:v>0.199304347826087</c:v>
                </c:pt>
                <c:pt idx="138">
                  <c:v>0</c:v>
                </c:pt>
                <c:pt idx="139">
                  <c:v>0</c:v>
                </c:pt>
                <c:pt idx="140">
                  <c:v>0.572592592592593</c:v>
                </c:pt>
                <c:pt idx="141">
                  <c:v>0.0741441441441442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0.291491228070175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0.282523364485981</c:v>
                </c:pt>
                <c:pt idx="152">
                  <c:v>0.0951428571428571</c:v>
                </c:pt>
                <c:pt idx="153">
                  <c:v>0</c:v>
                </c:pt>
                <c:pt idx="154">
                  <c:v>0.048921568627451</c:v>
                </c:pt>
                <c:pt idx="155">
                  <c:v>0</c:v>
                </c:pt>
                <c:pt idx="156">
                  <c:v>0</c:v>
                </c:pt>
                <c:pt idx="157">
                  <c:v>0.112142857142857</c:v>
                </c:pt>
                <c:pt idx="158">
                  <c:v>0</c:v>
                </c:pt>
                <c:pt idx="159">
                  <c:v>0.241428571428571</c:v>
                </c:pt>
                <c:pt idx="160">
                  <c:v>0.0187735849056604</c:v>
                </c:pt>
                <c:pt idx="161">
                  <c:v>0</c:v>
                </c:pt>
                <c:pt idx="162">
                  <c:v>0</c:v>
                </c:pt>
                <c:pt idx="163">
                  <c:v>0.018952380952381</c:v>
                </c:pt>
                <c:pt idx="164">
                  <c:v>0.0234905660377359</c:v>
                </c:pt>
                <c:pt idx="165">
                  <c:v>0</c:v>
                </c:pt>
                <c:pt idx="166">
                  <c:v>0</c:v>
                </c:pt>
                <c:pt idx="167">
                  <c:v>0.104571428571429</c:v>
                </c:pt>
                <c:pt idx="168">
                  <c:v>0</c:v>
                </c:pt>
                <c:pt idx="169">
                  <c:v>0.522268041237113</c:v>
                </c:pt>
                <c:pt idx="170">
                  <c:v>0</c:v>
                </c:pt>
                <c:pt idx="171">
                  <c:v>0.159468085106383</c:v>
                </c:pt>
                <c:pt idx="172">
                  <c:v>0.130888888888889</c:v>
                </c:pt>
                <c:pt idx="173">
                  <c:v>0.0580232558139535</c:v>
                </c:pt>
                <c:pt idx="174">
                  <c:v>0.101071428571429</c:v>
                </c:pt>
                <c:pt idx="175">
                  <c:v>0.177037037037037</c:v>
                </c:pt>
                <c:pt idx="176">
                  <c:v>0.0672413793103448</c:v>
                </c:pt>
                <c:pt idx="177">
                  <c:v>0.655</c:v>
                </c:pt>
                <c:pt idx="178">
                  <c:v>0.308028169014085</c:v>
                </c:pt>
                <c:pt idx="179">
                  <c:v>0.0997101449275362</c:v>
                </c:pt>
                <c:pt idx="180">
                  <c:v>0</c:v>
                </c:pt>
                <c:pt idx="181">
                  <c:v>0.0870833333333333</c:v>
                </c:pt>
                <c:pt idx="182">
                  <c:v>0.298243243243243</c:v>
                </c:pt>
                <c:pt idx="183">
                  <c:v>0.0693055555555556</c:v>
                </c:pt>
                <c:pt idx="184">
                  <c:v>0</c:v>
                </c:pt>
                <c:pt idx="185">
                  <c:v>0.0889041095890411</c:v>
                </c:pt>
                <c:pt idx="186">
                  <c:v>0.116438356164384</c:v>
                </c:pt>
                <c:pt idx="187">
                  <c:v>0</c:v>
                </c:pt>
                <c:pt idx="188">
                  <c:v>0</c:v>
                </c:pt>
                <c:pt idx="189">
                  <c:v>0.0528767123287671</c:v>
                </c:pt>
                <c:pt idx="190">
                  <c:v>0.0254054054054054</c:v>
                </c:pt>
                <c:pt idx="191">
                  <c:v>0</c:v>
                </c:pt>
                <c:pt idx="192">
                  <c:v>0</c:v>
                </c:pt>
                <c:pt idx="193">
                  <c:v>0.0860810810810811</c:v>
                </c:pt>
                <c:pt idx="194">
                  <c:v>0.290540540540541</c:v>
                </c:pt>
                <c:pt idx="195">
                  <c:v>0.193835616438356</c:v>
                </c:pt>
                <c:pt idx="196">
                  <c:v>0.0693055555555556</c:v>
                </c:pt>
                <c:pt idx="197">
                  <c:v>0.196527777777778</c:v>
                </c:pt>
                <c:pt idx="198">
                  <c:v>0.5248</c:v>
                </c:pt>
                <c:pt idx="199">
                  <c:v>0.0341095890410959</c:v>
                </c:pt>
                <c:pt idx="200">
                  <c:v>0.257222222222222</c:v>
                </c:pt>
                <c:pt idx="201">
                  <c:v>0.182957746478873</c:v>
                </c:pt>
                <c:pt idx="202">
                  <c:v>0</c:v>
                </c:pt>
                <c:pt idx="203">
                  <c:v>0.22952380952381</c:v>
                </c:pt>
                <c:pt idx="204">
                  <c:v>0.0395238095238095</c:v>
                </c:pt>
                <c:pt idx="205">
                  <c:v>0</c:v>
                </c:pt>
                <c:pt idx="206">
                  <c:v>0</c:v>
                </c:pt>
                <c:pt idx="207">
                  <c:v>0.0437704918032787</c:v>
                </c:pt>
                <c:pt idx="208">
                  <c:v>0</c:v>
                </c:pt>
                <c:pt idx="209">
                  <c:v>0.108166666666667</c:v>
                </c:pt>
                <c:pt idx="210">
                  <c:v>0</c:v>
                </c:pt>
                <c:pt idx="211">
                  <c:v>0.12546875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0.0753448275862069</c:v>
                </c:pt>
                <c:pt idx="216">
                  <c:v>0</c:v>
                </c:pt>
                <c:pt idx="217">
                  <c:v>0</c:v>
                </c:pt>
                <c:pt idx="218">
                  <c:v>0.097843137254902</c:v>
                </c:pt>
                <c:pt idx="219">
                  <c:v>0</c:v>
                </c:pt>
                <c:pt idx="220">
                  <c:v>0.672884615384615</c:v>
                </c:pt>
                <c:pt idx="221">
                  <c:v>0</c:v>
                </c:pt>
                <c:pt idx="222">
                  <c:v>0.22377358490566</c:v>
                </c:pt>
                <c:pt idx="223">
                  <c:v>0.0898</c:v>
                </c:pt>
                <c:pt idx="224">
                  <c:v>0</c:v>
                </c:pt>
                <c:pt idx="225">
                  <c:v>0.0885106382978723</c:v>
                </c:pt>
                <c:pt idx="226">
                  <c:v>0.103958333333333</c:v>
                </c:pt>
                <c:pt idx="227">
                  <c:v>0.346875</c:v>
                </c:pt>
                <c:pt idx="228">
                  <c:v>0</c:v>
                </c:pt>
                <c:pt idx="229">
                  <c:v>0</c:v>
                </c:pt>
                <c:pt idx="230">
                  <c:v>0.0352830188679245</c:v>
                </c:pt>
                <c:pt idx="231">
                  <c:v>0</c:v>
                </c:pt>
                <c:pt idx="232">
                  <c:v>0.181666666666667</c:v>
                </c:pt>
                <c:pt idx="233">
                  <c:v>0.0346296296296296</c:v>
                </c:pt>
                <c:pt idx="234">
                  <c:v>0</c:v>
                </c:pt>
                <c:pt idx="235">
                  <c:v>0</c:v>
                </c:pt>
                <c:pt idx="236">
                  <c:v>0.0328070175438597</c:v>
                </c:pt>
                <c:pt idx="237">
                  <c:v>0.231785714285714</c:v>
                </c:pt>
                <c:pt idx="238">
                  <c:v>0.59462962962963</c:v>
                </c:pt>
                <c:pt idx="239">
                  <c:v>0.0442307692307692</c:v>
                </c:pt>
                <c:pt idx="240">
                  <c:v>0</c:v>
                </c:pt>
                <c:pt idx="241">
                  <c:v>0.0459574468085106</c:v>
                </c:pt>
                <c:pt idx="242">
                  <c:v>0</c:v>
                </c:pt>
                <c:pt idx="243">
                  <c:v>0.571276595744681</c:v>
                </c:pt>
                <c:pt idx="244">
                  <c:v>0</c:v>
                </c:pt>
                <c:pt idx="245">
                  <c:v>0.0997777777777778</c:v>
                </c:pt>
                <c:pt idx="246">
                  <c:v>1.24979166666667</c:v>
                </c:pt>
                <c:pt idx="247">
                  <c:v>0</c:v>
                </c:pt>
                <c:pt idx="248">
                  <c:v>0.092</c:v>
                </c:pt>
                <c:pt idx="249">
                  <c:v>0.0511111111111111</c:v>
                </c:pt>
                <c:pt idx="250">
                  <c:v>0</c:v>
                </c:pt>
              </c:numCache>
            </c:numRef>
          </c:val>
          <c:smooth val="1"/>
        </c:ser>
        <c:marker val="1"/>
        <c:axId val="1111"/>
        <c:axId val="2222"/>
        <c:smooth val="1"/>
      </c:lineChart>
      <c:catAx>
        <c:axId val="1111"/>
        <c:scaling>
          <c:orientation val="minMax"/>
        </c:scaling>
        <c:delete val="0"/>
        <c:axPos val="b"/>
        <c:title>
          <c:tx>
            <c:rich>
              <a:bodyPr anchor="ctr" anchorCtr="1" rot="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majorTickMark val="none"/>
        <c:minorTickMark val="none"/>
        <c:tickLblPos val="nextTo"/>
        <c:spPr>
          <a:noFill/>
          <a:ln cap="flat"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</c:catAx>
      <c:valAx>
        <c:axId val="2222"/>
        <c:scaling>
          <c:orientation val="minMax"/>
        </c:scaling>
        <c:delete val="0"/>
        <c:axPos val="l"/>
        <c:majorGridlines>
          <c:spPr>
            <a:ln w="635" cap="flat">
              <a:solidFill>
                <a:srgbClr val="B7B7B7">
                  <a:alpha val="99999"/>
                </a:srgbClr>
              </a:solidFill>
              <a:round/>
            </a:ln>
          </c:spPr>
        </c:majorGridlines>
        <c:minorGridlines>
          <c:spPr>
            <a:ln w="635" cap="flat">
              <a:solidFill>
                <a:srgbClr val="CCCCCC">
                  <a:alpha val="99999"/>
                </a:srgbClr>
              </a:solidFill>
              <a:round/>
            </a:ln>
          </c:spPr>
        </c:minorGridlines>
        <c:title>
          <c:tx>
            <c:rich>
              <a:bodyPr anchor="ctr" anchorCtr="1" rot="-540000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ARPU Değeri ($)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 cap="flat"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400" b="1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1111"/>
        <c:crosses val="autoZero"/>
        <c:crossBetween val="midCat"/>
      </c:valAx>
      <c:spPr>
        <a:noFill/>
        <a:ln>
          <a:noFill/>
          <a:round/>
        </a:ln>
      </c:spPr>
    </c:plotArea>
    <c:legend>
      <c:legendPos val="t"/>
      <c:layout/>
      <c:spPr>
        <a:noFill/>
        <a:ln>
          <a:noFill/>
          <a:round/>
        </a:ln>
      </c:spPr>
      <c:txPr>
        <a:bodyPr anchor="t" anchorCtr="1" rot="0" vert="horz"/>
        <a:lstStyle/>
        <a:p>
          <a:pPr>
            <a:defRPr sz="1100" b="0" i="0" u="none" baseline="0">
              <a:solidFill>
                <a:srgbClr val="1a1a1a"/>
              </a:solidFill>
              <a:latin typeface="Arial"/>
              <a:ea typeface="Arial"/>
            </a:defRPr>
          </a:pPr>
          <a:endParaRPr lang="ko-KR"/>
        </a:p>
      </c:txPr>
      <c:overlay val="0"/>
    </c:legend>
    <c:plotVisOnly val="1"/>
    <c:dispBlanksAs val="gap"/>
  </c:chart>
  <c:spPr>
    <a:ln w="9525" cap="flat"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anchor="ctr" anchorCtr="1" rot="0" vert="horz"/>
          <a:lstStyle/>
          <a:p>
            <a:pPr algn="ctr">
              <a:defRPr sz="14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u="none" baseline="0">
                <a:solidFill>
                  <a:srgbClr val="000000"/>
                </a:solidFill>
                <a:latin typeface="Arial"/>
                <a:ea typeface="Arial"/>
              </a:rPr>
              <a:t>Level Bazında Av.Rw Değişimi</a:t>
            </a:r>
          </a:p>
        </c:rich>
      </c:tx>
      <c:layout/>
      <c:overlay val="0"/>
      <c:spPr>
        <a:noFill/>
        <a:ln>
          <a:noFill/>
          <a:round/>
        </a:ln>
      </c:spPr>
    </c:title>
    <c:plotArea>
      <c:layout/>
      <c:lineChart>
        <c:grouping val="standard"/>
        <c:varyColors val="1"/>
        <c:ser>
          <c:idx val="0"/>
          <c:order val="0"/>
          <c:tx>
            <c:v>AND_Av.Rw</c:v>
          </c:tx>
          <c:spPr>
            <a:ln w="9525" cap="flat">
              <a:solidFill>
                <a:srgbClr val="F1C232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5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Av.Rw!$U$2:$U$252</c:f>
              <c:strCache>
                <c:ptCount val="25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strCache>
            </c:strRef>
          </c:cat>
          <c:val>
            <c:numRef>
              <c:f>Av.Rw!$V$2:$V$252</c:f>
              <c:numCache>
                <c:formatCode>General</c:formatCode>
                <c:ptCount val="251"/>
                <c:pt idx="0">
                  <c:v>0</c:v>
                </c:pt>
                <c:pt idx="1">
                  <c:v>0.000644883920894239</c:v>
                </c:pt>
                <c:pt idx="2">
                  <c:v>0.000218197687104517</c:v>
                </c:pt>
                <c:pt idx="3">
                  <c:v>0.000661229887590919</c:v>
                </c:pt>
                <c:pt idx="4">
                  <c:v>0.00066711140760507</c:v>
                </c:pt>
                <c:pt idx="5">
                  <c:v>0.0011258725512272</c:v>
                </c:pt>
                <c:pt idx="6">
                  <c:v>0.00159163256025466</c:v>
                </c:pt>
                <c:pt idx="7">
                  <c:v>0.000688231245698555</c:v>
                </c:pt>
                <c:pt idx="8">
                  <c:v>0</c:v>
                </c:pt>
                <c:pt idx="9">
                  <c:v>0.00607476635514019</c:v>
                </c:pt>
                <c:pt idx="10">
                  <c:v>0.00192400192400192</c:v>
                </c:pt>
                <c:pt idx="11">
                  <c:v>0.196382428940569</c:v>
                </c:pt>
                <c:pt idx="12">
                  <c:v>0.130482157450286</c:v>
                </c:pt>
                <c:pt idx="13">
                  <c:v>0.135754189944134</c:v>
                </c:pt>
                <c:pt idx="14">
                  <c:v>0.155690352397458</c:v>
                </c:pt>
                <c:pt idx="15">
                  <c:v>0.136082474226804</c:v>
                </c:pt>
                <c:pt idx="16">
                  <c:v>0.135869565217391</c:v>
                </c:pt>
                <c:pt idx="17">
                  <c:v>0.131953028430161</c:v>
                </c:pt>
                <c:pt idx="18">
                  <c:v>0.129837702871411</c:v>
                </c:pt>
                <c:pt idx="19">
                  <c:v>0.2570612503967</c:v>
                </c:pt>
                <c:pt idx="20">
                  <c:v>0.165211768509538</c:v>
                </c:pt>
                <c:pt idx="21">
                  <c:v>0.341105929380413</c:v>
                </c:pt>
                <c:pt idx="22">
                  <c:v>0.16905737704918</c:v>
                </c:pt>
                <c:pt idx="23">
                  <c:v>0.213080168776371</c:v>
                </c:pt>
                <c:pt idx="24">
                  <c:v>0.200859291084855</c:v>
                </c:pt>
                <c:pt idx="25">
                  <c:v>0.153260869565217</c:v>
                </c:pt>
                <c:pt idx="26">
                  <c:v>0.150943396226415</c:v>
                </c:pt>
                <c:pt idx="27">
                  <c:v>0.180128934395146</c:v>
                </c:pt>
                <c:pt idx="28">
                  <c:v>0.150249137600613</c:v>
                </c:pt>
                <c:pt idx="29">
                  <c:v>0.148234381063252</c:v>
                </c:pt>
                <c:pt idx="30">
                  <c:v>0.163979551710578</c:v>
                </c:pt>
                <c:pt idx="31">
                  <c:v>0.202210397052804</c:v>
                </c:pt>
                <c:pt idx="32">
                  <c:v>0.1875</c:v>
                </c:pt>
                <c:pt idx="33">
                  <c:v>0.237257555254849</c:v>
                </c:pt>
                <c:pt idx="34">
                  <c:v>0.242250834525513</c:v>
                </c:pt>
                <c:pt idx="35">
                  <c:v>0.195756991321119</c:v>
                </c:pt>
                <c:pt idx="36">
                  <c:v>0.172581429265921</c:v>
                </c:pt>
                <c:pt idx="37">
                  <c:v>0.169291338582677</c:v>
                </c:pt>
                <c:pt idx="38">
                  <c:v>0.16980198019802</c:v>
                </c:pt>
                <c:pt idx="39">
                  <c:v>0.339001062699256</c:v>
                </c:pt>
                <c:pt idx="40">
                  <c:v>0.5335668417980149</c:v>
                </c:pt>
                <c:pt idx="41">
                  <c:v>0.222352252779403</c:v>
                </c:pt>
                <c:pt idx="42">
                  <c:v>0.45003065603924</c:v>
                </c:pt>
                <c:pt idx="43">
                  <c:v>0.241935483870968</c:v>
                </c:pt>
                <c:pt idx="44">
                  <c:v>0.217418546365915</c:v>
                </c:pt>
                <c:pt idx="45">
                  <c:v>0.207570977917981</c:v>
                </c:pt>
                <c:pt idx="46">
                  <c:v>0.198979591836735</c:v>
                </c:pt>
                <c:pt idx="47">
                  <c:v>0.188703465982028</c:v>
                </c:pt>
                <c:pt idx="48">
                  <c:v>0.227125243348475</c:v>
                </c:pt>
                <c:pt idx="49">
                  <c:v>0.443020903573837</c:v>
                </c:pt>
                <c:pt idx="50">
                  <c:v>0.405878236529041</c:v>
                </c:pt>
                <c:pt idx="51">
                  <c:v>0.480519480519481</c:v>
                </c:pt>
                <c:pt idx="52">
                  <c:v>0.348066298342541</c:v>
                </c:pt>
                <c:pt idx="53">
                  <c:v>0.224603174603175</c:v>
                </c:pt>
                <c:pt idx="54">
                  <c:v>0.224</c:v>
                </c:pt>
                <c:pt idx="55">
                  <c:v>0.6816102470265329</c:v>
                </c:pt>
                <c:pt idx="56">
                  <c:v>0.258364312267658</c:v>
                </c:pt>
                <c:pt idx="57">
                  <c:v>0.242056074766355</c:v>
                </c:pt>
                <c:pt idx="58">
                  <c:v>0.26861451460886</c:v>
                </c:pt>
                <c:pt idx="59">
                  <c:v>0.394460362941738</c:v>
                </c:pt>
                <c:pt idx="60">
                  <c:v>0.288480154888674</c:v>
                </c:pt>
                <c:pt idx="61">
                  <c:v>0.398019801980198</c:v>
                </c:pt>
                <c:pt idx="62">
                  <c:v>0.374239350912779</c:v>
                </c:pt>
                <c:pt idx="63">
                  <c:v>0.265035677879715</c:v>
                </c:pt>
                <c:pt idx="64">
                  <c:v>0.304033092037229</c:v>
                </c:pt>
                <c:pt idx="65">
                  <c:v>1.12694300518135</c:v>
                </c:pt>
                <c:pt idx="66">
                  <c:v>0.283289817232376</c:v>
                </c:pt>
                <c:pt idx="67">
                  <c:v>0.346508563899868</c:v>
                </c:pt>
                <c:pt idx="68">
                  <c:v>0.35</c:v>
                </c:pt>
                <c:pt idx="69">
                  <c:v>0.33596837944664</c:v>
                </c:pt>
                <c:pt idx="70">
                  <c:v>0.295514511873351</c:v>
                </c:pt>
                <c:pt idx="71">
                  <c:v>0.333776595744681</c:v>
                </c:pt>
                <c:pt idx="72">
                  <c:v>0.302949061662198</c:v>
                </c:pt>
                <c:pt idx="73">
                  <c:v>0.403485254691689</c:v>
                </c:pt>
                <c:pt idx="74">
                  <c:v>0.293478260869565</c:v>
                </c:pt>
                <c:pt idx="75">
                  <c:v>0.992354740061162</c:v>
                </c:pt>
                <c:pt idx="76">
                  <c:v>0.327102803738318</c:v>
                </c:pt>
                <c:pt idx="77">
                  <c:v>0.315625</c:v>
                </c:pt>
                <c:pt idx="78">
                  <c:v>0.299684542586751</c:v>
                </c:pt>
                <c:pt idx="79">
                  <c:v>0.378205128205128</c:v>
                </c:pt>
                <c:pt idx="80">
                  <c:v>0.752902155887231</c:v>
                </c:pt>
                <c:pt idx="81">
                  <c:v>0.517470881863561</c:v>
                </c:pt>
                <c:pt idx="82">
                  <c:v>0.395309882747069</c:v>
                </c:pt>
                <c:pt idx="83">
                  <c:v>0.321008403361345</c:v>
                </c:pt>
                <c:pt idx="84">
                  <c:v>0.46815834767642</c:v>
                </c:pt>
                <c:pt idx="85">
                  <c:v>0.712522045855379</c:v>
                </c:pt>
                <c:pt idx="86">
                  <c:v>0.35663082437276</c:v>
                </c:pt>
                <c:pt idx="87">
                  <c:v>0.706642066420664</c:v>
                </c:pt>
                <c:pt idx="88">
                  <c:v>0.41635687732342</c:v>
                </c:pt>
                <c:pt idx="89">
                  <c:v>0.362616822429907</c:v>
                </c:pt>
                <c:pt idx="90">
                  <c:v>0.588235294117647</c:v>
                </c:pt>
                <c:pt idx="91">
                  <c:v>0.386100386100386</c:v>
                </c:pt>
                <c:pt idx="92">
                  <c:v>0.49317738791423</c:v>
                </c:pt>
                <c:pt idx="93">
                  <c:v>0.333988212180747</c:v>
                </c:pt>
                <c:pt idx="94">
                  <c:v>0.339181286549708</c:v>
                </c:pt>
                <c:pt idx="95">
                  <c:v>1.02719665271967</c:v>
                </c:pt>
                <c:pt idx="96">
                  <c:v>0.498960498960499</c:v>
                </c:pt>
                <c:pt idx="97">
                  <c:v>0.658227848101266</c:v>
                </c:pt>
                <c:pt idx="98">
                  <c:v>0.382845188284519</c:v>
                </c:pt>
                <c:pt idx="99">
                  <c:v>0.409185803757829</c:v>
                </c:pt>
                <c:pt idx="100">
                  <c:v>0.354771784232365</c:v>
                </c:pt>
                <c:pt idx="101">
                  <c:v>0.374732334047109</c:v>
                </c:pt>
                <c:pt idx="102">
                  <c:v>0.370932754880694</c:v>
                </c:pt>
                <c:pt idx="103">
                  <c:v>0.325431034482759</c:v>
                </c:pt>
                <c:pt idx="104">
                  <c:v>0.46119733924612</c:v>
                </c:pt>
                <c:pt idx="105">
                  <c:v>0.582392776523702</c:v>
                </c:pt>
                <c:pt idx="106">
                  <c:v>0.498834498834499</c:v>
                </c:pt>
                <c:pt idx="107">
                  <c:v>0.710462287104623</c:v>
                </c:pt>
                <c:pt idx="108">
                  <c:v>0.533169533169533</c:v>
                </c:pt>
                <c:pt idx="109">
                  <c:v>0.411330049261084</c:v>
                </c:pt>
                <c:pt idx="110">
                  <c:v>0.54679802955665</c:v>
                </c:pt>
                <c:pt idx="111">
                  <c:v>0.597051597051597</c:v>
                </c:pt>
                <c:pt idx="112">
                  <c:v>0.718905472636816</c:v>
                </c:pt>
                <c:pt idx="113">
                  <c:v>0.398034398034398</c:v>
                </c:pt>
                <c:pt idx="114">
                  <c:v>0.466830466830467</c:v>
                </c:pt>
                <c:pt idx="115">
                  <c:v>0.851282051282051</c:v>
                </c:pt>
                <c:pt idx="116">
                  <c:v>0.483290488431877</c:v>
                </c:pt>
                <c:pt idx="117">
                  <c:v>0.441860465116279</c:v>
                </c:pt>
                <c:pt idx="118">
                  <c:v>0.56135770234987</c:v>
                </c:pt>
                <c:pt idx="119">
                  <c:v>0.502631578947368</c:v>
                </c:pt>
                <c:pt idx="120">
                  <c:v>0.96056338028169</c:v>
                </c:pt>
                <c:pt idx="121">
                  <c:v>0.6754385964912279</c:v>
                </c:pt>
                <c:pt idx="122">
                  <c:v>0.395953757225434</c:v>
                </c:pt>
                <c:pt idx="123">
                  <c:v>0.387931034482759</c:v>
                </c:pt>
                <c:pt idx="124">
                  <c:v>0.945619335347432</c:v>
                </c:pt>
                <c:pt idx="125">
                  <c:v>0.416666666666667</c:v>
                </c:pt>
                <c:pt idx="126">
                  <c:v>0.391691394658754</c:v>
                </c:pt>
                <c:pt idx="127">
                  <c:v>0.437125748502994</c:v>
                </c:pt>
                <c:pt idx="128">
                  <c:v>0.6767371601208459</c:v>
                </c:pt>
                <c:pt idx="129">
                  <c:v>0.555555555555556</c:v>
                </c:pt>
                <c:pt idx="130">
                  <c:v>0.554179566563467</c:v>
                </c:pt>
                <c:pt idx="131">
                  <c:v>0.429906542056075</c:v>
                </c:pt>
                <c:pt idx="132">
                  <c:v>0.625386996904025</c:v>
                </c:pt>
                <c:pt idx="133">
                  <c:v>0.81055900621118</c:v>
                </c:pt>
                <c:pt idx="134">
                  <c:v>0.42283950617284</c:v>
                </c:pt>
                <c:pt idx="135">
                  <c:v>0.667692307692308</c:v>
                </c:pt>
                <c:pt idx="136">
                  <c:v>0.834355828220859</c:v>
                </c:pt>
                <c:pt idx="137">
                  <c:v>0.905956112852665</c:v>
                </c:pt>
                <c:pt idx="138">
                  <c:v>0.43217665615142</c:v>
                </c:pt>
                <c:pt idx="139">
                  <c:v>0.549520766773163</c:v>
                </c:pt>
                <c:pt idx="140">
                  <c:v>0.934640522875817</c:v>
                </c:pt>
                <c:pt idx="141">
                  <c:v>0.57843137254902</c:v>
                </c:pt>
                <c:pt idx="142">
                  <c:v>0.521452145214521</c:v>
                </c:pt>
                <c:pt idx="143">
                  <c:v>0.480263157894737</c:v>
                </c:pt>
                <c:pt idx="144">
                  <c:v>0.401960784313726</c:v>
                </c:pt>
                <c:pt idx="145">
                  <c:v>0.626623376623377</c:v>
                </c:pt>
                <c:pt idx="146">
                  <c:v>0.42483660130719</c:v>
                </c:pt>
                <c:pt idx="147">
                  <c:v>0.901315789473684</c:v>
                </c:pt>
                <c:pt idx="148">
                  <c:v>0.442622950819672</c:v>
                </c:pt>
                <c:pt idx="149">
                  <c:v>0.503289473684211</c:v>
                </c:pt>
                <c:pt idx="150">
                  <c:v>0.608552631578947</c:v>
                </c:pt>
                <c:pt idx="151">
                  <c:v>0.791666666666667</c:v>
                </c:pt>
                <c:pt idx="152">
                  <c:v>0.515901060070671</c:v>
                </c:pt>
                <c:pt idx="153">
                  <c:v>0.397887323943662</c:v>
                </c:pt>
                <c:pt idx="154">
                  <c:v>0.779783393501805</c:v>
                </c:pt>
                <c:pt idx="155">
                  <c:v>0.396363636363636</c:v>
                </c:pt>
                <c:pt idx="156">
                  <c:v>0.47463768115942</c:v>
                </c:pt>
                <c:pt idx="157">
                  <c:v>0.699619771863118</c:v>
                </c:pt>
                <c:pt idx="158">
                  <c:v>0.52851711026616</c:v>
                </c:pt>
                <c:pt idx="159">
                  <c:v>1.01581027667984</c:v>
                </c:pt>
                <c:pt idx="160">
                  <c:v>0.5081300813008131</c:v>
                </c:pt>
                <c:pt idx="161">
                  <c:v>0.414634146341463</c:v>
                </c:pt>
                <c:pt idx="162">
                  <c:v>0.387755102040816</c:v>
                </c:pt>
                <c:pt idx="163">
                  <c:v>0.613821138211382</c:v>
                </c:pt>
                <c:pt idx="164">
                  <c:v>0.576131687242798</c:v>
                </c:pt>
                <c:pt idx="165">
                  <c:v>0.682926829268293</c:v>
                </c:pt>
                <c:pt idx="166">
                  <c:v>0.663934426229508</c:v>
                </c:pt>
                <c:pt idx="167">
                  <c:v>0.782051282051282</c:v>
                </c:pt>
                <c:pt idx="168">
                  <c:v>0.591304347826087</c:v>
                </c:pt>
                <c:pt idx="169">
                  <c:v>0.959459459459459</c:v>
                </c:pt>
                <c:pt idx="170">
                  <c:v>0.622222222222222</c:v>
                </c:pt>
                <c:pt idx="171">
                  <c:v>0.622222222222222</c:v>
                </c:pt>
                <c:pt idx="172">
                  <c:v>0.919282511210762</c:v>
                </c:pt>
                <c:pt idx="173">
                  <c:v>0.8301886792452829</c:v>
                </c:pt>
                <c:pt idx="174">
                  <c:v>0.563380281690141</c:v>
                </c:pt>
                <c:pt idx="175">
                  <c:v>0.931707317073171</c:v>
                </c:pt>
                <c:pt idx="176">
                  <c:v>0.842364532019704</c:v>
                </c:pt>
                <c:pt idx="177">
                  <c:v>1.05102040816327</c:v>
                </c:pt>
                <c:pt idx="178">
                  <c:v>0.771276595744681</c:v>
                </c:pt>
                <c:pt idx="179">
                  <c:v>0.881081081081081</c:v>
                </c:pt>
                <c:pt idx="180">
                  <c:v>0.542105263157895</c:v>
                </c:pt>
                <c:pt idx="181">
                  <c:v>0.882352941176471</c:v>
                </c:pt>
                <c:pt idx="182">
                  <c:v>0.912568306010929</c:v>
                </c:pt>
                <c:pt idx="183">
                  <c:v>0.661111111111111</c:v>
                </c:pt>
                <c:pt idx="184">
                  <c:v>0.511111111111111</c:v>
                </c:pt>
                <c:pt idx="185">
                  <c:v>0.573863636363636</c:v>
                </c:pt>
                <c:pt idx="186">
                  <c:v>0.842696629213483</c:v>
                </c:pt>
                <c:pt idx="187">
                  <c:v>0.8779069767441861</c:v>
                </c:pt>
                <c:pt idx="188">
                  <c:v>0.511627906976744</c:v>
                </c:pt>
                <c:pt idx="189">
                  <c:v>1.00653594771242</c:v>
                </c:pt>
                <c:pt idx="190">
                  <c:v>0.7962962962962959</c:v>
                </c:pt>
                <c:pt idx="191">
                  <c:v>0.576687116564417</c:v>
                </c:pt>
                <c:pt idx="192">
                  <c:v>0.723926380368098</c:v>
                </c:pt>
                <c:pt idx="193">
                  <c:v>0.914110429447853</c:v>
                </c:pt>
                <c:pt idx="194">
                  <c:v>0.79874213836478</c:v>
                </c:pt>
                <c:pt idx="195">
                  <c:v>0.961290322580645</c:v>
                </c:pt>
                <c:pt idx="196">
                  <c:v>0.662337662337662</c:v>
                </c:pt>
                <c:pt idx="197">
                  <c:v>0.816455696202532</c:v>
                </c:pt>
                <c:pt idx="198">
                  <c:v>0.746913580246914</c:v>
                </c:pt>
                <c:pt idx="199">
                  <c:v>0.679012345679012</c:v>
                </c:pt>
                <c:pt idx="200">
                  <c:v>0.93125</c:v>
                </c:pt>
                <c:pt idx="201">
                  <c:v>0.503184713375796</c:v>
                </c:pt>
                <c:pt idx="202">
                  <c:v>0.437908496732026</c:v>
                </c:pt>
                <c:pt idx="203">
                  <c:v>0.881944444444444</c:v>
                </c:pt>
                <c:pt idx="204">
                  <c:v>0.710344827586207</c:v>
                </c:pt>
                <c:pt idx="205">
                  <c:v>0.538461538461538</c:v>
                </c:pt>
                <c:pt idx="206">
                  <c:v>0.556338028169014</c:v>
                </c:pt>
                <c:pt idx="207">
                  <c:v>0.76027397260274</c:v>
                </c:pt>
                <c:pt idx="208">
                  <c:v>0.768707482993197</c:v>
                </c:pt>
                <c:pt idx="209">
                  <c:v>0.71830985915493</c:v>
                </c:pt>
                <c:pt idx="210">
                  <c:v>0.676056338028169</c:v>
                </c:pt>
                <c:pt idx="211">
                  <c:v>0.822222222222222</c:v>
                </c:pt>
                <c:pt idx="212">
                  <c:v>0.746478873239437</c:v>
                </c:pt>
                <c:pt idx="213">
                  <c:v>0.780141843971631</c:v>
                </c:pt>
                <c:pt idx="214">
                  <c:v>0.83448275862069</c:v>
                </c:pt>
                <c:pt idx="215">
                  <c:v>0.878378378378378</c:v>
                </c:pt>
                <c:pt idx="216">
                  <c:v>0.6875</c:v>
                </c:pt>
                <c:pt idx="217">
                  <c:v>0.820143884892086</c:v>
                </c:pt>
                <c:pt idx="218">
                  <c:v>0.8161764705882349</c:v>
                </c:pt>
                <c:pt idx="219">
                  <c:v>0.5328467153284669</c:v>
                </c:pt>
                <c:pt idx="220">
                  <c:v>0.798507462686567</c:v>
                </c:pt>
                <c:pt idx="221">
                  <c:v>0.732824427480916</c:v>
                </c:pt>
                <c:pt idx="222">
                  <c:v>0.954198473282443</c:v>
                </c:pt>
                <c:pt idx="223">
                  <c:v>0.916030534351145</c:v>
                </c:pt>
                <c:pt idx="224">
                  <c:v>0.732824427480916</c:v>
                </c:pt>
                <c:pt idx="225">
                  <c:v>0.953846153846154</c:v>
                </c:pt>
                <c:pt idx="226">
                  <c:v>0.825396825396825</c:v>
                </c:pt>
                <c:pt idx="227">
                  <c:v>0.67479674796748</c:v>
                </c:pt>
                <c:pt idx="228">
                  <c:v>0.504</c:v>
                </c:pt>
                <c:pt idx="229">
                  <c:v>0.744</c:v>
                </c:pt>
                <c:pt idx="230">
                  <c:v>0.873015873015873</c:v>
                </c:pt>
                <c:pt idx="231">
                  <c:v>0.960629921259843</c:v>
                </c:pt>
                <c:pt idx="232">
                  <c:v>0.813953488372093</c:v>
                </c:pt>
                <c:pt idx="233">
                  <c:v>0.804878048780488</c:v>
                </c:pt>
                <c:pt idx="234">
                  <c:v>0.696</c:v>
                </c:pt>
                <c:pt idx="235">
                  <c:v>0.496062992125984</c:v>
                </c:pt>
                <c:pt idx="236">
                  <c:v>0.916666666666667</c:v>
                </c:pt>
                <c:pt idx="237">
                  <c:v>0.75609756097561</c:v>
                </c:pt>
                <c:pt idx="238">
                  <c:v>0.886178861788618</c:v>
                </c:pt>
                <c:pt idx="239">
                  <c:v>0.82258064516129</c:v>
                </c:pt>
                <c:pt idx="240">
                  <c:v>0.693548387096774</c:v>
                </c:pt>
                <c:pt idx="241">
                  <c:v>0.8515625</c:v>
                </c:pt>
                <c:pt idx="242">
                  <c:v>0.7559055118110239</c:v>
                </c:pt>
                <c:pt idx="243">
                  <c:v>1.04347826086957</c:v>
                </c:pt>
                <c:pt idx="244">
                  <c:v>0.623931623931624</c:v>
                </c:pt>
                <c:pt idx="245">
                  <c:v>0.790909090909091</c:v>
                </c:pt>
                <c:pt idx="246">
                  <c:v>0.68141592920354</c:v>
                </c:pt>
                <c:pt idx="247">
                  <c:v>0.678571428571429</c:v>
                </c:pt>
                <c:pt idx="248">
                  <c:v>0.765765765765766</c:v>
                </c:pt>
                <c:pt idx="249">
                  <c:v>0.684684684684685</c:v>
                </c:pt>
                <c:pt idx="250">
                  <c:v>0.72972972972973</c:v>
                </c:pt>
              </c:numCache>
            </c:numRef>
          </c:val>
          <c:smooth val="1"/>
        </c:ser>
        <c:ser>
          <c:idx val="1"/>
          <c:order val="1"/>
          <c:tx>
            <c:v>IOS_Av.Rw</c:v>
          </c:tx>
          <c:spPr>
            <a:ln w="9525" cap="flat">
              <a:solidFill>
                <a:srgbClr val="00FF00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Av.Rw!$U$2:$U$252</c:f>
              <c:strCache>
                <c:ptCount val="25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strCache>
            </c:strRef>
          </c:cat>
          <c:val>
            <c:numRef>
              <c:f>Av.Rw!$W$2:$W$252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0.00134589502018843</c:v>
                </c:pt>
                <c:pt idx="6">
                  <c:v>0</c:v>
                </c:pt>
                <c:pt idx="7">
                  <c:v>0</c:v>
                </c:pt>
                <c:pt idx="8">
                  <c:v>0.00139664804469274</c:v>
                </c:pt>
                <c:pt idx="9">
                  <c:v>0.00424328147100424</c:v>
                </c:pt>
                <c:pt idx="10">
                  <c:v>0.00717360114777618</c:v>
                </c:pt>
                <c:pt idx="11">
                  <c:v>0.137345679012346</c:v>
                </c:pt>
                <c:pt idx="12">
                  <c:v>0.12280701754386</c:v>
                </c:pt>
                <c:pt idx="13">
                  <c:v>0.114192495921697</c:v>
                </c:pt>
                <c:pt idx="14">
                  <c:v>0.129411764705882</c:v>
                </c:pt>
                <c:pt idx="15">
                  <c:v>0.101200686106347</c:v>
                </c:pt>
                <c:pt idx="16">
                  <c:v>0.110320284697509</c:v>
                </c:pt>
                <c:pt idx="17">
                  <c:v>0.104504504504505</c:v>
                </c:pt>
                <c:pt idx="18">
                  <c:v>0.110307414104883</c:v>
                </c:pt>
                <c:pt idx="19">
                  <c:v>0.202205882352941</c:v>
                </c:pt>
                <c:pt idx="20">
                  <c:v>0.144486692015209</c:v>
                </c:pt>
                <c:pt idx="21">
                  <c:v>0.317919075144509</c:v>
                </c:pt>
                <c:pt idx="22">
                  <c:v>0.139763779527559</c:v>
                </c:pt>
                <c:pt idx="23">
                  <c:v>0.141666666666667</c:v>
                </c:pt>
                <c:pt idx="24">
                  <c:v>0.171974522292994</c:v>
                </c:pt>
                <c:pt idx="25">
                  <c:v>0.111353711790393</c:v>
                </c:pt>
                <c:pt idx="26">
                  <c:v>0.117903930131004</c:v>
                </c:pt>
                <c:pt idx="27">
                  <c:v>0.131991051454139</c:v>
                </c:pt>
                <c:pt idx="28">
                  <c:v>0.0945945945945946</c:v>
                </c:pt>
                <c:pt idx="29">
                  <c:v>0.114349775784753</c:v>
                </c:pt>
                <c:pt idx="30">
                  <c:v>0.1</c:v>
                </c:pt>
                <c:pt idx="31">
                  <c:v>0.139810426540284</c:v>
                </c:pt>
                <c:pt idx="32">
                  <c:v>0.12590799031477</c:v>
                </c:pt>
                <c:pt idx="33">
                  <c:v>0.118483412322275</c:v>
                </c:pt>
                <c:pt idx="34">
                  <c:v>0.124705882352941</c:v>
                </c:pt>
                <c:pt idx="35">
                  <c:v>0.143540669856459</c:v>
                </c:pt>
                <c:pt idx="36">
                  <c:v>0.12807881773399</c:v>
                </c:pt>
                <c:pt idx="37">
                  <c:v>0.107231920199501</c:v>
                </c:pt>
                <c:pt idx="38">
                  <c:v>0.113065326633166</c:v>
                </c:pt>
                <c:pt idx="39">
                  <c:v>0.227154046997389</c:v>
                </c:pt>
                <c:pt idx="40">
                  <c:v>0.42972972972973</c:v>
                </c:pt>
                <c:pt idx="41">
                  <c:v>0.192837465564738</c:v>
                </c:pt>
                <c:pt idx="42">
                  <c:v>0.324561403508772</c:v>
                </c:pt>
                <c:pt idx="43">
                  <c:v>0.247058823529412</c:v>
                </c:pt>
                <c:pt idx="44">
                  <c:v>0.192982456140351</c:v>
                </c:pt>
                <c:pt idx="45">
                  <c:v>0.167155425219941</c:v>
                </c:pt>
                <c:pt idx="46">
                  <c:v>0.155882352941177</c:v>
                </c:pt>
                <c:pt idx="47">
                  <c:v>0.162241887905605</c:v>
                </c:pt>
                <c:pt idx="48">
                  <c:v>0.18452380952381</c:v>
                </c:pt>
                <c:pt idx="49">
                  <c:v>0.351851851851852</c:v>
                </c:pt>
                <c:pt idx="50">
                  <c:v>0.333333333333333</c:v>
                </c:pt>
                <c:pt idx="51">
                  <c:v>0.463258785942492</c:v>
                </c:pt>
                <c:pt idx="52">
                  <c:v>0.292763157894737</c:v>
                </c:pt>
                <c:pt idx="53">
                  <c:v>0.221854304635762</c:v>
                </c:pt>
                <c:pt idx="54">
                  <c:v>0.203389830508475</c:v>
                </c:pt>
                <c:pt idx="55">
                  <c:v>0.555160142348754</c:v>
                </c:pt>
                <c:pt idx="56">
                  <c:v>0.281138790035587</c:v>
                </c:pt>
                <c:pt idx="57">
                  <c:v>0.268817204301075</c:v>
                </c:pt>
                <c:pt idx="58">
                  <c:v>0.275735294117647</c:v>
                </c:pt>
                <c:pt idx="59">
                  <c:v>0.386029411764706</c:v>
                </c:pt>
                <c:pt idx="60">
                  <c:v>0.302238805970149</c:v>
                </c:pt>
                <c:pt idx="61">
                  <c:v>0.362934362934363</c:v>
                </c:pt>
                <c:pt idx="62">
                  <c:v>0.382470119521912</c:v>
                </c:pt>
                <c:pt idx="63">
                  <c:v>0.253012048192771</c:v>
                </c:pt>
                <c:pt idx="64">
                  <c:v>0.312252964426877</c:v>
                </c:pt>
                <c:pt idx="65">
                  <c:v>1.20873786407767</c:v>
                </c:pt>
                <c:pt idx="66">
                  <c:v>0.254807692307692</c:v>
                </c:pt>
                <c:pt idx="67">
                  <c:v>0.347826086956522</c:v>
                </c:pt>
                <c:pt idx="68">
                  <c:v>0.351485148514852</c:v>
                </c:pt>
                <c:pt idx="69">
                  <c:v>0.371287128712871</c:v>
                </c:pt>
                <c:pt idx="70">
                  <c:v>0.280788177339902</c:v>
                </c:pt>
                <c:pt idx="71">
                  <c:v>0.293269230769231</c:v>
                </c:pt>
                <c:pt idx="72">
                  <c:v>0.291866028708134</c:v>
                </c:pt>
                <c:pt idx="73">
                  <c:v>0.371980676328502</c:v>
                </c:pt>
                <c:pt idx="74">
                  <c:v>0.288461538461538</c:v>
                </c:pt>
                <c:pt idx="75">
                  <c:v>1.02173913043478</c:v>
                </c:pt>
                <c:pt idx="76">
                  <c:v>0.277173913043478</c:v>
                </c:pt>
                <c:pt idx="77">
                  <c:v>0.298850574712644</c:v>
                </c:pt>
                <c:pt idx="78">
                  <c:v>0.252808988764045</c:v>
                </c:pt>
                <c:pt idx="79">
                  <c:v>0.327683615819209</c:v>
                </c:pt>
                <c:pt idx="80">
                  <c:v>0.654970760233918</c:v>
                </c:pt>
                <c:pt idx="81">
                  <c:v>0.418181818181818</c:v>
                </c:pt>
                <c:pt idx="82">
                  <c:v>0.358024691358025</c:v>
                </c:pt>
                <c:pt idx="83">
                  <c:v>0.327272727272727</c:v>
                </c:pt>
                <c:pt idx="84">
                  <c:v>0.494047619047619</c:v>
                </c:pt>
                <c:pt idx="85">
                  <c:v>0.582352941176471</c:v>
                </c:pt>
                <c:pt idx="86">
                  <c:v>0.351190476190476</c:v>
                </c:pt>
                <c:pt idx="87">
                  <c:v>0.6580645161290321</c:v>
                </c:pt>
                <c:pt idx="88">
                  <c:v>0.354838709677419</c:v>
                </c:pt>
                <c:pt idx="89">
                  <c:v>0.333333333333333</c:v>
                </c:pt>
                <c:pt idx="90">
                  <c:v>0.522875816993464</c:v>
                </c:pt>
                <c:pt idx="91">
                  <c:v>0.342105263157895</c:v>
                </c:pt>
                <c:pt idx="92">
                  <c:v>0.414965986394558</c:v>
                </c:pt>
                <c:pt idx="93">
                  <c:v>0.278145695364238</c:v>
                </c:pt>
                <c:pt idx="94">
                  <c:v>0.281879194630873</c:v>
                </c:pt>
                <c:pt idx="95">
                  <c:v>0.913669064748201</c:v>
                </c:pt>
                <c:pt idx="96">
                  <c:v>0.420289855072464</c:v>
                </c:pt>
                <c:pt idx="97">
                  <c:v>0.595588235294118</c:v>
                </c:pt>
                <c:pt idx="98">
                  <c:v>0.305970149253731</c:v>
                </c:pt>
                <c:pt idx="99">
                  <c:v>0.389705882352941</c:v>
                </c:pt>
                <c:pt idx="100">
                  <c:v>0.301470588235294</c:v>
                </c:pt>
                <c:pt idx="101">
                  <c:v>0.333333333333333</c:v>
                </c:pt>
                <c:pt idx="102">
                  <c:v>0.273381294964029</c:v>
                </c:pt>
                <c:pt idx="103">
                  <c:v>0.246478873239437</c:v>
                </c:pt>
                <c:pt idx="104">
                  <c:v>0.347222222222222</c:v>
                </c:pt>
                <c:pt idx="105">
                  <c:v>0.478571428571429</c:v>
                </c:pt>
                <c:pt idx="106">
                  <c:v>0.407142857142857</c:v>
                </c:pt>
                <c:pt idx="107">
                  <c:v>0.570422535211268</c:v>
                </c:pt>
                <c:pt idx="108">
                  <c:v>0.438848920863309</c:v>
                </c:pt>
                <c:pt idx="109">
                  <c:v>0.357664233576642</c:v>
                </c:pt>
                <c:pt idx="110">
                  <c:v>0.420289855072464</c:v>
                </c:pt>
                <c:pt idx="111">
                  <c:v>0.428571428571429</c:v>
                </c:pt>
                <c:pt idx="112">
                  <c:v>0.633093525179856</c:v>
                </c:pt>
                <c:pt idx="113">
                  <c:v>0.271428571428571</c:v>
                </c:pt>
                <c:pt idx="114">
                  <c:v>0.330935251798561</c:v>
                </c:pt>
                <c:pt idx="115">
                  <c:v>0.7173913043478261</c:v>
                </c:pt>
                <c:pt idx="116">
                  <c:v>0.326086956521739</c:v>
                </c:pt>
                <c:pt idx="117">
                  <c:v>0.357142857142857</c:v>
                </c:pt>
                <c:pt idx="118">
                  <c:v>0.507246376811594</c:v>
                </c:pt>
                <c:pt idx="119">
                  <c:v>0.433823529411765</c:v>
                </c:pt>
                <c:pt idx="120">
                  <c:v>0.887096774193548</c:v>
                </c:pt>
                <c:pt idx="121">
                  <c:v>0.611111111111111</c:v>
                </c:pt>
                <c:pt idx="122">
                  <c:v>0.37007874015748</c:v>
                </c:pt>
                <c:pt idx="123">
                  <c:v>0.357142857142857</c:v>
                </c:pt>
                <c:pt idx="124">
                  <c:v>0.811475409836066</c:v>
                </c:pt>
                <c:pt idx="125">
                  <c:v>0.349593495934959</c:v>
                </c:pt>
                <c:pt idx="126">
                  <c:v>0.346774193548387</c:v>
                </c:pt>
                <c:pt idx="127">
                  <c:v>0.360655737704918</c:v>
                </c:pt>
                <c:pt idx="128">
                  <c:v>0.5785123966942149</c:v>
                </c:pt>
                <c:pt idx="129">
                  <c:v>0.428571428571429</c:v>
                </c:pt>
                <c:pt idx="130">
                  <c:v>0.512820512820513</c:v>
                </c:pt>
                <c:pt idx="131">
                  <c:v>0.396551724137931</c:v>
                </c:pt>
                <c:pt idx="132">
                  <c:v>0.556603773584906</c:v>
                </c:pt>
                <c:pt idx="133">
                  <c:v>0.831858407079646</c:v>
                </c:pt>
                <c:pt idx="134">
                  <c:v>0.375</c:v>
                </c:pt>
                <c:pt idx="135">
                  <c:v>0.577981651376147</c:v>
                </c:pt>
                <c:pt idx="136">
                  <c:v>0.75</c:v>
                </c:pt>
                <c:pt idx="137">
                  <c:v>0.8</c:v>
                </c:pt>
                <c:pt idx="138">
                  <c:v>0.350877192982456</c:v>
                </c:pt>
                <c:pt idx="139">
                  <c:v>0.433628318584071</c:v>
                </c:pt>
                <c:pt idx="140">
                  <c:v>0.851851851851852</c:v>
                </c:pt>
                <c:pt idx="141">
                  <c:v>0.522522522522523</c:v>
                </c:pt>
                <c:pt idx="142">
                  <c:v>0.537037037037037</c:v>
                </c:pt>
                <c:pt idx="143">
                  <c:v>0.398230088495575</c:v>
                </c:pt>
                <c:pt idx="144">
                  <c:v>0.391304347826087</c:v>
                </c:pt>
                <c:pt idx="145">
                  <c:v>0.512605042016807</c:v>
                </c:pt>
                <c:pt idx="146">
                  <c:v>0.401709401709402</c:v>
                </c:pt>
                <c:pt idx="147">
                  <c:v>0.885964912280702</c:v>
                </c:pt>
                <c:pt idx="148">
                  <c:v>0.446428571428572</c:v>
                </c:pt>
                <c:pt idx="149">
                  <c:v>0.468468468468469</c:v>
                </c:pt>
                <c:pt idx="150">
                  <c:v>0.6181818181818181</c:v>
                </c:pt>
                <c:pt idx="151">
                  <c:v>0.7570093457943931</c:v>
                </c:pt>
                <c:pt idx="152">
                  <c:v>0.485714285714286</c:v>
                </c:pt>
                <c:pt idx="153">
                  <c:v>0.401960784313726</c:v>
                </c:pt>
                <c:pt idx="154">
                  <c:v>0.656862745098039</c:v>
                </c:pt>
                <c:pt idx="155">
                  <c:v>0.398058252427185</c:v>
                </c:pt>
                <c:pt idx="156">
                  <c:v>0.425742574257426</c:v>
                </c:pt>
                <c:pt idx="157">
                  <c:v>0.591836734693878</c:v>
                </c:pt>
                <c:pt idx="158">
                  <c:v>0.459183673469388</c:v>
                </c:pt>
                <c:pt idx="159">
                  <c:v>1.00952380952381</c:v>
                </c:pt>
                <c:pt idx="160">
                  <c:v>0.537735849056604</c:v>
                </c:pt>
                <c:pt idx="161">
                  <c:v>0.433962264150943</c:v>
                </c:pt>
                <c:pt idx="162">
                  <c:v>0.481132075471698</c:v>
                </c:pt>
                <c:pt idx="163">
                  <c:v>0.657142857142857</c:v>
                </c:pt>
                <c:pt idx="164">
                  <c:v>0.60377358490566</c:v>
                </c:pt>
                <c:pt idx="165">
                  <c:v>0.673076923076923</c:v>
                </c:pt>
                <c:pt idx="166">
                  <c:v>0.679245283018868</c:v>
                </c:pt>
                <c:pt idx="167">
                  <c:v>0.752380952380952</c:v>
                </c:pt>
                <c:pt idx="168">
                  <c:v>0.580952380952381</c:v>
                </c:pt>
                <c:pt idx="169">
                  <c:v>0.927835051546392</c:v>
                </c:pt>
                <c:pt idx="170">
                  <c:v>0.639175257731959</c:v>
                </c:pt>
                <c:pt idx="171">
                  <c:v>0.627659574468085</c:v>
                </c:pt>
                <c:pt idx="172">
                  <c:v>0.866666666666667</c:v>
                </c:pt>
                <c:pt idx="173">
                  <c:v>0.767441860465116</c:v>
                </c:pt>
                <c:pt idx="174">
                  <c:v>0.535714285714286</c:v>
                </c:pt>
                <c:pt idx="175">
                  <c:v>0.901234567901235</c:v>
                </c:pt>
                <c:pt idx="176">
                  <c:v>0.770114942528736</c:v>
                </c:pt>
                <c:pt idx="177">
                  <c:v>1.05555555555556</c:v>
                </c:pt>
                <c:pt idx="178">
                  <c:v>0.802816901408451</c:v>
                </c:pt>
                <c:pt idx="179">
                  <c:v>0.869565217391304</c:v>
                </c:pt>
                <c:pt idx="180">
                  <c:v>0.5</c:v>
                </c:pt>
                <c:pt idx="181">
                  <c:v>0.861111111111111</c:v>
                </c:pt>
                <c:pt idx="182">
                  <c:v>0.918918918918919</c:v>
                </c:pt>
                <c:pt idx="183">
                  <c:v>0.625</c:v>
                </c:pt>
                <c:pt idx="184">
                  <c:v>0.472222222222222</c:v>
                </c:pt>
                <c:pt idx="185">
                  <c:v>0.506849315068493</c:v>
                </c:pt>
                <c:pt idx="186">
                  <c:v>0.780821917808219</c:v>
                </c:pt>
                <c:pt idx="187">
                  <c:v>0.72972972972973</c:v>
                </c:pt>
                <c:pt idx="188">
                  <c:v>0.45945945945946</c:v>
                </c:pt>
                <c:pt idx="189">
                  <c:v>0.849315068493151</c:v>
                </c:pt>
                <c:pt idx="190">
                  <c:v>0.6621621621621619</c:v>
                </c:pt>
                <c:pt idx="191">
                  <c:v>0.567567567567568</c:v>
                </c:pt>
                <c:pt idx="192">
                  <c:v>0.702702702702703</c:v>
                </c:pt>
                <c:pt idx="193">
                  <c:v>0.851351351351351</c:v>
                </c:pt>
                <c:pt idx="194">
                  <c:v>0.743243243243243</c:v>
                </c:pt>
                <c:pt idx="195">
                  <c:v>0.794520547945205</c:v>
                </c:pt>
                <c:pt idx="196">
                  <c:v>0.680555555555556</c:v>
                </c:pt>
                <c:pt idx="197">
                  <c:v>0.75</c:v>
                </c:pt>
                <c:pt idx="198">
                  <c:v>0.76</c:v>
                </c:pt>
                <c:pt idx="199">
                  <c:v>0.6301369863013701</c:v>
                </c:pt>
                <c:pt idx="200">
                  <c:v>0.847222222222222</c:v>
                </c:pt>
                <c:pt idx="201">
                  <c:v>0.507042253521127</c:v>
                </c:pt>
                <c:pt idx="202">
                  <c:v>0.470588235294118</c:v>
                </c:pt>
                <c:pt idx="203">
                  <c:v>0.746031746031746</c:v>
                </c:pt>
                <c:pt idx="204">
                  <c:v>0.603174603174603</c:v>
                </c:pt>
                <c:pt idx="205">
                  <c:v>0.53125</c:v>
                </c:pt>
                <c:pt idx="206">
                  <c:v>0.578125</c:v>
                </c:pt>
                <c:pt idx="207">
                  <c:v>0.672131147540984</c:v>
                </c:pt>
                <c:pt idx="208">
                  <c:v>0.779661016949153</c:v>
                </c:pt>
                <c:pt idx="209">
                  <c:v>0.633333333333333</c:v>
                </c:pt>
                <c:pt idx="210">
                  <c:v>0.596774193548387</c:v>
                </c:pt>
                <c:pt idx="211">
                  <c:v>0.734375</c:v>
                </c:pt>
                <c:pt idx="212">
                  <c:v>0.698412698412698</c:v>
                </c:pt>
                <c:pt idx="213">
                  <c:v>0.789473684210526</c:v>
                </c:pt>
                <c:pt idx="214">
                  <c:v>0.781818181818182</c:v>
                </c:pt>
                <c:pt idx="215">
                  <c:v>0.741379310344828</c:v>
                </c:pt>
                <c:pt idx="216">
                  <c:v>0.701754385964912</c:v>
                </c:pt>
                <c:pt idx="217">
                  <c:v>0.763636363636364</c:v>
                </c:pt>
                <c:pt idx="218">
                  <c:v>0.823529411764706</c:v>
                </c:pt>
                <c:pt idx="219">
                  <c:v>0.574074074074074</c:v>
                </c:pt>
                <c:pt idx="220">
                  <c:v>0.7692307692307691</c:v>
                </c:pt>
                <c:pt idx="221">
                  <c:v>0.745098039215686</c:v>
                </c:pt>
                <c:pt idx="222">
                  <c:v>0.886792452830189</c:v>
                </c:pt>
                <c:pt idx="223">
                  <c:v>0.8</c:v>
                </c:pt>
                <c:pt idx="224">
                  <c:v>0.74</c:v>
                </c:pt>
                <c:pt idx="225">
                  <c:v>0.936170212765958</c:v>
                </c:pt>
                <c:pt idx="226">
                  <c:v>0.75</c:v>
                </c:pt>
                <c:pt idx="227">
                  <c:v>0.6875</c:v>
                </c:pt>
                <c:pt idx="228">
                  <c:v>0.480769230769231</c:v>
                </c:pt>
                <c:pt idx="229">
                  <c:v>0.725490196078431</c:v>
                </c:pt>
                <c:pt idx="230">
                  <c:v>0.792452830188679</c:v>
                </c:pt>
                <c:pt idx="231">
                  <c:v>0.846153846153846</c:v>
                </c:pt>
                <c:pt idx="232">
                  <c:v>0.666666666666667</c:v>
                </c:pt>
                <c:pt idx="233">
                  <c:v>0.759259259259259</c:v>
                </c:pt>
                <c:pt idx="234">
                  <c:v>0.625</c:v>
                </c:pt>
                <c:pt idx="235">
                  <c:v>0.553571428571429</c:v>
                </c:pt>
                <c:pt idx="236">
                  <c:v>0.754385964912281</c:v>
                </c:pt>
                <c:pt idx="237">
                  <c:v>0.785714285714286</c:v>
                </c:pt>
                <c:pt idx="238">
                  <c:v>0.851851851851852</c:v>
                </c:pt>
                <c:pt idx="239">
                  <c:v>0.807692307692308</c:v>
                </c:pt>
                <c:pt idx="240">
                  <c:v>0.784313725490196</c:v>
                </c:pt>
                <c:pt idx="241">
                  <c:v>0.914893617021277</c:v>
                </c:pt>
                <c:pt idx="242">
                  <c:v>0.765957446808511</c:v>
                </c:pt>
                <c:pt idx="243">
                  <c:v>1.12765957446809</c:v>
                </c:pt>
                <c:pt idx="244">
                  <c:v>0.75</c:v>
                </c:pt>
                <c:pt idx="245">
                  <c:v>0.933333333333333</c:v>
                </c:pt>
                <c:pt idx="246">
                  <c:v>0.75</c:v>
                </c:pt>
                <c:pt idx="247">
                  <c:v>0.770833333333333</c:v>
                </c:pt>
                <c:pt idx="248">
                  <c:v>0.933333333333333</c:v>
                </c:pt>
                <c:pt idx="249">
                  <c:v>0.777777777777778</c:v>
                </c:pt>
                <c:pt idx="250">
                  <c:v>0.8409090909090911</c:v>
                </c:pt>
              </c:numCache>
            </c:numRef>
          </c:val>
          <c:smooth val="1"/>
        </c:ser>
        <c:marker val="1"/>
        <c:axId val="1111"/>
        <c:axId val="2222"/>
        <c:smooth val="1"/>
      </c:lineChart>
      <c:catAx>
        <c:axId val="1111"/>
        <c:scaling>
          <c:orientation val="minMax"/>
        </c:scaling>
        <c:delete val="0"/>
        <c:axPos val="b"/>
        <c:title>
          <c:tx>
            <c:rich>
              <a:bodyPr anchor="ctr" anchorCtr="1" rot="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majorTickMark val="none"/>
        <c:minorTickMark val="none"/>
        <c:tickLblPos val="nextTo"/>
        <c:spPr>
          <a:noFill/>
          <a:ln cap="flat"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</c:catAx>
      <c:valAx>
        <c:axId val="2222"/>
        <c:scaling>
          <c:orientation val="minMax"/>
        </c:scaling>
        <c:delete val="0"/>
        <c:axPos val="l"/>
        <c:majorGridlines>
          <c:spPr>
            <a:ln w="635" cap="flat">
              <a:solidFill>
                <a:srgbClr val="B7B7B7">
                  <a:alpha val="99999"/>
                </a:srgbClr>
              </a:solidFill>
              <a:round/>
            </a:ln>
          </c:spPr>
        </c:majorGridlines>
        <c:minorGridlines>
          <c:spPr>
            <a:ln w="635" cap="flat">
              <a:solidFill>
                <a:srgbClr val="CCCCCC">
                  <a:alpha val="99999"/>
                </a:srgbClr>
              </a:solidFill>
              <a:round/>
            </a:ln>
          </c:spPr>
        </c:minorGridlines>
        <c:title>
          <c:tx>
            <c:rich>
              <a:bodyPr anchor="ctr" anchorCtr="1" rot="-540000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Rwd. Orani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cap="flat"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1111"/>
        <c:crosses val="autoZero"/>
        <c:crossBetween val="midCat"/>
      </c:valAx>
      <c:spPr>
        <a:solidFill>
          <a:srgbClr val="FFFFFF">
            <a:alpha val="99999"/>
          </a:srgbClr>
        </a:solidFill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449922178482241974517563676272"/>
          <c:y val="0.110178970917225893533242242484"/>
          <c:w val="0"/>
          <c:h val="0"/>
        </c:manualLayout>
      </c:layout>
      <c:spPr>
        <a:noFill/>
        <a:ln>
          <a:noFill/>
          <a:round/>
        </a:ln>
      </c:spPr>
      <c:txPr>
        <a:bodyPr anchor="t" anchorCtr="1" rot="0" vert="horz"/>
        <a:lstStyle/>
        <a:p>
          <a:pPr>
            <a:defRPr sz="1100" b="0" i="0" u="none" baseline="0">
              <a:solidFill>
                <a:srgbClr val="1a1a1a"/>
              </a:solidFill>
              <a:latin typeface="Arial"/>
              <a:ea typeface="Arial"/>
            </a:defRPr>
          </a:pPr>
          <a:endParaRPr lang="ko-KR"/>
        </a:p>
      </c:txPr>
    </c:legend>
    <c:plotVisOnly val="1"/>
    <c:dispBlanksAs val="gap"/>
  </c:chart>
  <c:spPr>
    <a:ln w="9525" cap="flat"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27</xdr:col>
      <xdr:colOff>581025</xdr:colOff>
      <xdr:row>40</xdr:row>
      <xdr:rowOff>66675</xdr:rowOff>
    </xdr:to>
    <xdr:graphicFrame macro="">
      <xdr:nvGraphicFramePr>
        <xdr:cNvPr id="1" name="Chart 1"/>
        <xdr:cNvGraphicFramePr/>
      </xdr:nvGraphicFramePr>
      <xdr:xfrm>
        <a:off x="0" y="0"/>
        <a:ext cx="26022300" cy="11546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9525</xdr:rowOff>
    </xdr:from>
    <xdr:to>
      <xdr:col>30</xdr:col>
      <xdr:colOff>504825</xdr:colOff>
      <xdr:row>43</xdr:row>
      <xdr:rowOff>142875</xdr:rowOff>
    </xdr:to>
    <xdr:graphicFrame macro="">
      <xdr:nvGraphicFramePr>
        <xdr:cNvPr id="1" name="Chart 1"/>
        <xdr:cNvGraphicFramePr/>
      </xdr:nvGraphicFramePr>
      <xdr:xfrm>
        <a:off x="0" y="0"/>
        <a:ext cx="28460700" cy="12470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And-style" showFirstColumn="1" showLastColumn="1" showRowStripes="1" showColumnStripes="0"/>
</table>
</file>

<file path=xl/tables/table2.xml><?xml version="1.0" encoding="utf-8"?>
<table xmlns="http://schemas.openxmlformats.org/spreadsheetml/2006/main" id="2" name="Table4" displayName="Table4" ref="M2:M1002" totalsRowShown="0">
  <tableColumns count="1">
    <tableColumn id="1" name="LevelType"/>
  </tableColumns>
  <tableStyleInfo name="And-style 2" showFirstColumn="1" showLastColumn="1" showRowStripes="1" showColumnStripes="0"/>
</table>
</file>

<file path=xl/tables/table3.xml><?xml version="1.0" encoding="utf-8"?>
<table xmlns="http://schemas.openxmlformats.org/spreadsheetml/2006/main" id="3" name="Table7" displayName="Table7" ref="V2:V1002" totalsRowShown="0">
  <tableColumns count="1">
    <tableColumn id="1" name="coin owned"/>
  </tableColumns>
  <tableStyleInfo name="And-style 3" showFirstColumn="1" showLastColumn="1" showRowStripes="1" showColumnStripes="0"/>
</table>
</file>

<file path=xl/tables/table4.xml><?xml version="1.0" encoding="utf-8"?>
<table xmlns="http://schemas.openxmlformats.org/spreadsheetml/2006/main" id="4" name="Table2" displayName="Table2" ref="J1:M402" totalsRowShown="0">
  <tableColumns count="4">
    <tableColumn id="1" name="Complete"/>
    <tableColumn id="2" name="Column 1"/>
    <tableColumn id="3" name="Column 2"/>
    <tableColumn id="4" name="Column 3"/>
  </tableColumns>
  <tableStyleInfo name="Boosters_And-style" showFirstColumn="1" showLastColumn="1" showRowStripes="1" showColumnStripes="0"/>
</table>
</file>

<file path=xl/tables/table5.xml><?xml version="1.0" encoding="utf-8"?>
<table xmlns="http://schemas.openxmlformats.org/spreadsheetml/2006/main" id="5" name="Table3" displayName="Table3" ref="V1:X402" totalsRowShown="0">
  <tableColumns count="3">
    <tableColumn id="1" name="Complete"/>
    <tableColumn id="2" name="Column 1"/>
    <tableColumn id="3" name="Column 2"/>
  </tableColumns>
  <tableStyleInfo name="Boosters_And-style 2" showFirstColumn="1" showLastColumn="1" showRowStripes="1" showColumnStripes="0"/>
</table>
</file>

<file path=xl/tables/table6.xml><?xml version="1.0" encoding="utf-8"?>
<table xmlns="http://schemas.openxmlformats.org/spreadsheetml/2006/main" id="6" name="Table_2" displayName="Table_2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IOS-style" showFirstColumn="1" showLastColumn="1" showRowStripes="1" showColumnStripes="0"/>
</table>
</file>

<file path=xl/tables/table7.xml><?xml version="1.0" encoding="utf-8"?>
<table xmlns="http://schemas.openxmlformats.org/spreadsheetml/2006/main" id="7" name="Table2_2" displayName="Table2_2" ref="J1:M402" totalsRowShown="0">
  <tableColumns count="4">
    <tableColumn id="1" name="Complete"/>
    <tableColumn id="2" name="Column 1"/>
    <tableColumn id="3" name="Column 2"/>
    <tableColumn id="4" name="Column 3"/>
  </tableColumns>
  <tableStyleInfo name="Boosters_IOS-style" showFirstColumn="1" showLastColumn="1" showRowStripes="1" showColumnStripes="0"/>
</table>
</file>

<file path=xl/tables/table8.xml><?xml version="1.0" encoding="utf-8"?>
<table xmlns="http://schemas.openxmlformats.org/spreadsheetml/2006/main" id="8" name="Table3_2" displayName="Table3_2" ref="V1:X402" totalsRowShown="0">
  <tableColumns count="3">
    <tableColumn id="1" name="Complete"/>
    <tableColumn id="2" name="Column 1"/>
    <tableColumn id="3" name="Column 2"/>
  </tableColumns>
  <tableStyleInfo name="Boosters_IO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table" Target="../tables/table1.xml"></Relationship><Relationship Id="rId2" Type="http://schemas.openxmlformats.org/officeDocument/2006/relationships/table" Target="../tables/table2.xml"></Relationship><Relationship Id="rId3" Type="http://schemas.openxmlformats.org/officeDocument/2006/relationships/table" Target="../tables/table3.xml"></Relationship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table" Target="../tables/table4.xml"></Relationship><Relationship Id="rId2" Type="http://schemas.openxmlformats.org/officeDocument/2006/relationships/table" Target="../tables/table5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table" Target="../tables/table6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table" Target="../tables/table7.xml"></Relationship><Relationship Id="rId2" Type="http://schemas.openxmlformats.org/officeDocument/2006/relationships/table" Target="../tables/table8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U1:W1215"/>
  <sheetViews>
    <sheetView workbookViewId="0">
      <selection activeCell="A1" sqref="A1"/>
    </sheetView>
  </sheetViews>
  <sheetFormatPr defaultRowHeight="12.750000"/>
  <cols>
    <col min="1" max="1" style="168" width="12.57642828" customWidth="1" outlineLevel="0"/>
    <col min="22" max="22" style="168" width="15.29071413" customWidth="1" outlineLevel="0"/>
    <col min="23" max="23" style="168" width="14.86214243" customWidth="1" outlineLevel="0"/>
  </cols>
  <sheetData>
    <row r="2" spans="21:23">
      <c r="U2" s="0" t="s">
        <v>0</v>
      </c>
      <c r="V2" s="0" t="s">
        <v>1</v>
      </c>
      <c r="W2" s="0" t="s">
        <v>2</v>
      </c>
    </row>
    <row r="3" spans="21:23">
      <c r="U3" s="0">
        <v>1</v>
      </c>
      <c r="V3" s="0">
        <f>And!O3</f>
        <v>0.00345227858985383</v>
      </c>
      <c r="W3" s="0">
        <f>IOS!O3</f>
        <v>0.00769326683291771</v>
      </c>
    </row>
    <row r="4" spans="21:23">
      <c r="U4" s="0">
        <v>2</v>
      </c>
      <c r="V4" s="0">
        <f>And!O4</f>
        <v>0.00175430940432031</v>
      </c>
      <c r="W4" s="0">
        <f>IOS!O4</f>
        <v>0.00296153846153846</v>
      </c>
    </row>
    <row r="5" spans="21:23">
      <c r="U5" s="0">
        <v>3</v>
      </c>
      <c r="V5" s="0">
        <f>And!O5</f>
        <v>0.00173683050473881</v>
      </c>
      <c r="W5" s="0">
        <f>IOS!O5</f>
        <v>0.00301837270341207</v>
      </c>
    </row>
    <row r="6" spans="21:23">
      <c r="U6" s="0">
        <v>4</v>
      </c>
      <c r="V6" s="0">
        <f>And!O6</f>
        <v>5.0922837447187E-04</v>
      </c>
      <c r="W6" s="0">
        <f>IOS!O6</f>
        <v>0</v>
      </c>
    </row>
    <row r="7" spans="21:23">
      <c r="U7" s="0">
        <v>5</v>
      </c>
      <c r="V7" s="0">
        <f>And!O7</f>
        <v>8.93942805674398E-04</v>
      </c>
      <c r="W7" s="0">
        <f>IOS!O7</f>
        <v>0</v>
      </c>
    </row>
    <row r="8" spans="21:23">
      <c r="U8" s="0">
        <v>6</v>
      </c>
      <c r="V8" s="0">
        <f>And!O8</f>
        <v>9.02683037744429E-04</v>
      </c>
      <c r="W8" s="0">
        <f>IOS!O8</f>
        <v>0.0030446549391069</v>
      </c>
    </row>
    <row r="9" spans="21:23">
      <c r="U9" s="0">
        <v>7</v>
      </c>
      <c r="V9" s="0">
        <f>And!O9</f>
        <v>0.00136958017894012</v>
      </c>
      <c r="W9" s="0">
        <f>IOS!O9</f>
        <v>0.0027448275862069</v>
      </c>
    </row>
    <row r="10" spans="21:23">
      <c r="U10" s="0">
        <v>8</v>
      </c>
      <c r="V10" s="0">
        <f>And!O10</f>
        <v>4.61288827074641E-04</v>
      </c>
      <c r="W10" s="0">
        <f>IOS!O10</f>
        <v>0</v>
      </c>
    </row>
    <row r="11" spans="21:23">
      <c r="U11" s="0">
        <v>9</v>
      </c>
      <c r="V11" s="0">
        <f>And!O11</f>
        <v>4.55607476635514E-04</v>
      </c>
      <c r="W11" s="0">
        <f>IOS!O11</f>
        <v>0</v>
      </c>
    </row>
    <row r="12" spans="21:23">
      <c r="U12" s="0">
        <v>10</v>
      </c>
      <c r="V12" s="0">
        <f>And!O12</f>
        <v>0.00436507936507936</v>
      </c>
      <c r="W12" s="0">
        <f>IOS!O12</f>
        <v>0</v>
      </c>
    </row>
    <row r="13" spans="21:23">
      <c r="U13" s="0">
        <v>11</v>
      </c>
      <c r="V13" s="0">
        <f>And!O13</f>
        <v>0.00359431524547804</v>
      </c>
      <c r="W13" s="0">
        <f>IOS!O13</f>
        <v>0.0148148148148148</v>
      </c>
    </row>
    <row r="14" spans="21:23">
      <c r="U14" s="0">
        <v>12</v>
      </c>
      <c r="V14" s="0">
        <f>And!O14</f>
        <v>0.00557068918550804</v>
      </c>
      <c r="W14" s="0">
        <f>IOS!O14</f>
        <v>0</v>
      </c>
    </row>
    <row r="15" spans="21:23">
      <c r="U15" s="0">
        <v>13</v>
      </c>
      <c r="V15" s="0">
        <f>And!O15</f>
        <v>0.00445810055865922</v>
      </c>
      <c r="W15" s="0">
        <f>IOS!O15</f>
        <v>0.0235073409461664</v>
      </c>
    </row>
    <row r="16" spans="21:23">
      <c r="U16" s="0">
        <v>14</v>
      </c>
      <c r="V16" s="0">
        <f>And!O16</f>
        <v>0.00345753899480069</v>
      </c>
      <c r="W16" s="0">
        <f>IOS!O16</f>
        <v>0.0079327731092437</v>
      </c>
    </row>
    <row r="17" spans="21:23">
      <c r="U17" s="0">
        <v>15</v>
      </c>
      <c r="V17" s="0">
        <f>And!O17</f>
        <v>0.00514580265095729</v>
      </c>
      <c r="W17" s="0">
        <f>IOS!O17</f>
        <v>0</v>
      </c>
    </row>
    <row r="18" spans="21:23">
      <c r="U18" s="0">
        <v>16</v>
      </c>
      <c r="V18" s="0">
        <f>And!O18</f>
        <v>0.00120169082125604</v>
      </c>
      <c r="W18" s="0">
        <f>IOS!O18</f>
        <v>0</v>
      </c>
    </row>
    <row r="19" spans="21:23">
      <c r="U19" s="0">
        <v>17</v>
      </c>
      <c r="V19" s="0">
        <f>And!O19</f>
        <v>0.00771631644004944</v>
      </c>
      <c r="W19" s="0">
        <f>IOS!O19</f>
        <v>0</v>
      </c>
    </row>
    <row r="20" spans="21:23">
      <c r="U20" s="0">
        <v>18</v>
      </c>
      <c r="V20" s="0">
        <f>And!O20</f>
        <v>0.00527777777777778</v>
      </c>
      <c r="W20" s="0">
        <f>IOS!O20</f>
        <v>0</v>
      </c>
    </row>
    <row r="21" spans="21:23">
      <c r="U21" s="0">
        <v>19</v>
      </c>
      <c r="V21" s="0">
        <f>And!O21</f>
        <v>0.00740717232624564</v>
      </c>
      <c r="W21" s="0">
        <f>IOS!O21</f>
        <v>0.00564338235294118</v>
      </c>
    </row>
    <row r="22" spans="21:23">
      <c r="U22" s="0">
        <v>20</v>
      </c>
      <c r="V22" s="0">
        <f>And!O22</f>
        <v>0.00288393145813126</v>
      </c>
      <c r="W22" s="0">
        <f>IOS!O22</f>
        <v>0.0326425855513308</v>
      </c>
    </row>
    <row r="23" spans="21:23">
      <c r="U23" s="0">
        <v>21</v>
      </c>
      <c r="V23" s="0">
        <f>And!O23</f>
        <v>0.00315123251165889</v>
      </c>
      <c r="W23" s="0">
        <f>IOS!O23</f>
        <v>0.00886319845857418</v>
      </c>
    </row>
    <row r="24" spans="21:23">
      <c r="U24" s="0">
        <v>22</v>
      </c>
      <c r="V24" s="0">
        <f>And!O24</f>
        <v>0.00704234972677596</v>
      </c>
      <c r="W24" s="0">
        <f>IOS!O24</f>
        <v>0.0018503937007874</v>
      </c>
    </row>
    <row r="25" spans="21:23">
      <c r="U25" s="0">
        <v>23</v>
      </c>
      <c r="V25" s="0">
        <f>And!O25</f>
        <v>0.0040365682137834</v>
      </c>
      <c r="W25" s="0">
        <f>IOS!O25</f>
        <v>0.00460416666666667</v>
      </c>
    </row>
    <row r="26" spans="21:23">
      <c r="U26" s="0">
        <v>24</v>
      </c>
      <c r="V26" s="0">
        <f>And!O26</f>
        <v>0.0093984962406015</v>
      </c>
      <c r="W26" s="0">
        <f>IOS!O26</f>
        <v>0.00422505307855626</v>
      </c>
    </row>
    <row r="27" spans="21:23">
      <c r="U27" s="0">
        <v>25</v>
      </c>
      <c r="V27" s="0">
        <f>And!O27</f>
        <v>0.00215579710144928</v>
      </c>
      <c r="W27" s="0">
        <f>IOS!O27</f>
        <v>0</v>
      </c>
    </row>
    <row r="28" spans="21:23">
      <c r="U28" s="0">
        <v>26</v>
      </c>
      <c r="V28" s="0">
        <f>And!O28</f>
        <v>0</v>
      </c>
      <c r="W28" s="0">
        <f>IOS!O28</f>
        <v>0</v>
      </c>
    </row>
    <row r="29" spans="21:23">
      <c r="U29" s="0">
        <v>27</v>
      </c>
      <c r="V29" s="0">
        <f>And!O29</f>
        <v>0.00321198331437239</v>
      </c>
      <c r="W29" s="0">
        <f>IOS!O29</f>
        <v>0.0112080536912752</v>
      </c>
    </row>
    <row r="30" spans="21:23">
      <c r="U30" s="0">
        <v>28</v>
      </c>
      <c r="V30" s="0">
        <f>And!O30</f>
        <v>0.0061364507474128</v>
      </c>
      <c r="W30" s="0">
        <f>IOS!O30</f>
        <v>0</v>
      </c>
    </row>
    <row r="31" spans="21:23">
      <c r="U31" s="0">
        <v>29</v>
      </c>
      <c r="V31" s="0">
        <f>And!O31</f>
        <v>0.0023127667830811</v>
      </c>
      <c r="W31" s="0">
        <f>IOS!O31</f>
        <v>0.00221973094170404</v>
      </c>
    </row>
    <row r="32" spans="21:23">
      <c r="U32" s="0">
        <v>30</v>
      </c>
      <c r="V32" s="0">
        <f>And!O32</f>
        <v>8.72984663782934E-04</v>
      </c>
      <c r="W32" s="0">
        <f>IOS!O32</f>
        <v>0</v>
      </c>
    </row>
    <row r="33" spans="21:23">
      <c r="U33" s="0">
        <v>31</v>
      </c>
      <c r="V33" s="0">
        <f>And!O33</f>
        <v>0.00569791240278346</v>
      </c>
      <c r="W33" s="0">
        <f>IOS!O33</f>
        <v>0</v>
      </c>
    </row>
    <row r="34" spans="21:23">
      <c r="U34" s="0">
        <v>32</v>
      </c>
      <c r="V34" s="0">
        <f>And!O34</f>
        <v>0.00484375</v>
      </c>
      <c r="W34" s="0">
        <f>IOS!O34</f>
        <v>0</v>
      </c>
    </row>
    <row r="35" spans="21:23">
      <c r="U35" s="0">
        <v>33</v>
      </c>
      <c r="V35" s="0">
        <f>And!O35</f>
        <v>0.0198421290031574</v>
      </c>
      <c r="W35" s="0">
        <f>IOS!O35</f>
        <v>0.0222748815165877</v>
      </c>
    </row>
    <row r="36" spans="21:23">
      <c r="U36" s="0">
        <v>34</v>
      </c>
      <c r="V36" s="0">
        <f>And!O36</f>
        <v>0.0235622317596567</v>
      </c>
      <c r="W36" s="0">
        <f>IOS!O36</f>
        <v>0.00232941176470588</v>
      </c>
    </row>
    <row r="37" spans="21:23">
      <c r="U37" s="0">
        <v>35</v>
      </c>
      <c r="V37" s="0">
        <f>And!O37</f>
        <v>0.00577145612343298</v>
      </c>
      <c r="W37" s="0">
        <f>IOS!O37</f>
        <v>0</v>
      </c>
    </row>
    <row r="38" spans="21:23">
      <c r="U38" s="0">
        <v>36</v>
      </c>
      <c r="V38" s="0">
        <f>And!O38</f>
        <v>0.00483714146815751</v>
      </c>
      <c r="W38" s="0">
        <f>IOS!O38</f>
        <v>0</v>
      </c>
    </row>
    <row r="39" spans="21:23">
      <c r="U39" s="0">
        <v>37</v>
      </c>
      <c r="V39" s="0">
        <f>And!O39</f>
        <v>0.00785433070866142</v>
      </c>
      <c r="W39" s="0">
        <f>IOS!O39</f>
        <v>0.00481296758104738</v>
      </c>
    </row>
    <row r="40" spans="21:23">
      <c r="U40" s="0">
        <v>38</v>
      </c>
      <c r="V40" s="0">
        <f>And!O40</f>
        <v>0.0172920792079208</v>
      </c>
      <c r="W40" s="0">
        <f>IOS!O40</f>
        <v>0</v>
      </c>
    </row>
    <row r="41" spans="21:23">
      <c r="U41" s="0">
        <v>39</v>
      </c>
      <c r="V41" s="0">
        <f>And!O41</f>
        <v>0.0278533475026568</v>
      </c>
      <c r="W41" s="0">
        <f>IOS!O41</f>
        <v>0.04911227154047</v>
      </c>
    </row>
    <row r="42" spans="21:23">
      <c r="U42" s="0">
        <v>40</v>
      </c>
      <c r="V42" s="0">
        <f>And!O42</f>
        <v>0.0621716287215412</v>
      </c>
      <c r="W42" s="0">
        <f>IOS!O42</f>
        <v>0.104216216216216</v>
      </c>
    </row>
    <row r="43" spans="21:23">
      <c r="U43" s="0">
        <v>41</v>
      </c>
      <c r="V43" s="0">
        <f>And!O43</f>
        <v>0.0110942071386776</v>
      </c>
      <c r="W43" s="0">
        <f>IOS!O43</f>
        <v>0</v>
      </c>
    </row>
    <row r="44" spans="21:23">
      <c r="U44" s="0">
        <v>42</v>
      </c>
      <c r="V44" s="0">
        <f>And!O44</f>
        <v>0.0509503372164316</v>
      </c>
      <c r="W44" s="0">
        <f>IOS!O44</f>
        <v>0.0621345029239766</v>
      </c>
    </row>
    <row r="45" spans="21:23">
      <c r="U45" s="0">
        <v>43</v>
      </c>
      <c r="V45" s="0">
        <f>And!O45</f>
        <v>0.00369727047146402</v>
      </c>
      <c r="W45" s="0">
        <f>IOS!O45</f>
        <v>0.0106176470588235</v>
      </c>
    </row>
    <row r="46" spans="21:23">
      <c r="U46" s="0">
        <v>44</v>
      </c>
      <c r="V46" s="0">
        <f>And!O46</f>
        <v>0.00593358395989975</v>
      </c>
      <c r="W46" s="0">
        <f>IOS!O46</f>
        <v>0</v>
      </c>
    </row>
    <row r="47" spans="21:23">
      <c r="U47" s="0">
        <v>45</v>
      </c>
      <c r="V47" s="0">
        <f>And!O47</f>
        <v>0.0107129337539432</v>
      </c>
      <c r="W47" s="0">
        <f>IOS!O47</f>
        <v>0.0292961876832845</v>
      </c>
    </row>
    <row r="48" spans="21:23">
      <c r="U48" s="0">
        <v>46</v>
      </c>
      <c r="V48" s="0">
        <f>And!O48</f>
        <v>0.00380102040816327</v>
      </c>
      <c r="W48" s="0">
        <f>IOS!O48</f>
        <v>0</v>
      </c>
    </row>
    <row r="49" spans="21:23">
      <c r="U49" s="0">
        <v>47</v>
      </c>
      <c r="V49" s="0">
        <f>And!O49</f>
        <v>0.00385109114249037</v>
      </c>
      <c r="W49" s="0">
        <f>IOS!O49</f>
        <v>0.00292035398230089</v>
      </c>
    </row>
    <row r="50" spans="21:23">
      <c r="U50" s="0">
        <v>48</v>
      </c>
      <c r="V50" s="0">
        <f>And!O50</f>
        <v>0.00323815704088254</v>
      </c>
      <c r="W50" s="0">
        <f>IOS!O50</f>
        <v>0.0148511904761905</v>
      </c>
    </row>
    <row r="51" spans="21:23">
      <c r="U51" s="0">
        <v>49</v>
      </c>
      <c r="V51" s="0">
        <f>And!O51</f>
        <v>0.0447066756574511</v>
      </c>
      <c r="W51" s="0">
        <f>IOS!O51</f>
        <v>0.0433024691358025</v>
      </c>
    </row>
    <row r="52" spans="21:23">
      <c r="U52" s="0">
        <v>50</v>
      </c>
      <c r="V52" s="0">
        <f>And!O52</f>
        <v>0.02925822253324</v>
      </c>
      <c r="W52" s="0">
        <f>IOS!O52</f>
        <v>0.0302424242424242</v>
      </c>
    </row>
    <row r="53" spans="21:23">
      <c r="U53" s="0">
        <v>51</v>
      </c>
      <c r="V53" s="0">
        <f>And!O53</f>
        <v>0.0884491978609626</v>
      </c>
      <c r="W53" s="0">
        <f>IOS!O53</f>
        <v>0.203993610223642</v>
      </c>
    </row>
    <row r="54" spans="21:23">
      <c r="U54" s="0">
        <v>52</v>
      </c>
      <c r="V54" s="0">
        <f>And!O54</f>
        <v>0.0157379636937648</v>
      </c>
      <c r="W54" s="0">
        <f>IOS!O54</f>
        <v>0.00868421052631579</v>
      </c>
    </row>
    <row r="55" spans="21:23">
      <c r="U55" s="0">
        <v>53</v>
      </c>
      <c r="V55" s="0">
        <f>And!O55</f>
        <v>0.00157936507936508</v>
      </c>
      <c r="W55" s="0">
        <f>IOS!O55</f>
        <v>0</v>
      </c>
    </row>
    <row r="56" spans="21:23">
      <c r="U56" s="0">
        <v>54</v>
      </c>
      <c r="V56" s="0">
        <f>And!O56</f>
        <v>0.001592</v>
      </c>
      <c r="W56" s="0">
        <f>IOS!O56</f>
        <v>0</v>
      </c>
    </row>
    <row r="57" spans="21:23">
      <c r="U57" s="0">
        <v>55</v>
      </c>
      <c r="V57" s="0">
        <f>And!O57</f>
        <v>0.137511436413541</v>
      </c>
      <c r="W57" s="0">
        <f>IOS!O57</f>
        <v>0.141850533807829</v>
      </c>
    </row>
    <row r="58" spans="21:23">
      <c r="U58" s="0">
        <v>56</v>
      </c>
      <c r="V58" s="0">
        <f>And!O58</f>
        <v>0.00462825278810409</v>
      </c>
      <c r="W58" s="0">
        <f>IOS!O58</f>
        <v>0</v>
      </c>
    </row>
    <row r="59" spans="21:23">
      <c r="U59" s="0">
        <v>57</v>
      </c>
      <c r="V59" s="0">
        <f>And!O59</f>
        <v>0.00279439252336449</v>
      </c>
      <c r="W59" s="0">
        <f>IOS!O59</f>
        <v>0</v>
      </c>
    </row>
    <row r="60" spans="21:23">
      <c r="U60" s="0">
        <v>58</v>
      </c>
      <c r="V60" s="0">
        <f>And!O60</f>
        <v>0.00611687087653157</v>
      </c>
      <c r="W60" s="0">
        <f>IOS!O60</f>
        <v>0</v>
      </c>
    </row>
    <row r="61" spans="21:23">
      <c r="U61" s="0">
        <v>59</v>
      </c>
      <c r="V61" s="0">
        <f>And!O61</f>
        <v>0.0273734479465139</v>
      </c>
      <c r="W61" s="0">
        <f>IOS!O61</f>
        <v>0.0109558823529412</v>
      </c>
    </row>
    <row r="62" spans="21:23">
      <c r="U62" s="0">
        <v>60</v>
      </c>
      <c r="V62" s="0">
        <f>And!O62</f>
        <v>0.00483059051306873</v>
      </c>
      <c r="W62" s="0">
        <f>IOS!O62</f>
        <v>0</v>
      </c>
    </row>
    <row r="63" spans="21:23">
      <c r="U63" s="0">
        <v>61</v>
      </c>
      <c r="V63" s="0">
        <f>And!O63</f>
        <v>0.0386831683168317</v>
      </c>
      <c r="W63" s="0">
        <f>IOS!O63</f>
        <v>0.0594594594594595</v>
      </c>
    </row>
    <row r="64" spans="21:23">
      <c r="U64" s="0">
        <v>62</v>
      </c>
      <c r="V64" s="0">
        <f>And!O64</f>
        <v>0.0156795131845842</v>
      </c>
      <c r="W64" s="0">
        <f>IOS!O64</f>
        <v>0.0523505976095618</v>
      </c>
    </row>
    <row r="65" spans="21:23">
      <c r="U65" s="0">
        <v>63</v>
      </c>
      <c r="V65" s="0">
        <f>And!O65</f>
        <v>0.00202854230377166</v>
      </c>
      <c r="W65" s="0">
        <f>IOS!O65</f>
        <v>0</v>
      </c>
    </row>
    <row r="66" spans="21:23">
      <c r="U66" s="0">
        <v>64</v>
      </c>
      <c r="V66" s="0">
        <f>And!O66</f>
        <v>0.0170113753877973</v>
      </c>
      <c r="W66" s="0">
        <f>IOS!O66</f>
        <v>0.00984189723320158</v>
      </c>
    </row>
    <row r="67" spans="21:23">
      <c r="U67" s="0">
        <v>65</v>
      </c>
      <c r="V67" s="0">
        <f>And!O67</f>
        <v>0.380725388601036</v>
      </c>
      <c r="W67" s="0">
        <f>IOS!O67</f>
        <v>0.971407766990291</v>
      </c>
    </row>
    <row r="68" spans="21:23">
      <c r="U68" s="0">
        <v>66</v>
      </c>
      <c r="V68" s="0">
        <f>And!O68</f>
        <v>0.0169451697127937</v>
      </c>
      <c r="W68" s="0">
        <f>IOS!O68</f>
        <v>0</v>
      </c>
    </row>
    <row r="69" spans="21:23">
      <c r="U69" s="0">
        <v>67</v>
      </c>
      <c r="V69" s="0">
        <f>And!O69</f>
        <v>0.00786561264822134</v>
      </c>
      <c r="W69" s="0">
        <f>IOS!O69</f>
        <v>0</v>
      </c>
    </row>
    <row r="70" spans="21:23">
      <c r="U70" s="0">
        <v>68</v>
      </c>
      <c r="V70" s="0">
        <f>And!O70</f>
        <v>0.00918421052631579</v>
      </c>
      <c r="W70" s="0">
        <f>IOS!O70</f>
        <v>0</v>
      </c>
    </row>
    <row r="71" spans="21:23">
      <c r="U71" s="0">
        <v>69</v>
      </c>
      <c r="V71" s="0">
        <f>And!O71</f>
        <v>0.00855072463768116</v>
      </c>
      <c r="W71" s="0">
        <f>IOS!O71</f>
        <v>0</v>
      </c>
    </row>
    <row r="72" spans="21:23">
      <c r="U72" s="0">
        <v>70</v>
      </c>
      <c r="V72" s="0">
        <f>And!O72</f>
        <v>0.00130606860158311</v>
      </c>
      <c r="W72" s="0">
        <f>IOS!O72</f>
        <v>0</v>
      </c>
    </row>
    <row r="73" spans="21:23">
      <c r="U73" s="0">
        <v>71</v>
      </c>
      <c r="V73" s="0">
        <f>And!O73</f>
        <v>0.0146143617021277</v>
      </c>
      <c r="W73" s="0">
        <f>IOS!O73</f>
        <v>0</v>
      </c>
    </row>
    <row r="74" spans="21:23">
      <c r="U74" s="0">
        <v>72</v>
      </c>
      <c r="V74" s="0">
        <f>And!O74</f>
        <v>0</v>
      </c>
      <c r="W74" s="0">
        <f>IOS!O74</f>
        <v>0</v>
      </c>
    </row>
    <row r="75" spans="21:23">
      <c r="U75" s="0">
        <v>73</v>
      </c>
      <c r="V75" s="0">
        <f>And!O75</f>
        <v>0.00668900804289544</v>
      </c>
      <c r="W75" s="0">
        <f>IOS!O75</f>
        <v>0.0579227053140097</v>
      </c>
    </row>
    <row r="76" spans="21:23">
      <c r="U76" s="0">
        <v>74</v>
      </c>
      <c r="V76" s="0">
        <f>And!O76</f>
        <v>0.00676630434782609</v>
      </c>
      <c r="W76" s="0">
        <f>IOS!O76</f>
        <v>0.0300961538461538</v>
      </c>
    </row>
    <row r="77" spans="21:23">
      <c r="U77" s="0">
        <v>75</v>
      </c>
      <c r="V77" s="0">
        <f>And!O77</f>
        <v>0.20394495412844</v>
      </c>
      <c r="W77" s="0">
        <f>IOS!O77</f>
        <v>0.358260869565217</v>
      </c>
    </row>
    <row r="78" spans="21:23">
      <c r="U78" s="0">
        <v>76</v>
      </c>
      <c r="V78" s="0">
        <f>And!O78</f>
        <v>0.0202180685358255</v>
      </c>
      <c r="W78" s="0">
        <f>IOS!O78</f>
        <v>0</v>
      </c>
    </row>
    <row r="79" spans="21:23">
      <c r="U79" s="0">
        <v>77</v>
      </c>
      <c r="V79" s="0">
        <f>And!O79</f>
        <v>0.007796875</v>
      </c>
      <c r="W79" s="0">
        <f>IOS!O79</f>
        <v>0</v>
      </c>
    </row>
    <row r="80" spans="21:23">
      <c r="U80" s="0">
        <v>78</v>
      </c>
      <c r="V80" s="0">
        <f>And!O80</f>
        <v>0</v>
      </c>
      <c r="W80" s="0">
        <f>IOS!O80</f>
        <v>0</v>
      </c>
    </row>
    <row r="81" spans="21:23">
      <c r="U81" s="0">
        <v>79</v>
      </c>
      <c r="V81" s="0">
        <f>And!O81</f>
        <v>0.0176121794871795</v>
      </c>
      <c r="W81" s="0">
        <f>IOS!O81</f>
        <v>0.0621468926553672</v>
      </c>
    </row>
    <row r="82" spans="21:23">
      <c r="U82" s="0">
        <v>80</v>
      </c>
      <c r="V82" s="0">
        <f>And!O82</f>
        <v>0.109933665008292</v>
      </c>
      <c r="W82" s="0">
        <f>IOS!O82</f>
        <v>0.168245614035088</v>
      </c>
    </row>
    <row r="83" spans="21:23">
      <c r="U83" s="0">
        <v>81</v>
      </c>
      <c r="V83" s="0">
        <f>And!O83</f>
        <v>0.0439933444259567</v>
      </c>
      <c r="W83" s="0">
        <f>IOS!O83</f>
        <v>0</v>
      </c>
    </row>
    <row r="84" spans="21:23">
      <c r="U84" s="0">
        <v>82</v>
      </c>
      <c r="V84" s="0">
        <f>And!O84</f>
        <v>0.00333333333333333</v>
      </c>
      <c r="W84" s="0">
        <f>IOS!O84</f>
        <v>0.0141975308641975</v>
      </c>
    </row>
    <row r="85" spans="21:23">
      <c r="U85" s="0">
        <v>83</v>
      </c>
      <c r="V85" s="0">
        <f>And!O85</f>
        <v>0.00334453781512605</v>
      </c>
      <c r="W85" s="0">
        <f>IOS!O85</f>
        <v>0.0393333333333333</v>
      </c>
    </row>
    <row r="86" spans="21:23">
      <c r="U86" s="0">
        <v>84</v>
      </c>
      <c r="V86" s="0">
        <f>And!O86</f>
        <v>0.0523924268502582</v>
      </c>
      <c r="W86" s="0">
        <f>IOS!O86</f>
        <v>0</v>
      </c>
    </row>
    <row r="87" spans="21:23">
      <c r="U87" s="0">
        <v>85</v>
      </c>
      <c r="V87" s="0">
        <f>And!O87</f>
        <v>0.0738800705467372</v>
      </c>
      <c r="W87" s="0">
        <f>IOS!O87</f>
        <v>0.0411176470588235</v>
      </c>
    </row>
    <row r="88" spans="21:23">
      <c r="U88" s="0">
        <v>86</v>
      </c>
      <c r="V88" s="0">
        <f>And!O88</f>
        <v>0.0116308243727599</v>
      </c>
      <c r="W88" s="0">
        <f>IOS!O88</f>
        <v>0.017797619047619</v>
      </c>
    </row>
    <row r="89" spans="21:23">
      <c r="U89" s="0">
        <v>87</v>
      </c>
      <c r="V89" s="0">
        <f>And!O89</f>
        <v>0.144575645756458</v>
      </c>
      <c r="W89" s="0">
        <f>IOS!O89</f>
        <v>0.204903225806452</v>
      </c>
    </row>
    <row r="90" spans="21:23">
      <c r="U90" s="0">
        <v>88</v>
      </c>
      <c r="V90" s="0">
        <f>And!O90</f>
        <v>0</v>
      </c>
      <c r="W90" s="0">
        <f>IOS!O90</f>
        <v>0</v>
      </c>
    </row>
    <row r="91" spans="21:23">
      <c r="U91" s="0">
        <v>89</v>
      </c>
      <c r="V91" s="0">
        <f>And!O91</f>
        <v>0</v>
      </c>
      <c r="W91" s="0">
        <f>IOS!O91</f>
        <v>0</v>
      </c>
    </row>
    <row r="92" spans="21:23">
      <c r="U92" s="0">
        <v>90</v>
      </c>
      <c r="V92" s="0">
        <f>And!O92</f>
        <v>0.0350588235294118</v>
      </c>
      <c r="W92" s="0">
        <f>IOS!O92</f>
        <v>0.0880392156862745</v>
      </c>
    </row>
    <row r="93" spans="21:23">
      <c r="U93" s="0">
        <v>91</v>
      </c>
      <c r="V93" s="0">
        <f>And!O93</f>
        <v>0.00768339768339768</v>
      </c>
      <c r="W93" s="0">
        <f>IOS!O93</f>
        <v>0</v>
      </c>
    </row>
    <row r="94" spans="21:23">
      <c r="U94" s="0">
        <v>92</v>
      </c>
      <c r="V94" s="0">
        <f>And!O94</f>
        <v>0.0311111111111111</v>
      </c>
      <c r="W94" s="0">
        <f>IOS!O94</f>
        <v>0</v>
      </c>
    </row>
    <row r="95" spans="21:23">
      <c r="U95" s="0">
        <v>93</v>
      </c>
      <c r="V95" s="0">
        <f>And!O95</f>
        <v>0</v>
      </c>
      <c r="W95" s="0">
        <f>IOS!O95</f>
        <v>0</v>
      </c>
    </row>
    <row r="96" spans="21:23">
      <c r="U96" s="0">
        <v>94</v>
      </c>
      <c r="V96" s="0">
        <f>And!O96</f>
        <v>0</v>
      </c>
      <c r="W96" s="0">
        <f>IOS!O96</f>
        <v>0</v>
      </c>
    </row>
    <row r="97" spans="21:23">
      <c r="U97" s="0">
        <v>95</v>
      </c>
      <c r="V97" s="0">
        <f>And!O97</f>
        <v>0.344728033472803</v>
      </c>
      <c r="W97" s="0">
        <f>IOS!O97</f>
        <v>0.358201438848921</v>
      </c>
    </row>
    <row r="98" spans="21:23">
      <c r="U98" s="0">
        <v>96</v>
      </c>
      <c r="V98" s="0">
        <f>And!O98</f>
        <v>0.0622245322245322</v>
      </c>
      <c r="W98" s="0">
        <f>IOS!O98</f>
        <v>0</v>
      </c>
    </row>
    <row r="99" spans="21:23">
      <c r="U99" s="0">
        <v>97</v>
      </c>
      <c r="V99" s="0">
        <f>And!O99</f>
        <v>0.034789029535865</v>
      </c>
      <c r="W99" s="0">
        <f>IOS!O99</f>
        <v>0.0733823529411765</v>
      </c>
    </row>
    <row r="100" spans="21:23">
      <c r="U100" s="0">
        <v>98</v>
      </c>
      <c r="V100" s="0">
        <f>And!O100</f>
        <v>0</v>
      </c>
      <c r="W100" s="0">
        <f>IOS!O100</f>
        <v>0.0605970149253731</v>
      </c>
    </row>
    <row r="101" spans="21:23">
      <c r="U101" s="0">
        <v>99</v>
      </c>
      <c r="V101" s="0">
        <f>And!O101</f>
        <v>0</v>
      </c>
      <c r="W101" s="0">
        <f>IOS!O101</f>
        <v>0</v>
      </c>
    </row>
    <row r="102" spans="21:23">
      <c r="U102" s="0">
        <v>100</v>
      </c>
      <c r="V102" s="0">
        <f>And!O102</f>
        <v>0</v>
      </c>
      <c r="W102" s="0">
        <f>IOS!O102</f>
        <v>0</v>
      </c>
    </row>
    <row r="103" spans="21:23">
      <c r="U103" s="0">
        <v>101</v>
      </c>
      <c r="V103" s="0">
        <f>And!O103</f>
        <v>0</v>
      </c>
      <c r="W103" s="0">
        <f>IOS!O103</f>
        <v>0.0480740740740741</v>
      </c>
    </row>
    <row r="104" spans="21:23">
      <c r="U104" s="0">
        <v>102</v>
      </c>
      <c r="V104" s="0">
        <f>And!O104</f>
        <v>0.00431670281995662</v>
      </c>
      <c r="W104" s="0">
        <f>IOS!O104</f>
        <v>0.0165467625899281</v>
      </c>
    </row>
    <row r="105" spans="21:23">
      <c r="U105" s="0">
        <v>103</v>
      </c>
      <c r="V105" s="0">
        <f>And!O105</f>
        <v>0</v>
      </c>
      <c r="W105" s="0">
        <f>IOS!O105</f>
        <v>0</v>
      </c>
    </row>
    <row r="106" spans="21:23">
      <c r="U106" s="0">
        <v>104</v>
      </c>
      <c r="V106" s="0">
        <f>And!O106</f>
        <v>0.0675166297117517</v>
      </c>
      <c r="W106" s="0">
        <f>IOS!O106</f>
        <v>0</v>
      </c>
    </row>
    <row r="107" spans="21:23">
      <c r="U107" s="0">
        <v>105</v>
      </c>
      <c r="V107" s="0">
        <f>And!O107</f>
        <v>0.0304063205417607</v>
      </c>
      <c r="W107" s="0">
        <f>IOS!O107</f>
        <v>0.0177857142857143</v>
      </c>
    </row>
    <row r="108" spans="21:23">
      <c r="U108" s="0">
        <v>106</v>
      </c>
      <c r="V108" s="0">
        <f>And!O108</f>
        <v>0.00463869463869464</v>
      </c>
      <c r="W108" s="0">
        <f>IOS!O108</f>
        <v>0.0213571428571429</v>
      </c>
    </row>
    <row r="109" spans="21:23">
      <c r="U109" s="0">
        <v>107</v>
      </c>
      <c r="V109" s="0">
        <f>And!O109</f>
        <v>0.0314841849148418</v>
      </c>
      <c r="W109" s="0">
        <f>IOS!O109</f>
        <v>0.0808450704225352</v>
      </c>
    </row>
    <row r="110" spans="21:23">
      <c r="U110" s="0">
        <v>108</v>
      </c>
      <c r="V110" s="0">
        <f>And!O110</f>
        <v>0.0472727272727273</v>
      </c>
      <c r="W110" s="0">
        <f>IOS!O110</f>
        <v>0</v>
      </c>
    </row>
    <row r="111" spans="21:23">
      <c r="U111" s="0">
        <v>109</v>
      </c>
      <c r="V111" s="0">
        <f>And!O111</f>
        <v>0</v>
      </c>
      <c r="W111" s="0">
        <f>IOS!O111</f>
        <v>0</v>
      </c>
    </row>
    <row r="112" spans="21:23">
      <c r="U112" s="0">
        <v>110</v>
      </c>
      <c r="V112" s="0">
        <f>And!O112</f>
        <v>0.035615763546798</v>
      </c>
      <c r="W112" s="0">
        <f>IOS!O112</f>
        <v>0.0433333333333333</v>
      </c>
    </row>
    <row r="113" spans="21:23">
      <c r="U113" s="0">
        <v>111</v>
      </c>
      <c r="V113" s="0">
        <f>And!O113</f>
        <v>0.0281572481572482</v>
      </c>
      <c r="W113" s="0">
        <f>IOS!O113</f>
        <v>0.0134285714285714</v>
      </c>
    </row>
    <row r="114" spans="21:23">
      <c r="U114" s="0">
        <v>112</v>
      </c>
      <c r="V114" s="0">
        <f>And!O114</f>
        <v>0.0347512437810945</v>
      </c>
      <c r="W114" s="0">
        <f>IOS!O114</f>
        <v>0.0646043165467626</v>
      </c>
    </row>
    <row r="115" spans="21:23">
      <c r="U115" s="0">
        <v>113</v>
      </c>
      <c r="V115" s="0">
        <f>And!O115</f>
        <v>0.0245454545454545</v>
      </c>
      <c r="W115" s="0">
        <f>IOS!O115</f>
        <v>0</v>
      </c>
    </row>
    <row r="116" spans="21:23">
      <c r="U116" s="0">
        <v>114</v>
      </c>
      <c r="V116" s="0">
        <f>And!O116</f>
        <v>0.00488943488943489</v>
      </c>
      <c r="W116" s="0">
        <f>IOS!O116</f>
        <v>0</v>
      </c>
    </row>
    <row r="117" spans="21:23">
      <c r="U117" s="0">
        <v>115</v>
      </c>
      <c r="V117" s="0">
        <f>And!O117</f>
        <v>0.186820512820513</v>
      </c>
      <c r="W117" s="0">
        <f>IOS!O117</f>
        <v>0.247101449275362</v>
      </c>
    </row>
    <row r="118" spans="21:23">
      <c r="U118" s="0">
        <v>116</v>
      </c>
      <c r="V118" s="0">
        <f>And!O118</f>
        <v>0.0111825192802057</v>
      </c>
      <c r="W118" s="0">
        <f>IOS!O118</f>
        <v>0</v>
      </c>
    </row>
    <row r="119" spans="21:23">
      <c r="U119" s="0">
        <v>117</v>
      </c>
      <c r="V119" s="0">
        <f>And!O119</f>
        <v>0</v>
      </c>
      <c r="W119" s="0">
        <f>IOS!O119</f>
        <v>0.0320714285714286</v>
      </c>
    </row>
    <row r="120" spans="21:23">
      <c r="U120" s="0">
        <v>118</v>
      </c>
      <c r="V120" s="0">
        <f>And!O120</f>
        <v>0.0155874673629243</v>
      </c>
      <c r="W120" s="0">
        <f>IOS!O120</f>
        <v>0</v>
      </c>
    </row>
    <row r="121" spans="21:23">
      <c r="U121" s="0">
        <v>119</v>
      </c>
      <c r="V121" s="0">
        <f>And!O121</f>
        <v>0.0131315789473684</v>
      </c>
      <c r="W121" s="0">
        <f>IOS!O121</f>
        <v>0.0366911764705882</v>
      </c>
    </row>
    <row r="122" spans="21:23">
      <c r="U122" s="0">
        <v>120</v>
      </c>
      <c r="V122" s="0">
        <f>And!O122</f>
        <v>0.14312676056338</v>
      </c>
      <c r="W122" s="0">
        <f>IOS!O122</f>
        <v>0.239758064516129</v>
      </c>
    </row>
    <row r="123" spans="21:23">
      <c r="U123" s="0">
        <v>121</v>
      </c>
      <c r="V123" s="0">
        <f>And!O123</f>
        <v>0.0510526315789474</v>
      </c>
      <c r="W123" s="0">
        <f>IOS!O123</f>
        <v>0.0990476190476191</v>
      </c>
    </row>
    <row r="124" spans="21:23">
      <c r="U124" s="0">
        <v>122</v>
      </c>
      <c r="V124" s="0">
        <f>And!O124</f>
        <v>0</v>
      </c>
      <c r="W124" s="0">
        <f>IOS!O124</f>
        <v>0</v>
      </c>
    </row>
    <row r="125" spans="21:23">
      <c r="U125" s="0">
        <v>123</v>
      </c>
      <c r="V125" s="0">
        <f>And!O125</f>
        <v>0</v>
      </c>
      <c r="W125" s="0">
        <f>IOS!O125</f>
        <v>0</v>
      </c>
    </row>
    <row r="126" spans="21:23">
      <c r="U126" s="0">
        <v>124</v>
      </c>
      <c r="V126" s="0">
        <f>And!O126</f>
        <v>0.267885196374622</v>
      </c>
      <c r="W126" s="0">
        <f>IOS!O126</f>
        <v>0.21516393442623</v>
      </c>
    </row>
    <row r="127" spans="21:23">
      <c r="U127" s="0">
        <v>125</v>
      </c>
      <c r="V127" s="0">
        <f>And!O127</f>
        <v>0.00294642857142857</v>
      </c>
      <c r="W127" s="0">
        <f>IOS!O127</f>
        <v>0.0507317073170732</v>
      </c>
    </row>
    <row r="128" spans="21:23">
      <c r="U128" s="0">
        <v>126</v>
      </c>
      <c r="V128" s="0">
        <f>And!O128</f>
        <v>0</v>
      </c>
      <c r="W128" s="0">
        <f>IOS!O128</f>
        <v>0</v>
      </c>
    </row>
    <row r="129" spans="21:23">
      <c r="U129" s="0">
        <v>127</v>
      </c>
      <c r="V129" s="0">
        <f>And!O129</f>
        <v>0.0247305389221557</v>
      </c>
      <c r="W129" s="0">
        <f>IOS!O129</f>
        <v>0</v>
      </c>
    </row>
    <row r="130" spans="21:23">
      <c r="U130" s="0">
        <v>128</v>
      </c>
      <c r="V130" s="0">
        <f>And!O130</f>
        <v>0.0331419939577039</v>
      </c>
      <c r="W130" s="0">
        <f>IOS!O130</f>
        <v>0</v>
      </c>
    </row>
    <row r="131" spans="21:23">
      <c r="U131" s="0">
        <v>129</v>
      </c>
      <c r="V131" s="0">
        <f>And!O131</f>
        <v>0.0292283950617284</v>
      </c>
      <c r="W131" s="0">
        <f>IOS!O131</f>
        <v>0</v>
      </c>
    </row>
    <row r="132" spans="21:23">
      <c r="U132" s="0">
        <v>130</v>
      </c>
      <c r="V132" s="0">
        <f>And!O132</f>
        <v>0.0231578947368421</v>
      </c>
      <c r="W132" s="0">
        <f>IOS!O132</f>
        <v>0</v>
      </c>
    </row>
    <row r="133" spans="21:23">
      <c r="U133" s="0">
        <v>131</v>
      </c>
      <c r="V133" s="0">
        <f>And!O133</f>
        <v>0.0248286604361371</v>
      </c>
      <c r="W133" s="0">
        <f>IOS!O133</f>
        <v>0</v>
      </c>
    </row>
    <row r="134" spans="21:23">
      <c r="U134" s="0">
        <v>132</v>
      </c>
      <c r="V134" s="0">
        <f>And!O134</f>
        <v>0.0695046439628483</v>
      </c>
      <c r="W134" s="0">
        <f>IOS!O134</f>
        <v>0.0563207547169811</v>
      </c>
    </row>
    <row r="135" spans="21:23">
      <c r="U135" s="0">
        <v>133</v>
      </c>
      <c r="V135" s="0">
        <f>And!O135</f>
        <v>0.0742546583850932</v>
      </c>
      <c r="W135" s="0">
        <f>IOS!O135</f>
        <v>0.205044247787611</v>
      </c>
    </row>
    <row r="136" spans="21:23">
      <c r="U136" s="0">
        <v>134</v>
      </c>
      <c r="V136" s="0">
        <f>And!O136</f>
        <v>0.00614197530864198</v>
      </c>
      <c r="W136" s="0">
        <f>IOS!O136</f>
        <v>0</v>
      </c>
    </row>
    <row r="137" spans="21:23">
      <c r="U137" s="0">
        <v>135</v>
      </c>
      <c r="V137" s="0">
        <f>And!O137</f>
        <v>0.0307076923076923</v>
      </c>
      <c r="W137" s="0">
        <f>IOS!O137</f>
        <v>0.0457798165137615</v>
      </c>
    </row>
    <row r="138" spans="21:23">
      <c r="U138" s="0">
        <v>136</v>
      </c>
      <c r="V138" s="0">
        <f>And!O138</f>
        <v>0.156472392638037</v>
      </c>
      <c r="W138" s="0">
        <f>IOS!O138</f>
        <v>0.06</v>
      </c>
    </row>
    <row r="139" spans="21:23">
      <c r="U139" s="0">
        <v>137</v>
      </c>
      <c r="V139" s="0">
        <f>And!O139</f>
        <v>0.120282131661442</v>
      </c>
      <c r="W139" s="0">
        <f>IOS!O139</f>
        <v>0.199304347826087</v>
      </c>
    </row>
    <row r="140" spans="21:23">
      <c r="U140" s="0">
        <v>138</v>
      </c>
      <c r="V140" s="0">
        <f>And!O140</f>
        <v>0</v>
      </c>
      <c r="W140" s="0">
        <f>IOS!O140</f>
        <v>0</v>
      </c>
    </row>
    <row r="141" spans="21:23">
      <c r="U141" s="0">
        <v>139</v>
      </c>
      <c r="V141" s="0">
        <f>And!O141</f>
        <v>0.02814696485623</v>
      </c>
      <c r="W141" s="0">
        <f>IOS!O141</f>
        <v>0</v>
      </c>
    </row>
    <row r="142" spans="21:23">
      <c r="U142" s="0">
        <v>140</v>
      </c>
      <c r="V142" s="0">
        <f>And!O142</f>
        <v>0.295849673202614</v>
      </c>
      <c r="W142" s="0">
        <f>IOS!O142</f>
        <v>0.572592592592593</v>
      </c>
    </row>
    <row r="143" spans="21:23">
      <c r="U143" s="0">
        <v>141</v>
      </c>
      <c r="V143" s="0">
        <f>And!O143</f>
        <v>0.0636274509803922</v>
      </c>
      <c r="W143" s="0">
        <f>IOS!O143</f>
        <v>0.0741441441441442</v>
      </c>
    </row>
    <row r="144" spans="21:23">
      <c r="U144" s="0">
        <v>142</v>
      </c>
      <c r="V144" s="0">
        <f>And!O144</f>
        <v>0</v>
      </c>
      <c r="W144" s="0">
        <f>IOS!O144</f>
        <v>0</v>
      </c>
    </row>
    <row r="145" spans="21:23">
      <c r="U145" s="0">
        <v>143</v>
      </c>
      <c r="V145" s="0">
        <f>And!O145</f>
        <v>0.00983552631578948</v>
      </c>
      <c r="W145" s="0">
        <f>IOS!O145</f>
        <v>0</v>
      </c>
    </row>
    <row r="146" spans="21:23">
      <c r="U146" s="0">
        <v>144</v>
      </c>
      <c r="V146" s="0">
        <f>And!O146</f>
        <v>0</v>
      </c>
      <c r="W146" s="0">
        <f>IOS!O146</f>
        <v>0</v>
      </c>
    </row>
    <row r="147" spans="21:23">
      <c r="U147" s="0">
        <v>145</v>
      </c>
      <c r="V147" s="0">
        <f>And!O147</f>
        <v>0.0300974025974026</v>
      </c>
      <c r="W147" s="0">
        <f>IOS!O147</f>
        <v>0</v>
      </c>
    </row>
    <row r="148" spans="21:23">
      <c r="U148" s="0">
        <v>146</v>
      </c>
      <c r="V148" s="0">
        <f>And!O148</f>
        <v>0</v>
      </c>
      <c r="W148" s="0">
        <f>IOS!O148</f>
        <v>0</v>
      </c>
    </row>
    <row r="149" spans="21:23">
      <c r="U149" s="0">
        <v>147</v>
      </c>
      <c r="V149" s="0">
        <f>And!O149</f>
        <v>0.275723684210526</v>
      </c>
      <c r="W149" s="0">
        <f>IOS!O149</f>
        <v>0.291491228070175</v>
      </c>
    </row>
    <row r="150" spans="21:23">
      <c r="U150" s="0">
        <v>148</v>
      </c>
      <c r="V150" s="0">
        <f>And!O150</f>
        <v>0</v>
      </c>
      <c r="W150" s="0">
        <f>IOS!O150</f>
        <v>0</v>
      </c>
    </row>
    <row r="151" spans="21:23">
      <c r="U151" s="0">
        <v>149</v>
      </c>
      <c r="V151" s="0">
        <f>And!O151</f>
        <v>0</v>
      </c>
      <c r="W151" s="0">
        <f>IOS!O151</f>
        <v>0</v>
      </c>
    </row>
    <row r="152" spans="21:23">
      <c r="U152" s="0">
        <v>150</v>
      </c>
      <c r="V152" s="0">
        <f>And!O152</f>
        <v>0.0656907894736842</v>
      </c>
      <c r="W152" s="0">
        <f>IOS!O152</f>
        <v>0</v>
      </c>
    </row>
    <row r="153" spans="21:23">
      <c r="U153" s="0">
        <v>151</v>
      </c>
      <c r="V153" s="0">
        <f>And!O153</f>
        <v>0.0761458333333333</v>
      </c>
      <c r="W153" s="0">
        <f>IOS!O153</f>
        <v>0.282523364485981</v>
      </c>
    </row>
    <row r="154" spans="21:23">
      <c r="U154" s="0">
        <v>152</v>
      </c>
      <c r="V154" s="0">
        <f>And!O154</f>
        <v>0</v>
      </c>
      <c r="W154" s="0">
        <f>IOS!O154</f>
        <v>0.0951428571428571</v>
      </c>
    </row>
    <row r="155" spans="21:23">
      <c r="U155" s="0">
        <v>153</v>
      </c>
      <c r="V155" s="0">
        <f>And!O155</f>
        <v>0</v>
      </c>
      <c r="W155" s="0">
        <f>IOS!O155</f>
        <v>0</v>
      </c>
    </row>
    <row r="156" spans="21:23">
      <c r="U156" s="0">
        <v>154</v>
      </c>
      <c r="V156" s="0">
        <f>And!O156</f>
        <v>0.0503971119133574</v>
      </c>
      <c r="W156" s="0">
        <f>IOS!O156</f>
        <v>0.048921568627451</v>
      </c>
    </row>
    <row r="157" spans="21:23">
      <c r="U157" s="0">
        <v>155</v>
      </c>
      <c r="V157" s="0">
        <f>And!O157</f>
        <v>0.0363272727272727</v>
      </c>
      <c r="W157" s="0">
        <f>IOS!O157</f>
        <v>0</v>
      </c>
    </row>
    <row r="158" spans="21:23">
      <c r="U158" s="0">
        <v>156</v>
      </c>
      <c r="V158" s="0">
        <f>And!O158</f>
        <v>0</v>
      </c>
      <c r="W158" s="0">
        <f>IOS!O158</f>
        <v>0</v>
      </c>
    </row>
    <row r="159" spans="21:23">
      <c r="U159" s="0">
        <v>157</v>
      </c>
      <c r="V159" s="0">
        <f>And!O159</f>
        <v>0.0512167300380228</v>
      </c>
      <c r="W159" s="0">
        <f>IOS!O159</f>
        <v>0.112142857142857</v>
      </c>
    </row>
    <row r="160" spans="21:23">
      <c r="U160" s="0">
        <v>158</v>
      </c>
      <c r="V160" s="0">
        <f>And!O160</f>
        <v>0.0113688212927757</v>
      </c>
      <c r="W160" s="0">
        <f>IOS!O160</f>
        <v>0</v>
      </c>
    </row>
    <row r="161" spans="21:23">
      <c r="U161" s="0">
        <v>159</v>
      </c>
      <c r="V161" s="0">
        <f>And!O161</f>
        <v>0.603873517786561</v>
      </c>
      <c r="W161" s="0">
        <f>IOS!O161</f>
        <v>0.241428571428571</v>
      </c>
    </row>
    <row r="162" spans="21:23">
      <c r="U162" s="0">
        <v>160</v>
      </c>
      <c r="V162" s="0">
        <f>And!O162</f>
        <v>0.0567886178861789</v>
      </c>
      <c r="W162" s="0">
        <f>IOS!O162</f>
        <v>0.0187735849056604</v>
      </c>
    </row>
    <row r="163" spans="21:23">
      <c r="U163" s="0">
        <v>161</v>
      </c>
      <c r="V163" s="0">
        <f>And!O163</f>
        <v>0.0121544715447154</v>
      </c>
      <c r="W163" s="0">
        <f>IOS!O163</f>
        <v>0</v>
      </c>
    </row>
    <row r="164" spans="21:23">
      <c r="U164" s="0">
        <v>162</v>
      </c>
      <c r="V164" s="0">
        <f>And!O164</f>
        <v>0.0324897959183674</v>
      </c>
      <c r="W164" s="0">
        <f>IOS!O164</f>
        <v>0</v>
      </c>
    </row>
    <row r="165" spans="21:23">
      <c r="U165" s="0">
        <v>163</v>
      </c>
      <c r="V165" s="0">
        <f>And!O165</f>
        <v>0.0202845528455285</v>
      </c>
      <c r="W165" s="0">
        <f>IOS!O165</f>
        <v>0.018952380952381</v>
      </c>
    </row>
    <row r="166" spans="21:23">
      <c r="U166" s="0">
        <v>164</v>
      </c>
      <c r="V166" s="0">
        <f>And!O166</f>
        <v>0.106913580246914</v>
      </c>
      <c r="W166" s="0">
        <f>IOS!O166</f>
        <v>0.0234905660377359</v>
      </c>
    </row>
    <row r="167" spans="21:23">
      <c r="U167" s="0">
        <v>165</v>
      </c>
      <c r="V167" s="0">
        <f>And!O167</f>
        <v>0.0283739837398374</v>
      </c>
      <c r="W167" s="0">
        <f>IOS!O167</f>
        <v>0</v>
      </c>
    </row>
    <row r="168" spans="21:23">
      <c r="U168" s="0">
        <v>166</v>
      </c>
      <c r="V168" s="0">
        <f>And!O168</f>
        <v>0.0613524590163935</v>
      </c>
      <c r="W168" s="0">
        <f>IOS!O168</f>
        <v>0</v>
      </c>
    </row>
    <row r="169" spans="21:23">
      <c r="U169" s="0">
        <v>167</v>
      </c>
      <c r="V169" s="0">
        <f>And!O169</f>
        <v>0</v>
      </c>
      <c r="W169" s="0">
        <f>IOS!O169</f>
        <v>0.104571428571429</v>
      </c>
    </row>
    <row r="170" spans="21:23">
      <c r="U170" s="0">
        <v>168</v>
      </c>
      <c r="V170" s="0">
        <f>And!O170</f>
        <v>0.0607391304347826</v>
      </c>
      <c r="W170" s="0">
        <f>IOS!O170</f>
        <v>0</v>
      </c>
    </row>
    <row r="171" spans="21:23">
      <c r="U171" s="0">
        <v>169</v>
      </c>
      <c r="V171" s="0">
        <f>And!O171</f>
        <v>0.252972972972973</v>
      </c>
      <c r="W171" s="0">
        <f>IOS!O171</f>
        <v>0.522268041237113</v>
      </c>
    </row>
    <row r="172" spans="21:23">
      <c r="U172" s="0">
        <v>170</v>
      </c>
      <c r="V172" s="0">
        <f>And!O172</f>
        <v>0.0544888888888889</v>
      </c>
      <c r="W172" s="0">
        <f>IOS!O172</f>
        <v>0</v>
      </c>
    </row>
    <row r="173" spans="21:23">
      <c r="U173" s="0">
        <v>171</v>
      </c>
      <c r="V173" s="0">
        <f>And!O173</f>
        <v>0.0398666666666667</v>
      </c>
      <c r="W173" s="0">
        <f>IOS!O173</f>
        <v>0.159468085106383</v>
      </c>
    </row>
    <row r="174" spans="21:23">
      <c r="U174" s="0">
        <v>172</v>
      </c>
      <c r="V174" s="0">
        <f>And!O174</f>
        <v>0.129775784753363</v>
      </c>
      <c r="W174" s="0">
        <f>IOS!O174</f>
        <v>0.130888888888889</v>
      </c>
    </row>
    <row r="175" spans="21:23">
      <c r="U175" s="0">
        <v>173</v>
      </c>
      <c r="V175" s="0">
        <f>And!O175</f>
        <v>0.0766981132075472</v>
      </c>
      <c r="W175" s="0">
        <f>IOS!O175</f>
        <v>0.0580232558139535</v>
      </c>
    </row>
    <row r="176" spans="21:23">
      <c r="U176" s="0">
        <v>174</v>
      </c>
      <c r="V176" s="0">
        <f>And!O176</f>
        <v>0</v>
      </c>
      <c r="W176" s="0">
        <f>IOS!O176</f>
        <v>0.101071428571429</v>
      </c>
    </row>
    <row r="177" spans="21:23">
      <c r="U177" s="0">
        <v>175</v>
      </c>
      <c r="V177" s="0">
        <f>And!O177</f>
        <v>0.189268292682927</v>
      </c>
      <c r="W177" s="0">
        <f>IOS!O177</f>
        <v>0.177037037037037</v>
      </c>
    </row>
    <row r="178" spans="21:23">
      <c r="U178" s="0">
        <v>176</v>
      </c>
      <c r="V178" s="0">
        <f>And!O178</f>
        <v>0.200344827586207</v>
      </c>
      <c r="W178" s="0">
        <f>IOS!O178</f>
        <v>0.0672413793103448</v>
      </c>
    </row>
    <row r="179" spans="21:23">
      <c r="U179" s="0">
        <v>177</v>
      </c>
      <c r="V179" s="0">
        <f>And!O179</f>
        <v>0.285051020408163</v>
      </c>
      <c r="W179" s="0">
        <f>IOS!O179</f>
        <v>0.655</v>
      </c>
    </row>
    <row r="180" spans="21:23">
      <c r="U180" s="0">
        <v>178</v>
      </c>
      <c r="V180" s="0">
        <f>And!O180</f>
        <v>0.169893617021277</v>
      </c>
      <c r="W180" s="0">
        <f>IOS!O180</f>
        <v>0.308028169014085</v>
      </c>
    </row>
    <row r="181" spans="21:23">
      <c r="U181" s="0">
        <v>179</v>
      </c>
      <c r="V181" s="0">
        <f>And!O181</f>
        <v>0.169891891891892</v>
      </c>
      <c r="W181" s="0">
        <f>IOS!O181</f>
        <v>0.0997101449275362</v>
      </c>
    </row>
    <row r="182" spans="21:23">
      <c r="U182" s="0">
        <v>180</v>
      </c>
      <c r="V182" s="0">
        <f>And!O182</f>
        <v>0.110315789473684</v>
      </c>
      <c r="W182" s="0">
        <f>IOS!O182</f>
        <v>0</v>
      </c>
    </row>
    <row r="183" spans="21:23">
      <c r="U183" s="0">
        <v>181</v>
      </c>
      <c r="V183" s="0">
        <f>And!O183</f>
        <v>0.247914438502674</v>
      </c>
      <c r="W183" s="0">
        <f>IOS!O183</f>
        <v>0.0870833333333333</v>
      </c>
    </row>
    <row r="184" spans="21:23">
      <c r="U184" s="0">
        <v>182</v>
      </c>
      <c r="V184" s="0">
        <f>And!O184</f>
        <v>0.352677595628415</v>
      </c>
      <c r="W184" s="0">
        <f>IOS!O184</f>
        <v>0.298243243243243</v>
      </c>
    </row>
    <row r="185" spans="21:23">
      <c r="U185" s="0">
        <v>183</v>
      </c>
      <c r="V185" s="0">
        <f>And!O185</f>
        <v>0.0554444444444445</v>
      </c>
      <c r="W185" s="0">
        <f>IOS!O185</f>
        <v>0.0693055555555556</v>
      </c>
    </row>
    <row r="186" spans="21:23">
      <c r="U186" s="0">
        <v>184</v>
      </c>
      <c r="V186" s="0">
        <f>And!O186</f>
        <v>0.0110555555555556</v>
      </c>
      <c r="W186" s="0">
        <f>IOS!O186</f>
        <v>0</v>
      </c>
    </row>
    <row r="187" spans="21:23">
      <c r="U187" s="0">
        <v>185</v>
      </c>
      <c r="V187" s="0">
        <f>And!O187</f>
        <v>0.110568181818182</v>
      </c>
      <c r="W187" s="0">
        <f>IOS!O187</f>
        <v>0.0889041095890411</v>
      </c>
    </row>
    <row r="188" spans="21:23">
      <c r="U188" s="0">
        <v>186</v>
      </c>
      <c r="V188" s="0">
        <f>And!O188</f>
        <v>0.100393258426966</v>
      </c>
      <c r="W188" s="0">
        <f>IOS!O188</f>
        <v>0.116438356164384</v>
      </c>
    </row>
    <row r="189" spans="21:23">
      <c r="U189" s="0">
        <v>187</v>
      </c>
      <c r="V189" s="0">
        <f>And!O189</f>
        <v>0.249302325581395</v>
      </c>
      <c r="W189" s="0">
        <f>IOS!O189</f>
        <v>0</v>
      </c>
    </row>
    <row r="190" spans="21:23">
      <c r="U190" s="0">
        <v>188</v>
      </c>
      <c r="V190" s="0">
        <f>And!O190</f>
        <v>0</v>
      </c>
      <c r="W190" s="0">
        <f>IOS!O190</f>
        <v>0</v>
      </c>
    </row>
    <row r="191" spans="21:23">
      <c r="U191" s="0">
        <v>189</v>
      </c>
      <c r="V191" s="0">
        <f>And!O191</f>
        <v>0.309477124183007</v>
      </c>
      <c r="W191" s="0">
        <f>IOS!O191</f>
        <v>0.0528767123287671</v>
      </c>
    </row>
    <row r="192" spans="21:23">
      <c r="U192" s="0">
        <v>190</v>
      </c>
      <c r="V192" s="0">
        <f>And!O192</f>
        <v>0.089320987654321</v>
      </c>
      <c r="W192" s="0">
        <f>IOS!O192</f>
        <v>0.0254054054054054</v>
      </c>
    </row>
    <row r="193" spans="21:23">
      <c r="U193" s="0">
        <v>191</v>
      </c>
      <c r="V193" s="0">
        <f>And!O193</f>
        <v>0.0306134969325153</v>
      </c>
      <c r="W193" s="0">
        <f>IOS!O193</f>
        <v>0</v>
      </c>
    </row>
    <row r="194" spans="21:23">
      <c r="U194" s="0">
        <v>192</v>
      </c>
      <c r="V194" s="0">
        <f>And!O194</f>
        <v>0.101042944785276</v>
      </c>
      <c r="W194" s="0">
        <f>IOS!O194</f>
        <v>0</v>
      </c>
    </row>
    <row r="195" spans="21:23">
      <c r="U195" s="0">
        <v>193</v>
      </c>
      <c r="V195" s="0">
        <f>And!O195</f>
        <v>0.0728834355828221</v>
      </c>
      <c r="W195" s="0">
        <f>IOS!O195</f>
        <v>0.0860810810810811</v>
      </c>
    </row>
    <row r="196" spans="21:23">
      <c r="U196" s="0">
        <v>194</v>
      </c>
      <c r="V196" s="0">
        <f>And!O196</f>
        <v>0.0815094339622642</v>
      </c>
      <c r="W196" s="0">
        <f>IOS!O196</f>
        <v>0.290540540540541</v>
      </c>
    </row>
    <row r="197" spans="21:23">
      <c r="U197" s="0">
        <v>195</v>
      </c>
      <c r="V197" s="0">
        <f>And!O197</f>
        <v>0.115806451612903</v>
      </c>
      <c r="W197" s="0">
        <f>IOS!O197</f>
        <v>0.193835616438356</v>
      </c>
    </row>
    <row r="198" spans="21:23">
      <c r="U198" s="0">
        <v>196</v>
      </c>
      <c r="V198" s="0">
        <f>And!O198</f>
        <v>0.184415584415584</v>
      </c>
      <c r="W198" s="0">
        <f>IOS!O198</f>
        <v>0.0693055555555556</v>
      </c>
    </row>
    <row r="199" spans="21:23">
      <c r="U199" s="0">
        <v>197</v>
      </c>
      <c r="V199" s="0">
        <f>And!O199</f>
        <v>0.128354430379747</v>
      </c>
      <c r="W199" s="0">
        <f>IOS!O199</f>
        <v>0.196527777777778</v>
      </c>
    </row>
    <row r="200" spans="21:23">
      <c r="U200" s="0">
        <v>198</v>
      </c>
      <c r="V200" s="0">
        <f>And!O200</f>
        <v>0.0954938271604938</v>
      </c>
      <c r="W200" s="0">
        <f>IOS!O200</f>
        <v>0.5248</v>
      </c>
    </row>
    <row r="201" spans="21:23">
      <c r="U201" s="0">
        <v>199</v>
      </c>
      <c r="V201" s="0">
        <f>And!O201</f>
        <v>0</v>
      </c>
      <c r="W201" s="0">
        <f>IOS!O201</f>
        <v>0.0341095890410959</v>
      </c>
    </row>
    <row r="202" spans="21:23">
      <c r="U202" s="0">
        <v>200</v>
      </c>
      <c r="V202" s="0">
        <f>And!O202</f>
        <v>0.226625</v>
      </c>
      <c r="W202" s="0">
        <f>IOS!O202</f>
        <v>0.257222222222222</v>
      </c>
    </row>
    <row r="203" spans="21:23">
      <c r="U203" s="0">
        <v>201</v>
      </c>
      <c r="V203" s="0">
        <f>And!O203</f>
        <v>0.00630573248407643</v>
      </c>
      <c r="W203" s="0">
        <f>IOS!O203</f>
        <v>0.182957746478873</v>
      </c>
    </row>
    <row r="204" spans="21:23">
      <c r="U204" s="0">
        <v>202</v>
      </c>
      <c r="V204" s="0">
        <f>And!O204</f>
        <v>0</v>
      </c>
      <c r="W204" s="0">
        <f>IOS!O204</f>
        <v>0</v>
      </c>
    </row>
    <row r="205" spans="21:23">
      <c r="U205" s="0">
        <v>203</v>
      </c>
      <c r="V205" s="0">
        <f>And!O205</f>
        <v>0.143541666666667</v>
      </c>
      <c r="W205" s="0">
        <f>IOS!O205</f>
        <v>0.22952380952381</v>
      </c>
    </row>
    <row r="206" spans="21:23">
      <c r="U206" s="0">
        <v>204</v>
      </c>
      <c r="V206" s="0">
        <f>And!O206</f>
        <v>0.0447586206896552</v>
      </c>
      <c r="W206" s="0">
        <f>IOS!O206</f>
        <v>0.0395238095238095</v>
      </c>
    </row>
    <row r="207" spans="21:23">
      <c r="U207" s="0">
        <v>205</v>
      </c>
      <c r="V207" s="0">
        <f>And!O207</f>
        <v>0</v>
      </c>
      <c r="W207" s="0">
        <f>IOS!O207</f>
        <v>0</v>
      </c>
    </row>
    <row r="208" spans="21:23">
      <c r="U208" s="0">
        <v>206</v>
      </c>
      <c r="V208" s="0">
        <f>And!O208</f>
        <v>0</v>
      </c>
      <c r="W208" s="0">
        <f>IOS!O208</f>
        <v>0</v>
      </c>
    </row>
    <row r="209" spans="21:23">
      <c r="U209" s="0">
        <v>207</v>
      </c>
      <c r="V209" s="0">
        <f>And!O209</f>
        <v>0.0341780821917808</v>
      </c>
      <c r="W209" s="0">
        <f>IOS!O209</f>
        <v>0.0437704918032787</v>
      </c>
    </row>
    <row r="210" spans="21:23">
      <c r="U210" s="0">
        <v>208</v>
      </c>
      <c r="V210" s="0">
        <f>And!O210</f>
        <v>0.132380952380952</v>
      </c>
      <c r="W210" s="0">
        <f>IOS!O210</f>
        <v>0</v>
      </c>
    </row>
    <row r="211" spans="21:23">
      <c r="U211" s="0">
        <v>209</v>
      </c>
      <c r="V211" s="0">
        <f>And!O211</f>
        <v>0.0491549295774648</v>
      </c>
      <c r="W211" s="0">
        <f>IOS!O211</f>
        <v>0.108166666666667</v>
      </c>
    </row>
    <row r="212" spans="21:23">
      <c r="U212" s="0">
        <v>210</v>
      </c>
      <c r="V212" s="0">
        <f>And!O212</f>
        <v>0.0772535211267606</v>
      </c>
      <c r="W212" s="0">
        <f>IOS!O212</f>
        <v>0</v>
      </c>
    </row>
    <row r="213" spans="21:23">
      <c r="U213" s="0">
        <v>211</v>
      </c>
      <c r="V213" s="0">
        <f>And!O213</f>
        <v>0.085037037037037</v>
      </c>
      <c r="W213" s="0">
        <f>IOS!O213</f>
        <v>0.12546875</v>
      </c>
    </row>
    <row r="214" spans="21:23">
      <c r="U214" s="0">
        <v>212</v>
      </c>
      <c r="V214" s="0">
        <f>And!O214</f>
        <v>0.0140140845070423</v>
      </c>
      <c r="W214" s="0">
        <f>IOS!O214</f>
        <v>0</v>
      </c>
    </row>
    <row r="215" spans="21:23">
      <c r="U215" s="0">
        <v>213</v>
      </c>
      <c r="V215" s="0">
        <f>And!O215</f>
        <v>0.0912056737588653</v>
      </c>
      <c r="W215" s="0">
        <f>IOS!O215</f>
        <v>0</v>
      </c>
    </row>
    <row r="216" spans="21:23">
      <c r="U216" s="0">
        <v>214</v>
      </c>
      <c r="V216" s="0">
        <f>And!O216</f>
        <v>0.027448275862069</v>
      </c>
      <c r="W216" s="0">
        <f>IOS!O216</f>
        <v>0</v>
      </c>
    </row>
    <row r="217" spans="21:23">
      <c r="U217" s="0">
        <v>215</v>
      </c>
      <c r="V217" s="0">
        <f>And!O217</f>
        <v>0.0808108108108108</v>
      </c>
      <c r="W217" s="0">
        <f>IOS!O217</f>
        <v>0.0753448275862069</v>
      </c>
    </row>
    <row r="218" spans="21:23">
      <c r="U218" s="0">
        <v>216</v>
      </c>
      <c r="V218" s="0">
        <f>And!O218</f>
        <v>0.0207638888888889</v>
      </c>
      <c r="W218" s="0">
        <f>IOS!O218</f>
        <v>0</v>
      </c>
    </row>
    <row r="219" spans="21:23">
      <c r="U219" s="0">
        <v>217</v>
      </c>
      <c r="V219" s="0">
        <f>And!O219</f>
        <v>0.0789208633093525</v>
      </c>
      <c r="W219" s="0">
        <f>IOS!O219</f>
        <v>0</v>
      </c>
    </row>
    <row r="220" spans="21:23">
      <c r="U220" s="0">
        <v>218</v>
      </c>
      <c r="V220" s="0">
        <f>And!O220</f>
        <v>0</v>
      </c>
      <c r="W220" s="0">
        <f>IOS!O220</f>
        <v>0.097843137254902</v>
      </c>
    </row>
    <row r="221" spans="21:23">
      <c r="U221" s="0">
        <v>219</v>
      </c>
      <c r="V221" s="0">
        <f>And!O221</f>
        <v>0.0437226277372263</v>
      </c>
      <c r="W221" s="0">
        <f>IOS!O221</f>
        <v>0</v>
      </c>
    </row>
    <row r="222" spans="21:23">
      <c r="U222" s="0">
        <v>220</v>
      </c>
      <c r="V222" s="0">
        <f>And!O222</f>
        <v>0.0968656716417911</v>
      </c>
      <c r="W222" s="0">
        <f>IOS!O222</f>
        <v>0.672884615384615</v>
      </c>
    </row>
    <row r="223" spans="21:23">
      <c r="U223" s="0">
        <v>221</v>
      </c>
      <c r="V223" s="0">
        <f>And!O223</f>
        <v>0</v>
      </c>
      <c r="W223" s="0">
        <f>IOS!O223</f>
        <v>0</v>
      </c>
    </row>
    <row r="224" spans="21:23">
      <c r="U224" s="0">
        <v>222</v>
      </c>
      <c r="V224" s="0">
        <f>And!O224</f>
        <v>0.0988549618320611</v>
      </c>
      <c r="W224" s="0">
        <f>IOS!O224</f>
        <v>0.22377358490566</v>
      </c>
    </row>
    <row r="225" spans="21:23">
      <c r="U225" s="0">
        <v>223</v>
      </c>
      <c r="V225" s="0">
        <f>And!O225</f>
        <v>0.0457251908396947</v>
      </c>
      <c r="W225" s="0">
        <f>IOS!O225</f>
        <v>0.0898</v>
      </c>
    </row>
    <row r="226" spans="21:23">
      <c r="U226" s="0">
        <v>224</v>
      </c>
      <c r="V226" s="0">
        <f>And!O226</f>
        <v>0</v>
      </c>
      <c r="W226" s="0">
        <f>IOS!O226</f>
        <v>0</v>
      </c>
    </row>
    <row r="227" spans="21:23">
      <c r="U227" s="0">
        <v>225</v>
      </c>
      <c r="V227" s="0">
        <f>And!O227</f>
        <v>0.0717692307692308</v>
      </c>
      <c r="W227" s="0">
        <f>IOS!O227</f>
        <v>0.0885106382978723</v>
      </c>
    </row>
    <row r="228" spans="21:23">
      <c r="U228" s="0">
        <v>226</v>
      </c>
      <c r="V228" s="0">
        <f>And!O228</f>
        <v>0.0155555555555556</v>
      </c>
      <c r="W228" s="0">
        <f>IOS!O228</f>
        <v>0.103958333333333</v>
      </c>
    </row>
    <row r="229" spans="21:23">
      <c r="U229" s="0">
        <v>227</v>
      </c>
      <c r="V229" s="0">
        <f>And!O229</f>
        <v>0</v>
      </c>
      <c r="W229" s="0">
        <f>IOS!O229</f>
        <v>0.346875</v>
      </c>
    </row>
    <row r="230" spans="21:23">
      <c r="U230" s="0">
        <v>228</v>
      </c>
      <c r="V230" s="0">
        <f>And!O230</f>
        <v>0</v>
      </c>
      <c r="W230" s="0">
        <f>IOS!O230</f>
        <v>0</v>
      </c>
    </row>
    <row r="231" spans="21:23">
      <c r="U231" s="0">
        <v>229</v>
      </c>
      <c r="V231" s="0">
        <f>And!O231</f>
        <v>0.0316</v>
      </c>
      <c r="W231" s="0">
        <f>IOS!O231</f>
        <v>0</v>
      </c>
    </row>
    <row r="232" spans="21:23">
      <c r="U232" s="0">
        <v>230</v>
      </c>
      <c r="V232" s="0">
        <f>And!O232</f>
        <v>0.0511111111111111</v>
      </c>
      <c r="W232" s="0">
        <f>IOS!O232</f>
        <v>0.0352830188679245</v>
      </c>
    </row>
    <row r="233" spans="21:23">
      <c r="U233" s="0">
        <v>231</v>
      </c>
      <c r="V233" s="0">
        <f>And!O233</f>
        <v>0.0588976377952756</v>
      </c>
      <c r="W233" s="0">
        <f>IOS!O233</f>
        <v>0</v>
      </c>
    </row>
    <row r="234" spans="21:23">
      <c r="U234" s="0">
        <v>232</v>
      </c>
      <c r="V234" s="0">
        <f>And!O234</f>
        <v>0</v>
      </c>
      <c r="W234" s="0">
        <f>IOS!O234</f>
        <v>0.181666666666667</v>
      </c>
    </row>
    <row r="235" spans="21:23">
      <c r="U235" s="0">
        <v>233</v>
      </c>
      <c r="V235" s="0">
        <f>And!O235</f>
        <v>0</v>
      </c>
      <c r="W235" s="0">
        <f>IOS!O235</f>
        <v>0.0346296296296296</v>
      </c>
    </row>
    <row r="236" spans="21:23">
      <c r="U236" s="0">
        <v>234</v>
      </c>
      <c r="V236" s="0">
        <f>And!O236</f>
        <v>0.01592</v>
      </c>
      <c r="W236" s="0">
        <f>IOS!O236</f>
        <v>0</v>
      </c>
    </row>
    <row r="237" spans="21:23">
      <c r="U237" s="0">
        <v>235</v>
      </c>
      <c r="V237" s="0">
        <f>And!O237</f>
        <v>0</v>
      </c>
      <c r="W237" s="0">
        <f>IOS!O237</f>
        <v>0</v>
      </c>
    </row>
    <row r="238" spans="21:23">
      <c r="U238" s="0">
        <v>236</v>
      </c>
      <c r="V238" s="0">
        <f>And!O238</f>
        <v>0.10725</v>
      </c>
      <c r="W238" s="0">
        <f>IOS!O238</f>
        <v>0.0328070175438597</v>
      </c>
    </row>
    <row r="239" spans="21:23">
      <c r="U239" s="0">
        <v>237</v>
      </c>
      <c r="V239" s="0">
        <f>And!O239</f>
        <v>0</v>
      </c>
      <c r="W239" s="0">
        <f>IOS!O239</f>
        <v>0.231785714285714</v>
      </c>
    </row>
    <row r="240" spans="21:23">
      <c r="U240" s="0">
        <v>238</v>
      </c>
      <c r="V240" s="0">
        <f>And!O240</f>
        <v>0.160894308943089</v>
      </c>
      <c r="W240" s="0">
        <f>IOS!O240</f>
        <v>0.59462962962963</v>
      </c>
    </row>
    <row r="241" spans="21:23">
      <c r="U241" s="0">
        <v>239</v>
      </c>
      <c r="V241" s="0">
        <f>And!O241</f>
        <v>0.233387096774194</v>
      </c>
      <c r="W241" s="0">
        <f>IOS!O241</f>
        <v>0.0442307692307692</v>
      </c>
    </row>
    <row r="242" spans="21:23">
      <c r="U242" s="0">
        <v>240</v>
      </c>
      <c r="V242" s="0">
        <f>And!O242</f>
        <v>0</v>
      </c>
      <c r="W242" s="0">
        <f>IOS!O242</f>
        <v>0</v>
      </c>
    </row>
    <row r="243" spans="21:23">
      <c r="U243" s="0">
        <v>241</v>
      </c>
      <c r="V243" s="0">
        <f>And!O243</f>
        <v>0.054453125</v>
      </c>
      <c r="W243" s="0">
        <f>IOS!O243</f>
        <v>0.0459574468085106</v>
      </c>
    </row>
    <row r="244" spans="21:23">
      <c r="U244" s="0">
        <v>242</v>
      </c>
      <c r="V244" s="0">
        <f>And!O244</f>
        <v>0.0352755905511811</v>
      </c>
      <c r="W244" s="0">
        <f>IOS!O244</f>
        <v>0</v>
      </c>
    </row>
    <row r="245" spans="21:23">
      <c r="U245" s="0">
        <v>243</v>
      </c>
      <c r="V245" s="0">
        <f>And!O245</f>
        <v>0.36704347826087</v>
      </c>
      <c r="W245" s="0">
        <f>IOS!O245</f>
        <v>0.571276595744681</v>
      </c>
    </row>
    <row r="246" spans="21:23">
      <c r="U246" s="0">
        <v>244</v>
      </c>
      <c r="V246" s="0">
        <f>And!O246</f>
        <v>0</v>
      </c>
      <c r="W246" s="0">
        <f>IOS!O246</f>
        <v>0</v>
      </c>
    </row>
    <row r="247" spans="21:23">
      <c r="U247" s="0">
        <v>245</v>
      </c>
      <c r="V247" s="0">
        <f>And!O247</f>
        <v>0.0589090909090909</v>
      </c>
      <c r="W247" s="0">
        <f>IOS!O247</f>
        <v>0.0997777777777778</v>
      </c>
    </row>
    <row r="248" spans="21:23">
      <c r="U248" s="0">
        <v>246</v>
      </c>
      <c r="V248" s="0">
        <f>And!O248</f>
        <v>0.13929203539823</v>
      </c>
      <c r="W248" s="0">
        <f>IOS!O248</f>
        <v>1.24979166666667</v>
      </c>
    </row>
    <row r="249" spans="21:23">
      <c r="U249" s="0">
        <v>247</v>
      </c>
      <c r="V249" s="0">
        <f>And!O249</f>
        <v>0</v>
      </c>
      <c r="W249" s="0">
        <f>IOS!O249</f>
        <v>0</v>
      </c>
    </row>
    <row r="250" spans="21:23">
      <c r="U250" s="0">
        <v>248</v>
      </c>
      <c r="V250" s="0">
        <f>And!O250</f>
        <v>0.0403603603603604</v>
      </c>
      <c r="W250" s="0">
        <f>IOS!O250</f>
        <v>0.092</v>
      </c>
    </row>
    <row r="251" spans="21:23">
      <c r="U251" s="0">
        <v>249</v>
      </c>
      <c r="V251" s="0">
        <f>And!O251</f>
        <v>0.0403603603603604</v>
      </c>
      <c r="W251" s="0">
        <f>IOS!O251</f>
        <v>0.0511111111111111</v>
      </c>
    </row>
    <row r="252" spans="21:23">
      <c r="U252" s="0">
        <v>250</v>
      </c>
      <c r="V252" s="0">
        <f>And!O252</f>
        <v>0.0853153153153153</v>
      </c>
      <c r="W252" s="0">
        <f>IOS!O252</f>
        <v>0</v>
      </c>
    </row>
    <row r="1001" spans="21:21">
      <c r="U1001" s="0">
        <v>999</v>
      </c>
    </row>
    <row r="1002" spans="21:21">
      <c r="U1002" s="0">
        <v>1000</v>
      </c>
    </row>
    <row r="1003" spans="21:21">
      <c r="U1003" s="0">
        <v>1001</v>
      </c>
    </row>
    <row r="1004" spans="21:21">
      <c r="U1004" s="0">
        <v>1002</v>
      </c>
    </row>
    <row r="1005" spans="21:21">
      <c r="U1005" s="0">
        <v>1003</v>
      </c>
    </row>
    <row r="1006" spans="21:21">
      <c r="U1006" s="0">
        <v>1004</v>
      </c>
    </row>
    <row r="1007" spans="21:21">
      <c r="U1007" s="0">
        <v>1005</v>
      </c>
    </row>
    <row r="1008" spans="21:21">
      <c r="U1008" s="0">
        <v>1006</v>
      </c>
    </row>
    <row r="1009" spans="21:21">
      <c r="U1009" s="0">
        <v>1007</v>
      </c>
    </row>
    <row r="1010" spans="21:21">
      <c r="U1010" s="0">
        <v>1008</v>
      </c>
    </row>
    <row r="1011" spans="21:21">
      <c r="U1011" s="0">
        <v>1009</v>
      </c>
    </row>
    <row r="1012" spans="21:21">
      <c r="U1012" s="0">
        <v>1010</v>
      </c>
    </row>
    <row r="1013" spans="21:21">
      <c r="U1013" s="0">
        <v>1011</v>
      </c>
    </row>
    <row r="1014" spans="21:21">
      <c r="U1014" s="0">
        <v>1012</v>
      </c>
    </row>
    <row r="1015" spans="21:21">
      <c r="U1015" s="0">
        <v>1013</v>
      </c>
    </row>
    <row r="1016" spans="21:21">
      <c r="U1016" s="0">
        <v>1014</v>
      </c>
    </row>
    <row r="1017" spans="21:21">
      <c r="U1017" s="0">
        <v>1015</v>
      </c>
    </row>
    <row r="1018" spans="21:21">
      <c r="U1018" s="0">
        <v>1016</v>
      </c>
    </row>
    <row r="1019" spans="21:21">
      <c r="U1019" s="0">
        <v>1017</v>
      </c>
    </row>
    <row r="1020" spans="21:21">
      <c r="U1020" s="0">
        <v>1018</v>
      </c>
    </row>
    <row r="1021" spans="21:21">
      <c r="U1021" s="0">
        <v>1019</v>
      </c>
    </row>
    <row r="1022" spans="21:21">
      <c r="U1022" s="0">
        <v>1020</v>
      </c>
    </row>
    <row r="1023" spans="21:21">
      <c r="U1023" s="0">
        <v>1021</v>
      </c>
    </row>
    <row r="1024" spans="21:21">
      <c r="U1024" s="0">
        <v>1022</v>
      </c>
    </row>
    <row r="1025" spans="21:21">
      <c r="U1025" s="0">
        <v>1023</v>
      </c>
    </row>
    <row r="1026" spans="21:21">
      <c r="U1026" s="0">
        <v>1024</v>
      </c>
    </row>
    <row r="1027" spans="21:21">
      <c r="U1027" s="0">
        <v>1025</v>
      </c>
    </row>
    <row r="1028" spans="21:21">
      <c r="U1028" s="0">
        <v>1026</v>
      </c>
    </row>
    <row r="1029" spans="21:21">
      <c r="U1029" s="0">
        <v>1027</v>
      </c>
    </row>
    <row r="1030" spans="21:21">
      <c r="U1030" s="0">
        <v>1028</v>
      </c>
    </row>
    <row r="1031" spans="21:21">
      <c r="U1031" s="0">
        <v>1029</v>
      </c>
    </row>
    <row r="1032" spans="21:21">
      <c r="U1032" s="0">
        <v>1030</v>
      </c>
    </row>
    <row r="1033" spans="21:21">
      <c r="U1033" s="0">
        <v>1031</v>
      </c>
    </row>
    <row r="1034" spans="21:21">
      <c r="U1034" s="0">
        <v>1032</v>
      </c>
    </row>
    <row r="1035" spans="21:21">
      <c r="U1035" s="0">
        <v>1033</v>
      </c>
    </row>
    <row r="1036" spans="21:21">
      <c r="U1036" s="0">
        <v>1034</v>
      </c>
    </row>
    <row r="1037" spans="21:21">
      <c r="U1037" s="0">
        <v>1035</v>
      </c>
    </row>
    <row r="1038" spans="21:21">
      <c r="U1038" s="0">
        <v>1036</v>
      </c>
    </row>
    <row r="1039" spans="21:21">
      <c r="U1039" s="0">
        <v>1037</v>
      </c>
    </row>
    <row r="1040" spans="21:21">
      <c r="U1040" s="0">
        <v>1038</v>
      </c>
    </row>
    <row r="1041" spans="21:21">
      <c r="U1041" s="0">
        <v>1039</v>
      </c>
    </row>
    <row r="1042" spans="21:21">
      <c r="U1042" s="0">
        <v>1040</v>
      </c>
    </row>
    <row r="1043" spans="21:21">
      <c r="U1043" s="0">
        <v>1041</v>
      </c>
    </row>
    <row r="1044" spans="21:21">
      <c r="U1044" s="0">
        <v>1042</v>
      </c>
    </row>
    <row r="1045" spans="21:21">
      <c r="U1045" s="0">
        <v>1043</v>
      </c>
    </row>
    <row r="1046" spans="21:21">
      <c r="U1046" s="0">
        <v>1044</v>
      </c>
    </row>
    <row r="1047" spans="21:21">
      <c r="U1047" s="0">
        <v>1045</v>
      </c>
    </row>
    <row r="1048" spans="21:21">
      <c r="U1048" s="0">
        <v>1046</v>
      </c>
    </row>
    <row r="1049" spans="21:21">
      <c r="U1049" s="0">
        <v>1047</v>
      </c>
    </row>
    <row r="1050" spans="21:21">
      <c r="U1050" s="0">
        <v>1048</v>
      </c>
    </row>
    <row r="1051" spans="21:21">
      <c r="U1051" s="0">
        <v>1049</v>
      </c>
    </row>
    <row r="1052" spans="21:21">
      <c r="U1052" s="0">
        <v>1050</v>
      </c>
    </row>
    <row r="1053" spans="21:21">
      <c r="U1053" s="0">
        <v>1051</v>
      </c>
    </row>
    <row r="1054" spans="21:21">
      <c r="U1054" s="0">
        <v>1052</v>
      </c>
    </row>
    <row r="1055" spans="21:21">
      <c r="U1055" s="0">
        <v>1053</v>
      </c>
    </row>
    <row r="1056" spans="21:21">
      <c r="U1056" s="0">
        <v>1054</v>
      </c>
    </row>
    <row r="1057" spans="21:21">
      <c r="U1057" s="0">
        <v>1055</v>
      </c>
    </row>
    <row r="1058" spans="21:21">
      <c r="U1058" s="0">
        <v>1056</v>
      </c>
    </row>
    <row r="1059" spans="21:21">
      <c r="U1059" s="0">
        <v>1057</v>
      </c>
    </row>
    <row r="1060" spans="21:21">
      <c r="U1060" s="0">
        <v>1058</v>
      </c>
    </row>
    <row r="1061" spans="21:21">
      <c r="U1061" s="0">
        <v>1059</v>
      </c>
    </row>
    <row r="1062" spans="21:21">
      <c r="U1062" s="0">
        <v>1060</v>
      </c>
    </row>
    <row r="1063" spans="21:21">
      <c r="U1063" s="0">
        <v>1061</v>
      </c>
    </row>
    <row r="1064" spans="21:21">
      <c r="U1064" s="0">
        <v>1062</v>
      </c>
    </row>
    <row r="1065" spans="21:21">
      <c r="U1065" s="0">
        <v>1063</v>
      </c>
    </row>
    <row r="1066" spans="21:21">
      <c r="U1066" s="0">
        <v>1064</v>
      </c>
    </row>
    <row r="1067" spans="21:21">
      <c r="U1067" s="0">
        <v>1065</v>
      </c>
    </row>
    <row r="1068" spans="21:21">
      <c r="U1068" s="0">
        <v>1066</v>
      </c>
    </row>
    <row r="1069" spans="21:21">
      <c r="U1069" s="0">
        <v>1067</v>
      </c>
    </row>
    <row r="1070" spans="21:21">
      <c r="U1070" s="0">
        <v>1068</v>
      </c>
    </row>
    <row r="1071" spans="21:21">
      <c r="U1071" s="0">
        <v>1069</v>
      </c>
    </row>
    <row r="1072" spans="21:21">
      <c r="U1072" s="0">
        <v>1070</v>
      </c>
    </row>
    <row r="1073" spans="21:21">
      <c r="U1073" s="0">
        <v>1071</v>
      </c>
    </row>
    <row r="1074" spans="21:21">
      <c r="U1074" s="0">
        <v>1072</v>
      </c>
    </row>
    <row r="1075" spans="21:21">
      <c r="U1075" s="0">
        <v>1073</v>
      </c>
    </row>
    <row r="1076" spans="21:21">
      <c r="U1076" s="0">
        <v>1074</v>
      </c>
    </row>
    <row r="1077" spans="21:21">
      <c r="U1077" s="0">
        <v>1075</v>
      </c>
    </row>
    <row r="1078" spans="21:21">
      <c r="U1078" s="0">
        <v>1076</v>
      </c>
    </row>
    <row r="1079" spans="21:21">
      <c r="U1079" s="0">
        <v>1077</v>
      </c>
    </row>
    <row r="1080" spans="21:21">
      <c r="U1080" s="0">
        <v>1078</v>
      </c>
    </row>
    <row r="1081" spans="21:21">
      <c r="U1081" s="0">
        <v>1079</v>
      </c>
    </row>
    <row r="1082" spans="21:21">
      <c r="U1082" s="0">
        <v>1080</v>
      </c>
    </row>
    <row r="1083" spans="21:21">
      <c r="U1083" s="0">
        <v>1081</v>
      </c>
    </row>
    <row r="1084" spans="21:21">
      <c r="U1084" s="0">
        <v>1082</v>
      </c>
    </row>
    <row r="1085" spans="21:21">
      <c r="U1085" s="0">
        <v>1083</v>
      </c>
    </row>
    <row r="1086" spans="21:21">
      <c r="U1086" s="0">
        <v>1084</v>
      </c>
    </row>
    <row r="1087" spans="21:21">
      <c r="U1087" s="0">
        <v>1085</v>
      </c>
    </row>
    <row r="1088" spans="21:21">
      <c r="U1088" s="0">
        <v>1086</v>
      </c>
    </row>
    <row r="1089" spans="21:21">
      <c r="U1089" s="0">
        <v>1087</v>
      </c>
    </row>
    <row r="1090" spans="21:21">
      <c r="U1090" s="0">
        <v>1088</v>
      </c>
    </row>
    <row r="1091" spans="21:21">
      <c r="U1091" s="0">
        <v>1089</v>
      </c>
    </row>
    <row r="1092" spans="21:21">
      <c r="U1092" s="0">
        <v>1090</v>
      </c>
    </row>
    <row r="1093" spans="21:21">
      <c r="U1093" s="0">
        <v>1091</v>
      </c>
    </row>
    <row r="1094" spans="21:21">
      <c r="U1094" s="0">
        <v>1092</v>
      </c>
    </row>
    <row r="1095" spans="21:21">
      <c r="U1095" s="0">
        <v>1093</v>
      </c>
    </row>
    <row r="1096" spans="21:21">
      <c r="U1096" s="0">
        <v>1094</v>
      </c>
    </row>
    <row r="1097" spans="21:21">
      <c r="U1097" s="0">
        <v>1095</v>
      </c>
    </row>
    <row r="1098" spans="21:21">
      <c r="U1098" s="0">
        <v>1096</v>
      </c>
    </row>
    <row r="1099" spans="21:21">
      <c r="U1099" s="0">
        <v>1097</v>
      </c>
    </row>
    <row r="1100" spans="21:21">
      <c r="U1100" s="0">
        <v>1098</v>
      </c>
    </row>
    <row r="1101" spans="21:21">
      <c r="U1101" s="0">
        <v>1099</v>
      </c>
    </row>
    <row r="1102" spans="21:21">
      <c r="U1102" s="0">
        <v>1100</v>
      </c>
    </row>
    <row r="1103" spans="21:21">
      <c r="U1103" s="0">
        <v>1101</v>
      </c>
    </row>
    <row r="1104" spans="21:21">
      <c r="U1104" s="0">
        <v>1102</v>
      </c>
    </row>
    <row r="1105" spans="21:21">
      <c r="U1105" s="0">
        <v>1103</v>
      </c>
    </row>
    <row r="1106" spans="21:21">
      <c r="U1106" s="0">
        <v>1104</v>
      </c>
    </row>
    <row r="1107" spans="21:21">
      <c r="U1107" s="0">
        <v>1105</v>
      </c>
    </row>
    <row r="1108" spans="21:21">
      <c r="U1108" s="0">
        <v>1106</v>
      </c>
    </row>
    <row r="1109" spans="21:21">
      <c r="U1109" s="0">
        <v>1107</v>
      </c>
    </row>
    <row r="1110" spans="21:21">
      <c r="U1110" s="0">
        <v>1108</v>
      </c>
    </row>
    <row r="1111" spans="21:21">
      <c r="U1111" s="0">
        <v>1109</v>
      </c>
    </row>
    <row r="1112" spans="21:21">
      <c r="U1112" s="0">
        <v>1110</v>
      </c>
    </row>
    <row r="1113" spans="21:21">
      <c r="U1113" s="0">
        <v>1111</v>
      </c>
    </row>
    <row r="1114" spans="21:21">
      <c r="U1114" s="0">
        <v>1112</v>
      </c>
    </row>
    <row r="1115" spans="21:21">
      <c r="U1115" s="0">
        <v>1113</v>
      </c>
    </row>
    <row r="1116" spans="21:21">
      <c r="U1116" s="0">
        <v>1114</v>
      </c>
    </row>
    <row r="1117" spans="21:21">
      <c r="U1117" s="0">
        <v>1115</v>
      </c>
    </row>
    <row r="1118" spans="21:21">
      <c r="U1118" s="0">
        <v>1116</v>
      </c>
    </row>
    <row r="1119" spans="21:21">
      <c r="U1119" s="0">
        <v>1117</v>
      </c>
    </row>
    <row r="1120" spans="21:21">
      <c r="U1120" s="0">
        <v>1118</v>
      </c>
    </row>
    <row r="1121" spans="21:21">
      <c r="U1121" s="0">
        <v>1119</v>
      </c>
    </row>
    <row r="1122" spans="21:21">
      <c r="U1122" s="0">
        <v>1120</v>
      </c>
    </row>
    <row r="1123" spans="21:21">
      <c r="U1123" s="0">
        <v>1121</v>
      </c>
    </row>
    <row r="1124" spans="21:21">
      <c r="U1124" s="0">
        <v>1122</v>
      </c>
    </row>
    <row r="1125" spans="21:21">
      <c r="U1125" s="0">
        <v>1123</v>
      </c>
    </row>
    <row r="1126" spans="21:21">
      <c r="U1126" s="0">
        <v>1124</v>
      </c>
    </row>
    <row r="1127" spans="21:21">
      <c r="U1127" s="0">
        <v>1125</v>
      </c>
    </row>
    <row r="1128" spans="21:21">
      <c r="U1128" s="0">
        <v>1126</v>
      </c>
    </row>
    <row r="1129" spans="21:21">
      <c r="U1129" s="0">
        <v>1127</v>
      </c>
    </row>
    <row r="1130" spans="21:21">
      <c r="U1130" s="0">
        <v>1128</v>
      </c>
    </row>
    <row r="1131" spans="21:21">
      <c r="U1131" s="0">
        <v>1129</v>
      </c>
    </row>
    <row r="1132" spans="21:21">
      <c r="U1132" s="0">
        <v>1130</v>
      </c>
    </row>
    <row r="1133" spans="21:21">
      <c r="U1133" s="0">
        <v>1131</v>
      </c>
    </row>
    <row r="1134" spans="21:21">
      <c r="U1134" s="0">
        <v>1132</v>
      </c>
    </row>
    <row r="1135" spans="21:21">
      <c r="U1135" s="0">
        <v>1133</v>
      </c>
    </row>
    <row r="1136" spans="21:21">
      <c r="U1136" s="0">
        <v>1134</v>
      </c>
    </row>
    <row r="1137" spans="21:21">
      <c r="U1137" s="0">
        <v>1135</v>
      </c>
    </row>
    <row r="1138" spans="21:21">
      <c r="U1138" s="0">
        <v>1136</v>
      </c>
    </row>
    <row r="1139" spans="21:21">
      <c r="U1139" s="0">
        <v>1137</v>
      </c>
    </row>
    <row r="1140" spans="21:21">
      <c r="U1140" s="0">
        <v>1138</v>
      </c>
    </row>
    <row r="1141" spans="21:21">
      <c r="U1141" s="0">
        <v>1139</v>
      </c>
    </row>
    <row r="1142" spans="21:21">
      <c r="U1142" s="0">
        <v>1140</v>
      </c>
    </row>
    <row r="1143" spans="21:21">
      <c r="U1143" s="0">
        <v>1141</v>
      </c>
    </row>
    <row r="1144" spans="21:21">
      <c r="U1144" s="0">
        <v>1142</v>
      </c>
    </row>
    <row r="1145" spans="21:21">
      <c r="U1145" s="0">
        <v>1143</v>
      </c>
    </row>
    <row r="1146" spans="21:21">
      <c r="U1146" s="0">
        <v>1144</v>
      </c>
    </row>
    <row r="1147" spans="21:21">
      <c r="U1147" s="0">
        <v>1145</v>
      </c>
    </row>
    <row r="1148" spans="21:21">
      <c r="U1148" s="0">
        <v>1146</v>
      </c>
    </row>
    <row r="1149" spans="21:21">
      <c r="U1149" s="0">
        <v>1147</v>
      </c>
    </row>
    <row r="1150" spans="21:21">
      <c r="U1150" s="0">
        <v>1148</v>
      </c>
    </row>
    <row r="1151" spans="21:21">
      <c r="U1151" s="0">
        <v>1149</v>
      </c>
    </row>
    <row r="1152" spans="21:21">
      <c r="U1152" s="0">
        <v>1150</v>
      </c>
    </row>
    <row r="1153" spans="21:21">
      <c r="U1153" s="0">
        <v>1151</v>
      </c>
    </row>
    <row r="1154" spans="21:21">
      <c r="U1154" s="0">
        <v>1152</v>
      </c>
    </row>
    <row r="1155" spans="21:21">
      <c r="U1155" s="0">
        <v>1153</v>
      </c>
    </row>
    <row r="1156" spans="21:21">
      <c r="U1156" s="0">
        <v>1154</v>
      </c>
    </row>
    <row r="1157" spans="21:21">
      <c r="U1157" s="0">
        <v>1155</v>
      </c>
    </row>
    <row r="1158" spans="21:21">
      <c r="U1158" s="0">
        <v>1156</v>
      </c>
    </row>
    <row r="1159" spans="21:21">
      <c r="U1159" s="0">
        <v>1157</v>
      </c>
    </row>
    <row r="1160" spans="21:21">
      <c r="U1160" s="0">
        <v>1158</v>
      </c>
    </row>
    <row r="1161" spans="21:21">
      <c r="U1161" s="0">
        <v>1159</v>
      </c>
    </row>
    <row r="1162" spans="21:21">
      <c r="U1162" s="0">
        <v>1160</v>
      </c>
    </row>
    <row r="1163" spans="21:21">
      <c r="U1163" s="0">
        <v>1161</v>
      </c>
    </row>
    <row r="1164" spans="21:21">
      <c r="U1164" s="0">
        <v>1162</v>
      </c>
    </row>
    <row r="1165" spans="21:21">
      <c r="U1165" s="0">
        <v>1163</v>
      </c>
    </row>
    <row r="1166" spans="21:21">
      <c r="U1166" s="0">
        <v>1164</v>
      </c>
    </row>
    <row r="1167" spans="21:21">
      <c r="U1167" s="0">
        <v>1165</v>
      </c>
    </row>
    <row r="1168" spans="21:21">
      <c r="U1168" s="0">
        <v>1166</v>
      </c>
    </row>
    <row r="1169" spans="21:21">
      <c r="U1169" s="0">
        <v>1167</v>
      </c>
    </row>
    <row r="1170" spans="21:21">
      <c r="U1170" s="0">
        <v>1168</v>
      </c>
    </row>
    <row r="1171" spans="21:21">
      <c r="U1171" s="0">
        <v>1169</v>
      </c>
    </row>
    <row r="1172" spans="21:21">
      <c r="U1172" s="0">
        <v>1170</v>
      </c>
    </row>
    <row r="1173" spans="21:21">
      <c r="U1173" s="0">
        <v>1171</v>
      </c>
    </row>
    <row r="1174" spans="21:21">
      <c r="U1174" s="0">
        <v>1172</v>
      </c>
    </row>
    <row r="1175" spans="21:21">
      <c r="U1175" s="0">
        <v>1173</v>
      </c>
    </row>
    <row r="1176" spans="21:21">
      <c r="U1176" s="0">
        <v>1174</v>
      </c>
    </row>
    <row r="1177" spans="21:21">
      <c r="U1177" s="0">
        <v>1175</v>
      </c>
    </row>
    <row r="1178" spans="21:21">
      <c r="U1178" s="0">
        <v>1176</v>
      </c>
    </row>
    <row r="1179" spans="21:21">
      <c r="U1179" s="0">
        <v>1177</v>
      </c>
    </row>
    <row r="1180" spans="21:21">
      <c r="U1180" s="0">
        <v>1178</v>
      </c>
    </row>
    <row r="1181" spans="21:21">
      <c r="U1181" s="0">
        <v>1179</v>
      </c>
    </row>
    <row r="1182" spans="21:21">
      <c r="U1182" s="0">
        <v>1180</v>
      </c>
    </row>
    <row r="1183" spans="21:21">
      <c r="U1183" s="0">
        <v>1181</v>
      </c>
    </row>
    <row r="1184" spans="21:21">
      <c r="U1184" s="0">
        <v>1182</v>
      </c>
    </row>
    <row r="1185" spans="21:21">
      <c r="U1185" s="0">
        <v>1183</v>
      </c>
    </row>
    <row r="1186" spans="21:21">
      <c r="U1186" s="0">
        <v>1184</v>
      </c>
    </row>
    <row r="1187" spans="21:21">
      <c r="U1187" s="0">
        <v>1185</v>
      </c>
    </row>
    <row r="1188" spans="21:21">
      <c r="U1188" s="0">
        <v>1186</v>
      </c>
    </row>
    <row r="1189" spans="21:21">
      <c r="U1189" s="0">
        <v>1187</v>
      </c>
    </row>
    <row r="1190" spans="21:21">
      <c r="U1190" s="0">
        <v>1188</v>
      </c>
    </row>
    <row r="1191" spans="21:21">
      <c r="U1191" s="0">
        <v>1189</v>
      </c>
    </row>
    <row r="1192" spans="21:21">
      <c r="U1192" s="0">
        <v>1190</v>
      </c>
    </row>
    <row r="1193" spans="21:21">
      <c r="U1193" s="0">
        <v>1191</v>
      </c>
    </row>
    <row r="1194" spans="21:21">
      <c r="U1194" s="0">
        <v>1192</v>
      </c>
    </row>
    <row r="1195" spans="21:21">
      <c r="U1195" s="0">
        <v>1193</v>
      </c>
    </row>
    <row r="1196" spans="21:21">
      <c r="U1196" s="0">
        <v>1194</v>
      </c>
    </row>
    <row r="1197" spans="21:21">
      <c r="U1197" s="0">
        <v>1195</v>
      </c>
    </row>
    <row r="1198" spans="21:21">
      <c r="U1198" s="0">
        <v>1196</v>
      </c>
    </row>
    <row r="1199" spans="21:21">
      <c r="U1199" s="0">
        <v>1197</v>
      </c>
    </row>
    <row r="1200" spans="21:21">
      <c r="U1200" s="0">
        <v>1198</v>
      </c>
    </row>
    <row r="1201" spans="21:21">
      <c r="U1201" s="0">
        <v>1199</v>
      </c>
    </row>
    <row r="1202" spans="21:21">
      <c r="U1202" s="0">
        <v>1200</v>
      </c>
    </row>
    <row r="1203" spans="21:21">
      <c r="U1203" s="0">
        <v>1201</v>
      </c>
    </row>
    <row r="1204" spans="21:21">
      <c r="U1204" s="0">
        <v>1202</v>
      </c>
    </row>
    <row r="1205" spans="21:21">
      <c r="U1205" s="0">
        <v>1203</v>
      </c>
    </row>
    <row r="1206" spans="21:21">
      <c r="U1206" s="0">
        <v>1204</v>
      </c>
    </row>
    <row r="1207" spans="21:21">
      <c r="U1207" s="0">
        <v>1205</v>
      </c>
    </row>
    <row r="1208" spans="21:21">
      <c r="U1208" s="0">
        <v>1206</v>
      </c>
    </row>
    <row r="1209" spans="21:21">
      <c r="U1209" s="0">
        <v>1207</v>
      </c>
    </row>
    <row r="1210" spans="21:21">
      <c r="U1210" s="0">
        <v>1208</v>
      </c>
    </row>
    <row r="1211" spans="21:21">
      <c r="U1211" s="0">
        <v>1209</v>
      </c>
    </row>
    <row r="1212" spans="21:21">
      <c r="U1212" s="0">
        <v>1210</v>
      </c>
    </row>
    <row r="1213" spans="21:21">
      <c r="U1213" s="0">
        <v>1211</v>
      </c>
    </row>
    <row r="1214" spans="21:21">
      <c r="U1214" s="0">
        <v>1212</v>
      </c>
    </row>
    <row r="1215" spans="21:21">
      <c r="U1215" s="0">
        <v>1213</v>
      </c>
    </row>
  </sheetData>
  <phoneticPr fontId="1" type="noConversion"/>
  <pageMargins left="0.75" right="0.75" top="1.00" bottom="1.00" header="0.50" footer="0.5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U2:W1215"/>
  <sheetViews>
    <sheetView workbookViewId="0">
      <selection activeCell="A1" sqref="A1"/>
    </sheetView>
  </sheetViews>
  <sheetFormatPr defaultRowHeight="12.750000"/>
  <cols>
    <col min="1" max="1" style="168" width="12.57642828" customWidth="1" outlineLevel="0"/>
    <col min="22" max="22" style="168" width="18.43357168" customWidth="1" outlineLevel="0"/>
  </cols>
  <sheetData>
    <row r="2" spans="21:23" s="168" customFormat="1" ht="25.500000" customHeight="1">
      <c r="U2" s="0" t="s">
        <v>0</v>
      </c>
      <c r="V2" s="0" t="s">
        <v>3</v>
      </c>
      <c r="W2" s="0" t="s">
        <v>4</v>
      </c>
    </row>
    <row r="3" spans="21:23">
      <c r="U3" s="0">
        <v>1</v>
      </c>
      <c r="V3" s="0">
        <f>And!T3</f>
        <v>6.44883920894239E-04</v>
      </c>
      <c r="W3" s="0">
        <f>IOS!T3</f>
        <v>0</v>
      </c>
    </row>
    <row r="4" spans="21:23">
      <c r="U4" s="0">
        <v>2</v>
      </c>
      <c r="V4" s="0">
        <f>And!T4</f>
        <v>2.18197687104517E-04</v>
      </c>
      <c r="W4" s="0">
        <f>IOS!T4</f>
        <v>0</v>
      </c>
    </row>
    <row r="5" spans="21:23">
      <c r="U5" s="0">
        <v>3</v>
      </c>
      <c r="V5" s="0">
        <f>And!T5</f>
        <v>6.61229887590919E-04</v>
      </c>
      <c r="W5" s="0">
        <f>IOS!T5</f>
        <v>0</v>
      </c>
    </row>
    <row r="6" spans="21:23">
      <c r="U6" s="0">
        <v>4</v>
      </c>
      <c r="V6" s="0">
        <f>And!T6</f>
        <v>6.6711140760507E-04</v>
      </c>
      <c r="W6" s="0">
        <f>IOS!T6</f>
        <v>0</v>
      </c>
    </row>
    <row r="7" spans="21:23">
      <c r="U7" s="0">
        <v>5</v>
      </c>
      <c r="V7" s="0">
        <f>And!T7</f>
        <v>0.0011258725512272</v>
      </c>
      <c r="W7" s="0">
        <f>IOS!T7</f>
        <v>0.00134589502018843</v>
      </c>
    </row>
    <row r="8" spans="21:23">
      <c r="U8" s="0">
        <v>6</v>
      </c>
      <c r="V8" s="0">
        <f>And!T8</f>
        <v>0.00159163256025466</v>
      </c>
      <c r="W8" s="0">
        <f>IOS!T8</f>
        <v>0</v>
      </c>
    </row>
    <row r="9" spans="21:23">
      <c r="U9" s="0">
        <v>7</v>
      </c>
      <c r="V9" s="0">
        <f>And!T9</f>
        <v>6.88231245698555E-04</v>
      </c>
      <c r="W9" s="0">
        <f>IOS!T9</f>
        <v>0</v>
      </c>
    </row>
    <row r="10" spans="21:23">
      <c r="U10" s="0">
        <v>8</v>
      </c>
      <c r="V10" s="0">
        <f>And!T10</f>
        <v>0</v>
      </c>
      <c r="W10" s="0">
        <f>IOS!T10</f>
        <v>0.00139664804469274</v>
      </c>
    </row>
    <row r="11" spans="21:23">
      <c r="U11" s="0">
        <v>9</v>
      </c>
      <c r="V11" s="0">
        <f>And!T11</f>
        <v>0.00607476635514019</v>
      </c>
      <c r="W11" s="0">
        <f>IOS!T11</f>
        <v>0.00424328147100424</v>
      </c>
    </row>
    <row r="12" spans="21:23">
      <c r="U12" s="0">
        <v>10</v>
      </c>
      <c r="V12" s="0">
        <f>And!T12</f>
        <v>0.00192400192400192</v>
      </c>
      <c r="W12" s="0">
        <f>IOS!T12</f>
        <v>0.00717360114777618</v>
      </c>
    </row>
    <row r="13" spans="21:23">
      <c r="U13" s="0">
        <v>11</v>
      </c>
      <c r="V13" s="0">
        <f>And!T13</f>
        <v>0.196382428940569</v>
      </c>
      <c r="W13" s="0">
        <f>IOS!T13</f>
        <v>0.137345679012346</v>
      </c>
    </row>
    <row r="14" spans="21:23">
      <c r="U14" s="0">
        <v>12</v>
      </c>
      <c r="V14" s="0">
        <f>And!T14</f>
        <v>0.130482157450286</v>
      </c>
      <c r="W14" s="0">
        <f>IOS!T14</f>
        <v>0.12280701754386</v>
      </c>
    </row>
    <row r="15" spans="21:23">
      <c r="U15" s="0">
        <v>13</v>
      </c>
      <c r="V15" s="0">
        <f>And!T15</f>
        <v>0.135754189944134</v>
      </c>
      <c r="W15" s="0">
        <f>IOS!T15</f>
        <v>0.114192495921697</v>
      </c>
    </row>
    <row r="16" spans="21:23">
      <c r="U16" s="0">
        <v>14</v>
      </c>
      <c r="V16" s="0">
        <f>And!T16</f>
        <v>0.155690352397458</v>
      </c>
      <c r="W16" s="0">
        <f>IOS!T16</f>
        <v>0.129411764705882</v>
      </c>
    </row>
    <row r="17" spans="21:23">
      <c r="U17" s="0">
        <v>15</v>
      </c>
      <c r="V17" s="0">
        <f>And!T17</f>
        <v>0.136082474226804</v>
      </c>
      <c r="W17" s="0">
        <f>IOS!T17</f>
        <v>0.101200686106347</v>
      </c>
    </row>
    <row r="18" spans="21:23">
      <c r="U18" s="0">
        <v>16</v>
      </c>
      <c r="V18" s="0">
        <f>And!T18</f>
        <v>0.135869565217391</v>
      </c>
      <c r="W18" s="0">
        <f>IOS!T18</f>
        <v>0.110320284697509</v>
      </c>
    </row>
    <row r="19" spans="21:23">
      <c r="U19" s="0">
        <v>17</v>
      </c>
      <c r="V19" s="0">
        <f>And!T19</f>
        <v>0.131953028430161</v>
      </c>
      <c r="W19" s="0">
        <f>IOS!T19</f>
        <v>0.104504504504505</v>
      </c>
    </row>
    <row r="20" spans="21:23">
      <c r="U20" s="0">
        <v>18</v>
      </c>
      <c r="V20" s="0">
        <f>And!T20</f>
        <v>0.129837702871411</v>
      </c>
      <c r="W20" s="0">
        <f>IOS!T20</f>
        <v>0.110307414104883</v>
      </c>
    </row>
    <row r="21" spans="21:23">
      <c r="U21" s="0">
        <v>19</v>
      </c>
      <c r="V21" s="0">
        <f>And!T21</f>
        <v>0.2570612503967</v>
      </c>
      <c r="W21" s="0">
        <f>IOS!T21</f>
        <v>0.202205882352941</v>
      </c>
    </row>
    <row r="22" spans="21:23">
      <c r="U22" s="0">
        <v>20</v>
      </c>
      <c r="V22" s="0">
        <f>And!T22</f>
        <v>0.165211768509538</v>
      </c>
      <c r="W22" s="0">
        <f>IOS!T22</f>
        <v>0.144486692015209</v>
      </c>
    </row>
    <row r="23" spans="21:23">
      <c r="U23" s="0">
        <v>21</v>
      </c>
      <c r="V23" s="0">
        <f>And!T23</f>
        <v>0.341105929380413</v>
      </c>
      <c r="W23" s="0">
        <f>IOS!T23</f>
        <v>0.317919075144509</v>
      </c>
    </row>
    <row r="24" spans="21:23">
      <c r="U24" s="0">
        <v>22</v>
      </c>
      <c r="V24" s="0">
        <f>And!T24</f>
        <v>0.16905737704918</v>
      </c>
      <c r="W24" s="0">
        <f>IOS!T24</f>
        <v>0.139763779527559</v>
      </c>
    </row>
    <row r="25" spans="21:23">
      <c r="U25" s="0">
        <v>23</v>
      </c>
      <c r="V25" s="0">
        <f>And!T25</f>
        <v>0.213080168776371</v>
      </c>
      <c r="W25" s="0">
        <f>IOS!T25</f>
        <v>0.141666666666667</v>
      </c>
    </row>
    <row r="26" spans="21:23">
      <c r="U26" s="0">
        <v>24</v>
      </c>
      <c r="V26" s="0">
        <f>And!T26</f>
        <v>0.200859291084855</v>
      </c>
      <c r="W26" s="0">
        <f>IOS!T26</f>
        <v>0.171974522292994</v>
      </c>
    </row>
    <row r="27" spans="21:23">
      <c r="U27" s="0">
        <v>25</v>
      </c>
      <c r="V27" s="0">
        <f>And!T27</f>
        <v>0.153260869565217</v>
      </c>
      <c r="W27" s="0">
        <f>IOS!T27</f>
        <v>0.111353711790393</v>
      </c>
    </row>
    <row r="28" spans="21:23">
      <c r="U28" s="0">
        <v>26</v>
      </c>
      <c r="V28" s="0">
        <f>And!T28</f>
        <v>0.150943396226415</v>
      </c>
      <c r="W28" s="0">
        <f>IOS!T28</f>
        <v>0.117903930131004</v>
      </c>
    </row>
    <row r="29" spans="21:23">
      <c r="U29" s="0">
        <v>27</v>
      </c>
      <c r="V29" s="0">
        <f>And!T29</f>
        <v>0.180128934395146</v>
      </c>
      <c r="W29" s="0">
        <f>IOS!T29</f>
        <v>0.131991051454139</v>
      </c>
    </row>
    <row r="30" spans="21:23">
      <c r="U30" s="0">
        <v>28</v>
      </c>
      <c r="V30" s="0">
        <f>And!T30</f>
        <v>0.150249137600613</v>
      </c>
      <c r="W30" s="0">
        <f>IOS!T30</f>
        <v>0.0945945945945946</v>
      </c>
    </row>
    <row r="31" spans="21:23">
      <c r="U31" s="0">
        <v>29</v>
      </c>
      <c r="V31" s="0">
        <f>And!T31</f>
        <v>0.148234381063252</v>
      </c>
      <c r="W31" s="0">
        <f>IOS!T31</f>
        <v>0.114349775784753</v>
      </c>
    </row>
    <row r="32" spans="21:23">
      <c r="U32" s="0">
        <v>30</v>
      </c>
      <c r="V32" s="0">
        <f>And!T32</f>
        <v>0.163979551710578</v>
      </c>
      <c r="W32" s="0">
        <f>IOS!T32</f>
        <v>0.1</v>
      </c>
    </row>
    <row r="33" spans="21:23">
      <c r="U33" s="0">
        <v>31</v>
      </c>
      <c r="V33" s="0">
        <f>And!T33</f>
        <v>0.202210397052804</v>
      </c>
      <c r="W33" s="0">
        <f>IOS!T33</f>
        <v>0.139810426540284</v>
      </c>
    </row>
    <row r="34" spans="21:23">
      <c r="U34" s="0">
        <v>32</v>
      </c>
      <c r="V34" s="0">
        <f>And!T34</f>
        <v>0.1875</v>
      </c>
      <c r="W34" s="0">
        <f>IOS!T34</f>
        <v>0.12590799031477</v>
      </c>
    </row>
    <row r="35" spans="21:23">
      <c r="U35" s="0">
        <v>33</v>
      </c>
      <c r="V35" s="0">
        <f>And!T35</f>
        <v>0.237257555254849</v>
      </c>
      <c r="W35" s="0">
        <f>IOS!T35</f>
        <v>0.118483412322275</v>
      </c>
    </row>
    <row r="36" spans="21:23">
      <c r="U36" s="0">
        <v>34</v>
      </c>
      <c r="V36" s="0">
        <f>And!T36</f>
        <v>0.242250834525513</v>
      </c>
      <c r="W36" s="0">
        <f>IOS!T36</f>
        <v>0.124705882352941</v>
      </c>
    </row>
    <row r="37" spans="21:23">
      <c r="U37" s="0">
        <v>35</v>
      </c>
      <c r="V37" s="0">
        <f>And!T37</f>
        <v>0.195756991321119</v>
      </c>
      <c r="W37" s="0">
        <f>IOS!T37</f>
        <v>0.143540669856459</v>
      </c>
    </row>
    <row r="38" spans="21:23">
      <c r="U38" s="0">
        <v>36</v>
      </c>
      <c r="V38" s="0">
        <f>And!T38</f>
        <v>0.172581429265921</v>
      </c>
      <c r="W38" s="0">
        <f>IOS!T38</f>
        <v>0.12807881773399</v>
      </c>
    </row>
    <row r="39" spans="21:23">
      <c r="U39" s="0">
        <v>37</v>
      </c>
      <c r="V39" s="0">
        <f>And!T39</f>
        <v>0.169291338582677</v>
      </c>
      <c r="W39" s="0">
        <f>IOS!T39</f>
        <v>0.107231920199501</v>
      </c>
    </row>
    <row r="40" spans="21:23">
      <c r="U40" s="0">
        <v>38</v>
      </c>
      <c r="V40" s="0">
        <f>And!T40</f>
        <v>0.16980198019802</v>
      </c>
      <c r="W40" s="0">
        <f>IOS!T40</f>
        <v>0.113065326633166</v>
      </c>
    </row>
    <row r="41" spans="21:23">
      <c r="U41" s="0">
        <v>39</v>
      </c>
      <c r="V41" s="0">
        <f>And!T41</f>
        <v>0.339001062699256</v>
      </c>
      <c r="W41" s="0">
        <f>IOS!T41</f>
        <v>0.227154046997389</v>
      </c>
    </row>
    <row r="42" spans="21:23">
      <c r="U42" s="0">
        <v>40</v>
      </c>
      <c r="V42" s="0">
        <f>And!T42</f>
        <v>0.533566841798015</v>
      </c>
      <c r="W42" s="0">
        <f>IOS!T42</f>
        <v>0.42972972972973</v>
      </c>
    </row>
    <row r="43" spans="21:23">
      <c r="U43" s="0">
        <v>41</v>
      </c>
      <c r="V43" s="0">
        <f>And!T43</f>
        <v>0.222352252779403</v>
      </c>
      <c r="W43" s="0">
        <f>IOS!T43</f>
        <v>0.192837465564738</v>
      </c>
    </row>
    <row r="44" spans="21:23">
      <c r="U44" s="0">
        <v>42</v>
      </c>
      <c r="V44" s="0">
        <f>And!T44</f>
        <v>0.45003065603924</v>
      </c>
      <c r="W44" s="0">
        <f>IOS!T44</f>
        <v>0.324561403508772</v>
      </c>
    </row>
    <row r="45" spans="21:23">
      <c r="U45" s="0">
        <v>43</v>
      </c>
      <c r="V45" s="0">
        <f>And!T45</f>
        <v>0.241935483870968</v>
      </c>
      <c r="W45" s="0">
        <f>IOS!T45</f>
        <v>0.247058823529412</v>
      </c>
    </row>
    <row r="46" spans="21:23">
      <c r="U46" s="0">
        <v>44</v>
      </c>
      <c r="V46" s="0">
        <f>And!T46</f>
        <v>0.217418546365915</v>
      </c>
      <c r="W46" s="0">
        <f>IOS!T46</f>
        <v>0.192982456140351</v>
      </c>
    </row>
    <row r="47" spans="21:23">
      <c r="U47" s="0">
        <v>45</v>
      </c>
      <c r="V47" s="0">
        <f>And!T47</f>
        <v>0.207570977917981</v>
      </c>
      <c r="W47" s="0">
        <f>IOS!T47</f>
        <v>0.167155425219941</v>
      </c>
    </row>
    <row r="48" spans="21:23">
      <c r="U48" s="0">
        <v>46</v>
      </c>
      <c r="V48" s="0">
        <f>And!T48</f>
        <v>0.198979591836735</v>
      </c>
      <c r="W48" s="0">
        <f>IOS!T48</f>
        <v>0.155882352941177</v>
      </c>
    </row>
    <row r="49" spans="21:23">
      <c r="U49" s="0">
        <v>47</v>
      </c>
      <c r="V49" s="0">
        <f>And!T49</f>
        <v>0.188703465982028</v>
      </c>
      <c r="W49" s="0">
        <f>IOS!T49</f>
        <v>0.162241887905605</v>
      </c>
    </row>
    <row r="50" spans="21:23">
      <c r="U50" s="0">
        <v>48</v>
      </c>
      <c r="V50" s="0">
        <f>And!T50</f>
        <v>0.227125243348475</v>
      </c>
      <c r="W50" s="0">
        <f>IOS!T50</f>
        <v>0.18452380952381</v>
      </c>
    </row>
    <row r="51" spans="21:23">
      <c r="U51" s="0">
        <v>49</v>
      </c>
      <c r="V51" s="0">
        <f>And!T51</f>
        <v>0.443020903573837</v>
      </c>
      <c r="W51" s="0">
        <f>IOS!T51</f>
        <v>0.351851851851852</v>
      </c>
    </row>
    <row r="52" spans="21:23">
      <c r="U52" s="0">
        <v>50</v>
      </c>
      <c r="V52" s="0">
        <f>And!T52</f>
        <v>0.405878236529041</v>
      </c>
      <c r="W52" s="0">
        <f>IOS!T52</f>
        <v>0.333333333333333</v>
      </c>
    </row>
    <row r="53" spans="21:23">
      <c r="U53" s="0">
        <v>51</v>
      </c>
      <c r="V53" s="0">
        <f>And!T53</f>
        <v>0.480519480519481</v>
      </c>
      <c r="W53" s="0">
        <f>IOS!T53</f>
        <v>0.463258785942492</v>
      </c>
    </row>
    <row r="54" spans="21:23">
      <c r="U54" s="0">
        <v>52</v>
      </c>
      <c r="V54" s="0">
        <f>And!T54</f>
        <v>0.348066298342541</v>
      </c>
      <c r="W54" s="0">
        <f>IOS!T54</f>
        <v>0.292763157894737</v>
      </c>
    </row>
    <row r="55" spans="21:23">
      <c r="U55" s="0">
        <v>53</v>
      </c>
      <c r="V55" s="0">
        <f>And!T55</f>
        <v>0.224603174603175</v>
      </c>
      <c r="W55" s="0">
        <f>IOS!T55</f>
        <v>0.221854304635762</v>
      </c>
    </row>
    <row r="56" spans="21:23">
      <c r="U56" s="0">
        <v>54</v>
      </c>
      <c r="V56" s="0">
        <f>And!T56</f>
        <v>0.224</v>
      </c>
      <c r="W56" s="0">
        <f>IOS!T56</f>
        <v>0.203389830508475</v>
      </c>
    </row>
    <row r="57" spans="21:23">
      <c r="U57" s="0">
        <v>55</v>
      </c>
      <c r="V57" s="0">
        <f>And!T57</f>
        <v>0.681610247026533</v>
      </c>
      <c r="W57" s="0">
        <f>IOS!T57</f>
        <v>0.555160142348754</v>
      </c>
    </row>
    <row r="58" spans="21:23">
      <c r="U58" s="0">
        <v>56</v>
      </c>
      <c r="V58" s="0">
        <f>And!T58</f>
        <v>0.258364312267658</v>
      </c>
      <c r="W58" s="0">
        <f>IOS!T58</f>
        <v>0.281138790035587</v>
      </c>
    </row>
    <row r="59" spans="21:23">
      <c r="U59" s="0">
        <v>57</v>
      </c>
      <c r="V59" s="0">
        <f>And!T59</f>
        <v>0.242056074766355</v>
      </c>
      <c r="W59" s="0">
        <f>IOS!T59</f>
        <v>0.268817204301075</v>
      </c>
    </row>
    <row r="60" spans="21:23">
      <c r="U60" s="0">
        <v>58</v>
      </c>
      <c r="V60" s="0">
        <f>And!T60</f>
        <v>0.26861451460886</v>
      </c>
      <c r="W60" s="0">
        <f>IOS!T60</f>
        <v>0.275735294117647</v>
      </c>
    </row>
    <row r="61" spans="21:23">
      <c r="U61" s="0">
        <v>59</v>
      </c>
      <c r="V61" s="0">
        <f>And!T61</f>
        <v>0.394460362941738</v>
      </c>
      <c r="W61" s="0">
        <f>IOS!T61</f>
        <v>0.386029411764706</v>
      </c>
    </row>
    <row r="62" spans="21:23">
      <c r="U62" s="0">
        <v>60</v>
      </c>
      <c r="V62" s="0">
        <f>And!T62</f>
        <v>0.288480154888674</v>
      </c>
      <c r="W62" s="0">
        <f>IOS!T62</f>
        <v>0.302238805970149</v>
      </c>
    </row>
    <row r="63" spans="21:23">
      <c r="U63" s="0">
        <v>61</v>
      </c>
      <c r="V63" s="0">
        <f>And!T63</f>
        <v>0.398019801980198</v>
      </c>
      <c r="W63" s="0">
        <f>IOS!T63</f>
        <v>0.362934362934363</v>
      </c>
    </row>
    <row r="64" spans="21:23">
      <c r="U64" s="0">
        <v>62</v>
      </c>
      <c r="V64" s="0">
        <f>And!T64</f>
        <v>0.374239350912779</v>
      </c>
      <c r="W64" s="0">
        <f>IOS!T64</f>
        <v>0.382470119521912</v>
      </c>
    </row>
    <row r="65" spans="21:23">
      <c r="U65" s="0">
        <v>63</v>
      </c>
      <c r="V65" s="0">
        <f>And!T65</f>
        <v>0.265035677879715</v>
      </c>
      <c r="W65" s="0">
        <f>IOS!T65</f>
        <v>0.253012048192771</v>
      </c>
    </row>
    <row r="66" spans="21:23">
      <c r="U66" s="0">
        <v>64</v>
      </c>
      <c r="V66" s="0">
        <f>And!T66</f>
        <v>0.304033092037229</v>
      </c>
      <c r="W66" s="0">
        <f>IOS!T66</f>
        <v>0.312252964426877</v>
      </c>
    </row>
    <row r="67" spans="21:23">
      <c r="U67" s="0">
        <v>65</v>
      </c>
      <c r="V67" s="0">
        <f>And!T67</f>
        <v>1.12694300518135</v>
      </c>
      <c r="W67" s="0">
        <f>IOS!T67</f>
        <v>1.20873786407767</v>
      </c>
    </row>
    <row r="68" spans="21:23">
      <c r="U68" s="0">
        <v>66</v>
      </c>
      <c r="V68" s="0">
        <f>And!T68</f>
        <v>0.283289817232376</v>
      </c>
      <c r="W68" s="0">
        <f>IOS!T68</f>
        <v>0.254807692307692</v>
      </c>
    </row>
    <row r="69" spans="21:23">
      <c r="U69" s="0">
        <v>67</v>
      </c>
      <c r="V69" s="0">
        <f>And!T69</f>
        <v>0.346508563899868</v>
      </c>
      <c r="W69" s="0">
        <f>IOS!T69</f>
        <v>0.347826086956522</v>
      </c>
    </row>
    <row r="70" spans="21:23">
      <c r="U70" s="0">
        <v>68</v>
      </c>
      <c r="V70" s="0">
        <f>And!T70</f>
        <v>0.35</v>
      </c>
      <c r="W70" s="0">
        <f>IOS!T70</f>
        <v>0.351485148514852</v>
      </c>
    </row>
    <row r="71" spans="21:23">
      <c r="U71" s="0">
        <v>69</v>
      </c>
      <c r="V71" s="0">
        <f>And!T71</f>
        <v>0.33596837944664</v>
      </c>
      <c r="W71" s="0">
        <f>IOS!T71</f>
        <v>0.371287128712871</v>
      </c>
    </row>
    <row r="72" spans="21:23">
      <c r="U72" s="0">
        <v>70</v>
      </c>
      <c r="V72" s="0">
        <f>And!T72</f>
        <v>0.295514511873351</v>
      </c>
      <c r="W72" s="0">
        <f>IOS!T72</f>
        <v>0.280788177339902</v>
      </c>
    </row>
    <row r="73" spans="21:23">
      <c r="U73" s="0">
        <v>71</v>
      </c>
      <c r="V73" s="0">
        <f>And!T73</f>
        <v>0.333776595744681</v>
      </c>
      <c r="W73" s="0">
        <f>IOS!T73</f>
        <v>0.293269230769231</v>
      </c>
    </row>
    <row r="74" spans="21:23">
      <c r="U74" s="0">
        <v>72</v>
      </c>
      <c r="V74" s="0">
        <f>And!T74</f>
        <v>0.302949061662198</v>
      </c>
      <c r="W74" s="0">
        <f>IOS!T74</f>
        <v>0.291866028708134</v>
      </c>
    </row>
    <row r="75" spans="21:23">
      <c r="U75" s="0">
        <v>73</v>
      </c>
      <c r="V75" s="0">
        <f>And!T75</f>
        <v>0.403485254691689</v>
      </c>
      <c r="W75" s="0">
        <f>IOS!T75</f>
        <v>0.371980676328502</v>
      </c>
    </row>
    <row r="76" spans="21:23">
      <c r="U76" s="0">
        <v>74</v>
      </c>
      <c r="V76" s="0">
        <f>And!T76</f>
        <v>0.293478260869565</v>
      </c>
      <c r="W76" s="0">
        <f>IOS!T76</f>
        <v>0.288461538461538</v>
      </c>
    </row>
    <row r="77" spans="21:23">
      <c r="U77" s="0">
        <v>75</v>
      </c>
      <c r="V77" s="0">
        <f>And!T77</f>
        <v>0.992354740061162</v>
      </c>
      <c r="W77" s="0">
        <f>IOS!T77</f>
        <v>1.02173913043478</v>
      </c>
    </row>
    <row r="78" spans="21:23">
      <c r="U78" s="0">
        <v>76</v>
      </c>
      <c r="V78" s="0">
        <f>And!T78</f>
        <v>0.327102803738318</v>
      </c>
      <c r="W78" s="0">
        <f>IOS!T78</f>
        <v>0.277173913043478</v>
      </c>
    </row>
    <row r="79" spans="21:23">
      <c r="U79" s="0">
        <v>77</v>
      </c>
      <c r="V79" s="0">
        <f>And!T79</f>
        <v>0.315625</v>
      </c>
      <c r="W79" s="0">
        <f>IOS!T79</f>
        <v>0.298850574712644</v>
      </c>
    </row>
    <row r="80" spans="21:23">
      <c r="U80" s="0">
        <v>78</v>
      </c>
      <c r="V80" s="0">
        <f>And!T80</f>
        <v>0.299684542586751</v>
      </c>
      <c r="W80" s="0">
        <f>IOS!T80</f>
        <v>0.252808988764045</v>
      </c>
    </row>
    <row r="81" spans="21:23">
      <c r="U81" s="0">
        <v>79</v>
      </c>
      <c r="V81" s="0">
        <f>And!T81</f>
        <v>0.378205128205128</v>
      </c>
      <c r="W81" s="0">
        <f>IOS!T81</f>
        <v>0.327683615819209</v>
      </c>
    </row>
    <row r="82" spans="21:23">
      <c r="U82" s="0">
        <v>80</v>
      </c>
      <c r="V82" s="0">
        <f>And!T82</f>
        <v>0.752902155887231</v>
      </c>
      <c r="W82" s="0">
        <f>IOS!T82</f>
        <v>0.654970760233918</v>
      </c>
    </row>
    <row r="83" spans="21:23">
      <c r="U83" s="0">
        <v>81</v>
      </c>
      <c r="V83" s="0">
        <f>And!T83</f>
        <v>0.517470881863561</v>
      </c>
      <c r="W83" s="0">
        <f>IOS!T83</f>
        <v>0.418181818181818</v>
      </c>
    </row>
    <row r="84" spans="21:23">
      <c r="U84" s="0">
        <v>82</v>
      </c>
      <c r="V84" s="0">
        <f>And!T84</f>
        <v>0.395309882747069</v>
      </c>
      <c r="W84" s="0">
        <f>IOS!T84</f>
        <v>0.358024691358025</v>
      </c>
    </row>
    <row r="85" spans="21:23">
      <c r="U85" s="0">
        <v>83</v>
      </c>
      <c r="V85" s="0">
        <f>And!T85</f>
        <v>0.321008403361345</v>
      </c>
      <c r="W85" s="0">
        <f>IOS!T85</f>
        <v>0.327272727272727</v>
      </c>
    </row>
    <row r="86" spans="21:23">
      <c r="U86" s="0">
        <v>84</v>
      </c>
      <c r="V86" s="0">
        <f>And!T86</f>
        <v>0.46815834767642</v>
      </c>
      <c r="W86" s="0">
        <f>IOS!T86</f>
        <v>0.494047619047619</v>
      </c>
    </row>
    <row r="87" spans="21:23">
      <c r="U87" s="0">
        <v>85</v>
      </c>
      <c r="V87" s="0">
        <f>And!T87</f>
        <v>0.712522045855379</v>
      </c>
      <c r="W87" s="0">
        <f>IOS!T87</f>
        <v>0.582352941176471</v>
      </c>
    </row>
    <row r="88" spans="21:23">
      <c r="U88" s="0">
        <v>86</v>
      </c>
      <c r="V88" s="0">
        <f>And!T88</f>
        <v>0.35663082437276</v>
      </c>
      <c r="W88" s="0">
        <f>IOS!T88</f>
        <v>0.351190476190476</v>
      </c>
    </row>
    <row r="89" spans="21:23">
      <c r="U89" s="0">
        <v>87</v>
      </c>
      <c r="V89" s="0">
        <f>And!T89</f>
        <v>0.706642066420664</v>
      </c>
      <c r="W89" s="0">
        <f>IOS!T89</f>
        <v>0.658064516129032</v>
      </c>
    </row>
    <row r="90" spans="21:23">
      <c r="U90" s="0">
        <v>88</v>
      </c>
      <c r="V90" s="0">
        <f>And!T90</f>
        <v>0.41635687732342</v>
      </c>
      <c r="W90" s="0">
        <f>IOS!T90</f>
        <v>0.354838709677419</v>
      </c>
    </row>
    <row r="91" spans="21:23">
      <c r="U91" s="0">
        <v>89</v>
      </c>
      <c r="V91" s="0">
        <f>And!T91</f>
        <v>0.362616822429907</v>
      </c>
      <c r="W91" s="0">
        <f>IOS!T91</f>
        <v>0.333333333333333</v>
      </c>
    </row>
    <row r="92" spans="21:23">
      <c r="U92" s="0">
        <v>90</v>
      </c>
      <c r="V92" s="0">
        <f>And!T92</f>
        <v>0.588235294117647</v>
      </c>
      <c r="W92" s="0">
        <f>IOS!T92</f>
        <v>0.522875816993464</v>
      </c>
    </row>
    <row r="93" spans="21:23">
      <c r="U93" s="0">
        <v>91</v>
      </c>
      <c r="V93" s="0">
        <f>And!T93</f>
        <v>0.386100386100386</v>
      </c>
      <c r="W93" s="0">
        <f>IOS!T93</f>
        <v>0.342105263157895</v>
      </c>
    </row>
    <row r="94" spans="21:23">
      <c r="U94" s="0">
        <v>92</v>
      </c>
      <c r="V94" s="0">
        <f>And!T94</f>
        <v>0.49317738791423</v>
      </c>
      <c r="W94" s="0">
        <f>IOS!T94</f>
        <v>0.414965986394558</v>
      </c>
    </row>
    <row r="95" spans="21:23">
      <c r="U95" s="0">
        <v>93</v>
      </c>
      <c r="V95" s="0">
        <f>And!T95</f>
        <v>0.333988212180747</v>
      </c>
      <c r="W95" s="0">
        <f>IOS!T95</f>
        <v>0.278145695364238</v>
      </c>
    </row>
    <row r="96" spans="21:23">
      <c r="U96" s="0">
        <v>94</v>
      </c>
      <c r="V96" s="0">
        <f>And!T96</f>
        <v>0.339181286549708</v>
      </c>
      <c r="W96" s="0">
        <f>IOS!T96</f>
        <v>0.281879194630873</v>
      </c>
    </row>
    <row r="97" spans="21:23">
      <c r="U97" s="0">
        <v>95</v>
      </c>
      <c r="V97" s="0">
        <f>And!T97</f>
        <v>1.02719665271967</v>
      </c>
      <c r="W97" s="0">
        <f>IOS!T97</f>
        <v>0.913669064748201</v>
      </c>
    </row>
    <row r="98" spans="21:23">
      <c r="U98" s="0">
        <v>96</v>
      </c>
      <c r="V98" s="0">
        <f>And!T98</f>
        <v>0.498960498960499</v>
      </c>
      <c r="W98" s="0">
        <f>IOS!T98</f>
        <v>0.420289855072464</v>
      </c>
    </row>
    <row r="99" spans="21:23">
      <c r="U99" s="0">
        <v>97</v>
      </c>
      <c r="V99" s="0">
        <f>And!T99</f>
        <v>0.658227848101266</v>
      </c>
      <c r="W99" s="0">
        <f>IOS!T99</f>
        <v>0.595588235294118</v>
      </c>
    </row>
    <row r="100" spans="21:23">
      <c r="U100" s="0">
        <v>98</v>
      </c>
      <c r="V100" s="0">
        <f>And!T100</f>
        <v>0.382845188284519</v>
      </c>
      <c r="W100" s="0">
        <f>IOS!T100</f>
        <v>0.305970149253731</v>
      </c>
    </row>
    <row r="101" spans="21:23">
      <c r="U101" s="0">
        <v>99</v>
      </c>
      <c r="V101" s="0">
        <f>And!T101</f>
        <v>0.409185803757829</v>
      </c>
      <c r="W101" s="0">
        <f>IOS!T101</f>
        <v>0.389705882352941</v>
      </c>
    </row>
    <row r="102" spans="21:23">
      <c r="U102" s="0">
        <v>100</v>
      </c>
      <c r="V102" s="0">
        <f>And!T102</f>
        <v>0.354771784232365</v>
      </c>
      <c r="W102" s="0">
        <f>IOS!T102</f>
        <v>0.301470588235294</v>
      </c>
    </row>
    <row r="103" spans="21:23">
      <c r="U103" s="0">
        <v>101</v>
      </c>
      <c r="V103" s="0">
        <f>And!T103</f>
        <v>0.374732334047109</v>
      </c>
      <c r="W103" s="0">
        <f>IOS!T103</f>
        <v>0.333333333333333</v>
      </c>
    </row>
    <row r="104" spans="21:23">
      <c r="U104" s="0">
        <v>102</v>
      </c>
      <c r="V104" s="0">
        <f>And!T104</f>
        <v>0.370932754880694</v>
      </c>
      <c r="W104" s="0">
        <f>IOS!T104</f>
        <v>0.273381294964029</v>
      </c>
    </row>
    <row r="105" spans="21:23">
      <c r="U105" s="0">
        <v>103</v>
      </c>
      <c r="V105" s="0">
        <f>And!T105</f>
        <v>0.325431034482759</v>
      </c>
      <c r="W105" s="0">
        <f>IOS!T105</f>
        <v>0.246478873239437</v>
      </c>
    </row>
    <row r="106" spans="21:23">
      <c r="U106" s="0">
        <v>104</v>
      </c>
      <c r="V106" s="0">
        <f>And!T106</f>
        <v>0.46119733924612</v>
      </c>
      <c r="W106" s="0">
        <f>IOS!T106</f>
        <v>0.347222222222222</v>
      </c>
    </row>
    <row r="107" spans="21:23">
      <c r="U107" s="0">
        <v>105</v>
      </c>
      <c r="V107" s="0">
        <f>And!T107</f>
        <v>0.582392776523702</v>
      </c>
      <c r="W107" s="0">
        <f>IOS!T107</f>
        <v>0.478571428571429</v>
      </c>
    </row>
    <row r="108" spans="21:23">
      <c r="U108" s="0">
        <v>106</v>
      </c>
      <c r="V108" s="0">
        <f>And!T108</f>
        <v>0.498834498834499</v>
      </c>
      <c r="W108" s="0">
        <f>IOS!T108</f>
        <v>0.407142857142857</v>
      </c>
    </row>
    <row r="109" spans="21:23">
      <c r="U109" s="0">
        <v>107</v>
      </c>
      <c r="V109" s="0">
        <f>And!T109</f>
        <v>0.710462287104623</v>
      </c>
      <c r="W109" s="0">
        <f>IOS!T109</f>
        <v>0.570422535211268</v>
      </c>
    </row>
    <row r="110" spans="21:23">
      <c r="U110" s="0">
        <v>108</v>
      </c>
      <c r="V110" s="0">
        <f>And!T110</f>
        <v>0.533169533169533</v>
      </c>
      <c r="W110" s="0">
        <f>IOS!T110</f>
        <v>0.438848920863309</v>
      </c>
    </row>
    <row r="111" spans="21:23">
      <c r="U111" s="0">
        <v>109</v>
      </c>
      <c r="V111" s="0">
        <f>And!T111</f>
        <v>0.411330049261084</v>
      </c>
      <c r="W111" s="0">
        <f>IOS!T111</f>
        <v>0.357664233576642</v>
      </c>
    </row>
    <row r="112" spans="21:23">
      <c r="U112" s="0">
        <v>110</v>
      </c>
      <c r="V112" s="0">
        <f>And!T112</f>
        <v>0.54679802955665</v>
      </c>
      <c r="W112" s="0">
        <f>IOS!T112</f>
        <v>0.420289855072464</v>
      </c>
    </row>
    <row r="113" spans="21:23">
      <c r="U113" s="0">
        <v>111</v>
      </c>
      <c r="V113" s="0">
        <f>And!T113</f>
        <v>0.597051597051597</v>
      </c>
      <c r="W113" s="0">
        <f>IOS!T113</f>
        <v>0.428571428571429</v>
      </c>
    </row>
    <row r="114" spans="21:23">
      <c r="U114" s="0">
        <v>112</v>
      </c>
      <c r="V114" s="0">
        <f>And!T114</f>
        <v>0.718905472636816</v>
      </c>
      <c r="W114" s="0">
        <f>IOS!T114</f>
        <v>0.633093525179856</v>
      </c>
    </row>
    <row r="115" spans="21:23">
      <c r="U115" s="0">
        <v>113</v>
      </c>
      <c r="V115" s="0">
        <f>And!T115</f>
        <v>0.398034398034398</v>
      </c>
      <c r="W115" s="0">
        <f>IOS!T115</f>
        <v>0.271428571428571</v>
      </c>
    </row>
    <row r="116" spans="21:23">
      <c r="U116" s="0">
        <v>114</v>
      </c>
      <c r="V116" s="0">
        <f>And!T116</f>
        <v>0.466830466830467</v>
      </c>
      <c r="W116" s="0">
        <f>IOS!T116</f>
        <v>0.330935251798561</v>
      </c>
    </row>
    <row r="117" spans="21:23">
      <c r="U117" s="0">
        <v>115</v>
      </c>
      <c r="V117" s="0">
        <f>And!T117</f>
        <v>0.851282051282051</v>
      </c>
      <c r="W117" s="0">
        <f>IOS!T117</f>
        <v>0.717391304347826</v>
      </c>
    </row>
    <row r="118" spans="21:23">
      <c r="U118" s="0">
        <v>116</v>
      </c>
      <c r="V118" s="0">
        <f>And!T118</f>
        <v>0.483290488431877</v>
      </c>
      <c r="W118" s="0">
        <f>IOS!T118</f>
        <v>0.326086956521739</v>
      </c>
    </row>
    <row r="119" spans="21:23">
      <c r="U119" s="0">
        <v>117</v>
      </c>
      <c r="V119" s="0">
        <f>And!T119</f>
        <v>0.441860465116279</v>
      </c>
      <c r="W119" s="0">
        <f>IOS!T119</f>
        <v>0.357142857142857</v>
      </c>
    </row>
    <row r="120" spans="21:23">
      <c r="U120" s="0">
        <v>118</v>
      </c>
      <c r="V120" s="0">
        <f>And!T120</f>
        <v>0.56135770234987</v>
      </c>
      <c r="W120" s="0">
        <f>IOS!T120</f>
        <v>0.507246376811594</v>
      </c>
    </row>
    <row r="121" spans="21:23">
      <c r="U121" s="0">
        <v>119</v>
      </c>
      <c r="V121" s="0">
        <f>And!T121</f>
        <v>0.502631578947368</v>
      </c>
      <c r="W121" s="0">
        <f>IOS!T121</f>
        <v>0.433823529411765</v>
      </c>
    </row>
    <row r="122" spans="21:23">
      <c r="U122" s="0">
        <v>120</v>
      </c>
      <c r="V122" s="0">
        <f>And!T122</f>
        <v>0.96056338028169</v>
      </c>
      <c r="W122" s="0">
        <f>IOS!T122</f>
        <v>0.887096774193548</v>
      </c>
    </row>
    <row r="123" spans="21:23">
      <c r="U123" s="0">
        <v>121</v>
      </c>
      <c r="V123" s="0">
        <f>And!T123</f>
        <v>0.675438596491228</v>
      </c>
      <c r="W123" s="0">
        <f>IOS!T123</f>
        <v>0.611111111111111</v>
      </c>
    </row>
    <row r="124" spans="21:23">
      <c r="U124" s="0">
        <v>122</v>
      </c>
      <c r="V124" s="0">
        <f>And!T124</f>
        <v>0.395953757225434</v>
      </c>
      <c r="W124" s="0">
        <f>IOS!T124</f>
        <v>0.37007874015748</v>
      </c>
    </row>
    <row r="125" spans="21:23">
      <c r="U125" s="0">
        <v>123</v>
      </c>
      <c r="V125" s="0">
        <f>And!T125</f>
        <v>0.387931034482759</v>
      </c>
      <c r="W125" s="0">
        <f>IOS!T125</f>
        <v>0.357142857142857</v>
      </c>
    </row>
    <row r="126" spans="21:23">
      <c r="U126" s="0">
        <v>124</v>
      </c>
      <c r="V126" s="0">
        <f>And!T126</f>
        <v>0.945619335347432</v>
      </c>
      <c r="W126" s="0">
        <f>IOS!T126</f>
        <v>0.811475409836066</v>
      </c>
    </row>
    <row r="127" spans="21:23">
      <c r="U127" s="0">
        <v>125</v>
      </c>
      <c r="V127" s="0">
        <f>And!T127</f>
        <v>0.416666666666667</v>
      </c>
      <c r="W127" s="0">
        <f>IOS!T127</f>
        <v>0.349593495934959</v>
      </c>
    </row>
    <row r="128" spans="21:23">
      <c r="U128" s="0">
        <v>126</v>
      </c>
      <c r="V128" s="0">
        <f>And!T128</f>
        <v>0.391691394658754</v>
      </c>
      <c r="W128" s="0">
        <f>IOS!T128</f>
        <v>0.346774193548387</v>
      </c>
    </row>
    <row r="129" spans="21:23">
      <c r="U129" s="0">
        <v>127</v>
      </c>
      <c r="V129" s="0">
        <f>And!T129</f>
        <v>0.437125748502994</v>
      </c>
      <c r="W129" s="0">
        <f>IOS!T129</f>
        <v>0.360655737704918</v>
      </c>
    </row>
    <row r="130" spans="21:23">
      <c r="U130" s="0">
        <v>128</v>
      </c>
      <c r="V130" s="0">
        <f>And!T130</f>
        <v>0.676737160120846</v>
      </c>
      <c r="W130" s="0">
        <f>IOS!T130</f>
        <v>0.578512396694215</v>
      </c>
    </row>
    <row r="131" spans="21:23">
      <c r="U131" s="0">
        <v>129</v>
      </c>
      <c r="V131" s="0">
        <f>And!T131</f>
        <v>0.555555555555556</v>
      </c>
      <c r="W131" s="0">
        <f>IOS!T131</f>
        <v>0.428571428571429</v>
      </c>
    </row>
    <row r="132" spans="21:23">
      <c r="U132" s="0">
        <v>130</v>
      </c>
      <c r="V132" s="0">
        <f>And!T132</f>
        <v>0.554179566563467</v>
      </c>
      <c r="W132" s="0">
        <f>IOS!T132</f>
        <v>0.512820512820513</v>
      </c>
    </row>
    <row r="133" spans="21:23">
      <c r="U133" s="0">
        <v>131</v>
      </c>
      <c r="V133" s="0">
        <f>And!T133</f>
        <v>0.429906542056075</v>
      </c>
      <c r="W133" s="0">
        <f>IOS!T133</f>
        <v>0.396551724137931</v>
      </c>
    </row>
    <row r="134" spans="21:23">
      <c r="U134" s="0">
        <v>132</v>
      </c>
      <c r="V134" s="0">
        <f>And!T134</f>
        <v>0.625386996904025</v>
      </c>
      <c r="W134" s="0">
        <f>IOS!T134</f>
        <v>0.556603773584906</v>
      </c>
    </row>
    <row r="135" spans="21:23">
      <c r="U135" s="0">
        <v>133</v>
      </c>
      <c r="V135" s="0">
        <f>And!T135</f>
        <v>0.81055900621118</v>
      </c>
      <c r="W135" s="0">
        <f>IOS!T135</f>
        <v>0.831858407079646</v>
      </c>
    </row>
    <row r="136" spans="21:23">
      <c r="U136" s="0">
        <v>134</v>
      </c>
      <c r="V136" s="0">
        <f>And!T136</f>
        <v>0.42283950617284</v>
      </c>
      <c r="W136" s="0">
        <f>IOS!T136</f>
        <v>0.375</v>
      </c>
    </row>
    <row r="137" spans="21:23">
      <c r="U137" s="0">
        <v>135</v>
      </c>
      <c r="V137" s="0">
        <f>And!T137</f>
        <v>0.667692307692308</v>
      </c>
      <c r="W137" s="0">
        <f>IOS!T137</f>
        <v>0.577981651376147</v>
      </c>
    </row>
    <row r="138" spans="21:23">
      <c r="U138" s="0">
        <v>136</v>
      </c>
      <c r="V138" s="0">
        <f>And!T138</f>
        <v>0.834355828220859</v>
      </c>
      <c r="W138" s="0">
        <f>IOS!T138</f>
        <v>0.75</v>
      </c>
    </row>
    <row r="139" spans="21:23">
      <c r="U139" s="0">
        <v>137</v>
      </c>
      <c r="V139" s="0">
        <f>And!T139</f>
        <v>0.905956112852665</v>
      </c>
      <c r="W139" s="0">
        <f>IOS!T139</f>
        <v>0.8</v>
      </c>
    </row>
    <row r="140" spans="21:23">
      <c r="U140" s="0">
        <v>138</v>
      </c>
      <c r="V140" s="0">
        <f>And!T140</f>
        <v>0.43217665615142</v>
      </c>
      <c r="W140" s="0">
        <f>IOS!T140</f>
        <v>0.350877192982456</v>
      </c>
    </row>
    <row r="141" spans="21:23">
      <c r="U141" s="0">
        <v>139</v>
      </c>
      <c r="V141" s="0">
        <f>And!T141</f>
        <v>0.549520766773163</v>
      </c>
      <c r="W141" s="0">
        <f>IOS!T141</f>
        <v>0.433628318584071</v>
      </c>
    </row>
    <row r="142" spans="21:23">
      <c r="U142" s="0">
        <v>140</v>
      </c>
      <c r="V142" s="0">
        <f>And!T142</f>
        <v>0.934640522875817</v>
      </c>
      <c r="W142" s="0">
        <f>IOS!T142</f>
        <v>0.851851851851852</v>
      </c>
    </row>
    <row r="143" spans="21:23">
      <c r="U143" s="0">
        <v>141</v>
      </c>
      <c r="V143" s="0">
        <f>And!T143</f>
        <v>0.57843137254902</v>
      </c>
      <c r="W143" s="0">
        <f>IOS!T143</f>
        <v>0.522522522522523</v>
      </c>
    </row>
    <row r="144" spans="21:23">
      <c r="U144" s="0">
        <v>142</v>
      </c>
      <c r="V144" s="0">
        <f>And!T144</f>
        <v>0.521452145214521</v>
      </c>
      <c r="W144" s="0">
        <f>IOS!T144</f>
        <v>0.537037037037037</v>
      </c>
    </row>
    <row r="145" spans="21:23">
      <c r="U145" s="0">
        <v>143</v>
      </c>
      <c r="V145" s="0">
        <f>And!T145</f>
        <v>0.480263157894737</v>
      </c>
      <c r="W145" s="0">
        <f>IOS!T145</f>
        <v>0.398230088495575</v>
      </c>
    </row>
    <row r="146" spans="21:23">
      <c r="U146" s="0">
        <v>144</v>
      </c>
      <c r="V146" s="0">
        <f>And!T146</f>
        <v>0.401960784313726</v>
      </c>
      <c r="W146" s="0">
        <f>IOS!T146</f>
        <v>0.391304347826087</v>
      </c>
    </row>
    <row r="147" spans="21:23">
      <c r="U147" s="0">
        <v>145</v>
      </c>
      <c r="V147" s="0">
        <f>And!T147</f>
        <v>0.626623376623377</v>
      </c>
      <c r="W147" s="0">
        <f>IOS!T147</f>
        <v>0.512605042016807</v>
      </c>
    </row>
    <row r="148" spans="21:23">
      <c r="U148" s="0">
        <v>146</v>
      </c>
      <c r="V148" s="0">
        <f>And!T148</f>
        <v>0.42483660130719</v>
      </c>
      <c r="W148" s="0">
        <f>IOS!T148</f>
        <v>0.401709401709402</v>
      </c>
    </row>
    <row r="149" spans="21:23">
      <c r="U149" s="0">
        <v>147</v>
      </c>
      <c r="V149" s="0">
        <f>And!T149</f>
        <v>0.901315789473684</v>
      </c>
      <c r="W149" s="0">
        <f>IOS!T149</f>
        <v>0.885964912280702</v>
      </c>
    </row>
    <row r="150" spans="21:23">
      <c r="U150" s="0">
        <v>148</v>
      </c>
      <c r="V150" s="0">
        <f>And!T150</f>
        <v>0.442622950819672</v>
      </c>
      <c r="W150" s="0">
        <f>IOS!T150</f>
        <v>0.446428571428572</v>
      </c>
    </row>
    <row r="151" spans="21:23">
      <c r="U151" s="0">
        <v>149</v>
      </c>
      <c r="V151" s="0">
        <f>And!T151</f>
        <v>0.503289473684211</v>
      </c>
      <c r="W151" s="0">
        <f>IOS!T151</f>
        <v>0.468468468468469</v>
      </c>
    </row>
    <row r="152" spans="21:23">
      <c r="U152" s="0">
        <v>150</v>
      </c>
      <c r="V152" s="0">
        <f>And!T152</f>
        <v>0.608552631578947</v>
      </c>
      <c r="W152" s="0">
        <f>IOS!T152</f>
        <v>0.618181818181818</v>
      </c>
    </row>
    <row r="153" spans="21:23">
      <c r="U153" s="0">
        <v>151</v>
      </c>
      <c r="V153" s="0">
        <f>And!T153</f>
        <v>0.791666666666667</v>
      </c>
      <c r="W153" s="0">
        <f>IOS!T153</f>
        <v>0.757009345794393</v>
      </c>
    </row>
    <row r="154" spans="21:23">
      <c r="U154" s="0">
        <v>152</v>
      </c>
      <c r="V154" s="0">
        <f>And!T154</f>
        <v>0.515901060070671</v>
      </c>
      <c r="W154" s="0">
        <f>IOS!T154</f>
        <v>0.485714285714286</v>
      </c>
    </row>
    <row r="155" spans="21:23">
      <c r="U155" s="0">
        <v>153</v>
      </c>
      <c r="V155" s="0">
        <f>And!T155</f>
        <v>0.397887323943662</v>
      </c>
      <c r="W155" s="0">
        <f>IOS!T155</f>
        <v>0.401960784313726</v>
      </c>
    </row>
    <row r="156" spans="21:23">
      <c r="U156" s="0">
        <v>154</v>
      </c>
      <c r="V156" s="0">
        <f>And!T156</f>
        <v>0.779783393501805</v>
      </c>
      <c r="W156" s="0">
        <f>IOS!T156</f>
        <v>0.656862745098039</v>
      </c>
    </row>
    <row r="157" spans="21:23">
      <c r="U157" s="0">
        <v>155</v>
      </c>
      <c r="V157" s="0">
        <f>And!T157</f>
        <v>0.396363636363636</v>
      </c>
      <c r="W157" s="0">
        <f>IOS!T157</f>
        <v>0.398058252427185</v>
      </c>
    </row>
    <row r="158" spans="21:23">
      <c r="U158" s="0">
        <v>156</v>
      </c>
      <c r="V158" s="0">
        <f>And!T158</f>
        <v>0.47463768115942</v>
      </c>
      <c r="W158" s="0">
        <f>IOS!T158</f>
        <v>0.425742574257426</v>
      </c>
    </row>
    <row r="159" spans="21:23">
      <c r="U159" s="0">
        <v>157</v>
      </c>
      <c r="V159" s="0">
        <f>And!T159</f>
        <v>0.699619771863118</v>
      </c>
      <c r="W159" s="0">
        <f>IOS!T159</f>
        <v>0.591836734693878</v>
      </c>
    </row>
    <row r="160" spans="21:23">
      <c r="U160" s="0">
        <v>158</v>
      </c>
      <c r="V160" s="0">
        <f>And!T160</f>
        <v>0.52851711026616</v>
      </c>
      <c r="W160" s="0">
        <f>IOS!T160</f>
        <v>0.459183673469388</v>
      </c>
    </row>
    <row r="161" spans="21:23">
      <c r="U161" s="0">
        <v>159</v>
      </c>
      <c r="V161" s="0">
        <f>And!T161</f>
        <v>1.01581027667984</v>
      </c>
      <c r="W161" s="0">
        <f>IOS!T161</f>
        <v>1.00952380952381</v>
      </c>
    </row>
    <row r="162" spans="21:23">
      <c r="U162" s="0">
        <v>160</v>
      </c>
      <c r="V162" s="0">
        <f>And!T162</f>
        <v>0.508130081300813</v>
      </c>
      <c r="W162" s="0">
        <f>IOS!T162</f>
        <v>0.537735849056604</v>
      </c>
    </row>
    <row r="163" spans="21:23">
      <c r="U163" s="0">
        <v>161</v>
      </c>
      <c r="V163" s="0">
        <f>And!T163</f>
        <v>0.414634146341463</v>
      </c>
      <c r="W163" s="0">
        <f>IOS!T163</f>
        <v>0.433962264150943</v>
      </c>
    </row>
    <row r="164" spans="21:23">
      <c r="U164" s="0">
        <v>162</v>
      </c>
      <c r="V164" s="0">
        <f>And!T164</f>
        <v>0.387755102040816</v>
      </c>
      <c r="W164" s="0">
        <f>IOS!T164</f>
        <v>0.481132075471698</v>
      </c>
    </row>
    <row r="165" spans="21:23">
      <c r="U165" s="0">
        <v>163</v>
      </c>
      <c r="V165" s="0">
        <f>And!T165</f>
        <v>0.613821138211382</v>
      </c>
      <c r="W165" s="0">
        <f>IOS!T165</f>
        <v>0.657142857142857</v>
      </c>
    </row>
    <row r="166" spans="21:23">
      <c r="U166" s="0">
        <v>164</v>
      </c>
      <c r="V166" s="0">
        <f>And!T166</f>
        <v>0.576131687242798</v>
      </c>
      <c r="W166" s="0">
        <f>IOS!T166</f>
        <v>0.60377358490566</v>
      </c>
    </row>
    <row r="167" spans="21:23">
      <c r="U167" s="0">
        <v>165</v>
      </c>
      <c r="V167" s="0">
        <f>And!T167</f>
        <v>0.682926829268293</v>
      </c>
      <c r="W167" s="0">
        <f>IOS!T167</f>
        <v>0.673076923076923</v>
      </c>
    </row>
    <row r="168" spans="21:23">
      <c r="U168" s="0">
        <v>166</v>
      </c>
      <c r="V168" s="0">
        <f>And!T168</f>
        <v>0.663934426229508</v>
      </c>
      <c r="W168" s="0">
        <f>IOS!T168</f>
        <v>0.679245283018868</v>
      </c>
    </row>
    <row r="169" spans="21:23">
      <c r="U169" s="0">
        <v>167</v>
      </c>
      <c r="V169" s="0">
        <f>And!T169</f>
        <v>0.782051282051282</v>
      </c>
      <c r="W169" s="0">
        <f>IOS!T169</f>
        <v>0.752380952380952</v>
      </c>
    </row>
    <row r="170" spans="21:23">
      <c r="U170" s="0">
        <v>168</v>
      </c>
      <c r="V170" s="0">
        <f>And!T170</f>
        <v>0.591304347826087</v>
      </c>
      <c r="W170" s="0">
        <f>IOS!T170</f>
        <v>0.580952380952381</v>
      </c>
    </row>
    <row r="171" spans="21:23">
      <c r="U171" s="0">
        <v>169</v>
      </c>
      <c r="V171" s="0">
        <f>And!T171</f>
        <v>0.959459459459459</v>
      </c>
      <c r="W171" s="0">
        <f>IOS!T171</f>
        <v>0.927835051546392</v>
      </c>
    </row>
    <row r="172" spans="21:23">
      <c r="U172" s="0">
        <v>170</v>
      </c>
      <c r="V172" s="0">
        <f>And!T172</f>
        <v>0.622222222222222</v>
      </c>
      <c r="W172" s="0">
        <f>IOS!T172</f>
        <v>0.639175257731959</v>
      </c>
    </row>
    <row r="173" spans="21:23">
      <c r="U173" s="0">
        <v>171</v>
      </c>
      <c r="V173" s="0">
        <f>And!T173</f>
        <v>0.622222222222222</v>
      </c>
      <c r="W173" s="0">
        <f>IOS!T173</f>
        <v>0.627659574468085</v>
      </c>
    </row>
    <row r="174" spans="21:23">
      <c r="U174" s="0">
        <v>172</v>
      </c>
      <c r="V174" s="0">
        <f>And!T174</f>
        <v>0.919282511210762</v>
      </c>
      <c r="W174" s="0">
        <f>IOS!T174</f>
        <v>0.866666666666667</v>
      </c>
    </row>
    <row r="175" spans="21:23">
      <c r="U175" s="0">
        <v>173</v>
      </c>
      <c r="V175" s="0">
        <f>And!T175</f>
        <v>0.830188679245283</v>
      </c>
      <c r="W175" s="0">
        <f>IOS!T175</f>
        <v>0.767441860465116</v>
      </c>
    </row>
    <row r="176" spans="21:23">
      <c r="U176" s="0">
        <v>174</v>
      </c>
      <c r="V176" s="0">
        <f>And!T176</f>
        <v>0.563380281690141</v>
      </c>
      <c r="W176" s="0">
        <f>IOS!T176</f>
        <v>0.535714285714286</v>
      </c>
    </row>
    <row r="177" spans="21:23">
      <c r="U177" s="0">
        <v>175</v>
      </c>
      <c r="V177" s="0">
        <f>And!T177</f>
        <v>0.931707317073171</v>
      </c>
      <c r="W177" s="0">
        <f>IOS!T177</f>
        <v>0.901234567901235</v>
      </c>
    </row>
    <row r="178" spans="21:23">
      <c r="U178" s="0">
        <v>176</v>
      </c>
      <c r="V178" s="0">
        <f>And!T178</f>
        <v>0.842364532019704</v>
      </c>
      <c r="W178" s="0">
        <f>IOS!T178</f>
        <v>0.770114942528736</v>
      </c>
    </row>
    <row r="179" spans="21:23">
      <c r="U179" s="0">
        <v>177</v>
      </c>
      <c r="V179" s="0">
        <f>And!T179</f>
        <v>1.05102040816327</v>
      </c>
      <c r="W179" s="0">
        <f>IOS!T179</f>
        <v>1.05555555555556</v>
      </c>
    </row>
    <row r="180" spans="21:23">
      <c r="U180" s="0">
        <v>178</v>
      </c>
      <c r="V180" s="0">
        <f>And!T180</f>
        <v>0.771276595744681</v>
      </c>
      <c r="W180" s="0">
        <f>IOS!T180</f>
        <v>0.802816901408451</v>
      </c>
    </row>
    <row r="181" spans="21:23">
      <c r="U181" s="0">
        <v>179</v>
      </c>
      <c r="V181" s="0">
        <f>And!T181</f>
        <v>0.881081081081081</v>
      </c>
      <c r="W181" s="0">
        <f>IOS!T181</f>
        <v>0.869565217391304</v>
      </c>
    </row>
    <row r="182" spans="21:23">
      <c r="U182" s="0">
        <v>180</v>
      </c>
      <c r="V182" s="0">
        <f>And!T182</f>
        <v>0.542105263157895</v>
      </c>
      <c r="W182" s="0">
        <f>IOS!T182</f>
        <v>0.5</v>
      </c>
    </row>
    <row r="183" spans="21:23">
      <c r="U183" s="0">
        <v>181</v>
      </c>
      <c r="V183" s="0">
        <f>And!T183</f>
        <v>0.882352941176471</v>
      </c>
      <c r="W183" s="0">
        <f>IOS!T183</f>
        <v>0.861111111111111</v>
      </c>
    </row>
    <row r="184" spans="21:23">
      <c r="U184" s="0">
        <v>182</v>
      </c>
      <c r="V184" s="0">
        <f>And!T184</f>
        <v>0.912568306010929</v>
      </c>
      <c r="W184" s="0">
        <f>IOS!T184</f>
        <v>0.918918918918919</v>
      </c>
    </row>
    <row r="185" spans="21:23">
      <c r="U185" s="0">
        <v>183</v>
      </c>
      <c r="V185" s="0">
        <f>And!T185</f>
        <v>0.661111111111111</v>
      </c>
      <c r="W185" s="0">
        <f>IOS!T185</f>
        <v>0.625</v>
      </c>
    </row>
    <row r="186" spans="21:23">
      <c r="U186" s="0">
        <v>184</v>
      </c>
      <c r="V186" s="0">
        <f>And!T186</f>
        <v>0.511111111111111</v>
      </c>
      <c r="W186" s="0">
        <f>IOS!T186</f>
        <v>0.472222222222222</v>
      </c>
    </row>
    <row r="187" spans="21:23">
      <c r="U187" s="0">
        <v>185</v>
      </c>
      <c r="V187" s="0">
        <f>And!T187</f>
        <v>0.573863636363636</v>
      </c>
      <c r="W187" s="0">
        <f>IOS!T187</f>
        <v>0.506849315068493</v>
      </c>
    </row>
    <row r="188" spans="21:23">
      <c r="U188" s="0">
        <v>186</v>
      </c>
      <c r="V188" s="0">
        <f>And!T188</f>
        <v>0.842696629213483</v>
      </c>
      <c r="W188" s="0">
        <f>IOS!T188</f>
        <v>0.780821917808219</v>
      </c>
    </row>
    <row r="189" spans="21:23">
      <c r="U189" s="0">
        <v>187</v>
      </c>
      <c r="V189" s="0">
        <f>And!T189</f>
        <v>0.877906976744186</v>
      </c>
      <c r="W189" s="0">
        <f>IOS!T189</f>
        <v>0.72972972972973</v>
      </c>
    </row>
    <row r="190" spans="21:23">
      <c r="U190" s="0">
        <v>188</v>
      </c>
      <c r="V190" s="0">
        <f>And!T190</f>
        <v>0.511627906976744</v>
      </c>
      <c r="W190" s="0">
        <f>IOS!T190</f>
        <v>0.45945945945946</v>
      </c>
    </row>
    <row r="191" spans="21:23">
      <c r="U191" s="0">
        <v>189</v>
      </c>
      <c r="V191" s="0">
        <f>And!T191</f>
        <v>1.00653594771242</v>
      </c>
      <c r="W191" s="0">
        <f>IOS!T191</f>
        <v>0.849315068493151</v>
      </c>
    </row>
    <row r="192" spans="21:23">
      <c r="U192" s="0">
        <v>190</v>
      </c>
      <c r="V192" s="0">
        <f>And!T192</f>
        <v>0.796296296296296</v>
      </c>
      <c r="W192" s="0">
        <f>IOS!T192</f>
        <v>0.662162162162162</v>
      </c>
    </row>
    <row r="193" spans="21:23">
      <c r="U193" s="0">
        <v>191</v>
      </c>
      <c r="V193" s="0">
        <f>And!T193</f>
        <v>0.576687116564417</v>
      </c>
      <c r="W193" s="0">
        <f>IOS!T193</f>
        <v>0.567567567567568</v>
      </c>
    </row>
    <row r="194" spans="21:23">
      <c r="U194" s="0">
        <v>192</v>
      </c>
      <c r="V194" s="0">
        <f>And!T194</f>
        <v>0.723926380368098</v>
      </c>
      <c r="W194" s="0">
        <f>IOS!T194</f>
        <v>0.702702702702703</v>
      </c>
    </row>
    <row r="195" spans="21:23">
      <c r="U195" s="0">
        <v>193</v>
      </c>
      <c r="V195" s="0">
        <f>And!T195</f>
        <v>0.914110429447853</v>
      </c>
      <c r="W195" s="0">
        <f>IOS!T195</f>
        <v>0.851351351351351</v>
      </c>
    </row>
    <row r="196" spans="21:23">
      <c r="U196" s="0">
        <v>194</v>
      </c>
      <c r="V196" s="0">
        <f>And!T196</f>
        <v>0.79874213836478</v>
      </c>
      <c r="W196" s="0">
        <f>IOS!T196</f>
        <v>0.743243243243243</v>
      </c>
    </row>
    <row r="197" spans="21:23">
      <c r="U197" s="0">
        <v>195</v>
      </c>
      <c r="V197" s="0">
        <f>And!T197</f>
        <v>0.961290322580645</v>
      </c>
      <c r="W197" s="0">
        <f>IOS!T197</f>
        <v>0.794520547945205</v>
      </c>
    </row>
    <row r="198" spans="21:23">
      <c r="U198" s="0">
        <v>196</v>
      </c>
      <c r="V198" s="0">
        <f>And!T198</f>
        <v>0.662337662337662</v>
      </c>
      <c r="W198" s="0">
        <f>IOS!T198</f>
        <v>0.680555555555556</v>
      </c>
    </row>
    <row r="199" spans="21:23">
      <c r="U199" s="0">
        <v>197</v>
      </c>
      <c r="V199" s="0">
        <f>And!T199</f>
        <v>0.816455696202532</v>
      </c>
      <c r="W199" s="0">
        <f>IOS!T199</f>
        <v>0.75</v>
      </c>
    </row>
    <row r="200" spans="21:23">
      <c r="U200" s="0">
        <v>198</v>
      </c>
      <c r="V200" s="0">
        <f>And!T200</f>
        <v>0.746913580246914</v>
      </c>
      <c r="W200" s="0">
        <f>IOS!T200</f>
        <v>0.76</v>
      </c>
    </row>
    <row r="201" spans="21:23">
      <c r="U201" s="0">
        <v>199</v>
      </c>
      <c r="V201" s="0">
        <f>And!T201</f>
        <v>0.679012345679012</v>
      </c>
      <c r="W201" s="0">
        <f>IOS!T201</f>
        <v>0.63013698630137</v>
      </c>
    </row>
    <row r="202" spans="21:23">
      <c r="U202" s="0">
        <v>200</v>
      </c>
      <c r="V202" s="0">
        <f>And!T202</f>
        <v>0.93125</v>
      </c>
      <c r="W202" s="0">
        <f>IOS!T202</f>
        <v>0.847222222222222</v>
      </c>
    </row>
    <row r="203" spans="21:23">
      <c r="U203" s="0">
        <v>201</v>
      </c>
      <c r="V203" s="0">
        <f>And!T203</f>
        <v>0.503184713375796</v>
      </c>
      <c r="W203" s="0">
        <f>IOS!T203</f>
        <v>0.507042253521127</v>
      </c>
    </row>
    <row r="204" spans="21:23">
      <c r="U204" s="0">
        <v>202</v>
      </c>
      <c r="V204" s="0">
        <f>And!T204</f>
        <v>0.437908496732026</v>
      </c>
      <c r="W204" s="0">
        <f>IOS!T204</f>
        <v>0.470588235294118</v>
      </c>
    </row>
    <row r="205" spans="21:23">
      <c r="U205" s="0">
        <v>203</v>
      </c>
      <c r="V205" s="0">
        <f>And!T205</f>
        <v>0.881944444444444</v>
      </c>
      <c r="W205" s="0">
        <f>IOS!T205</f>
        <v>0.746031746031746</v>
      </c>
    </row>
    <row r="206" spans="21:23">
      <c r="U206" s="0">
        <v>204</v>
      </c>
      <c r="V206" s="0">
        <f>And!T206</f>
        <v>0.710344827586207</v>
      </c>
      <c r="W206" s="0">
        <f>IOS!T206</f>
        <v>0.603174603174603</v>
      </c>
    </row>
    <row r="207" spans="21:23">
      <c r="U207" s="0">
        <v>205</v>
      </c>
      <c r="V207" s="0">
        <f>And!T207</f>
        <v>0.538461538461538</v>
      </c>
      <c r="W207" s="0">
        <f>IOS!T207</f>
        <v>0.53125</v>
      </c>
    </row>
    <row r="208" spans="21:23">
      <c r="U208" s="0">
        <v>206</v>
      </c>
      <c r="V208" s="0">
        <f>And!T208</f>
        <v>0.556338028169014</v>
      </c>
      <c r="W208" s="0">
        <f>IOS!T208</f>
        <v>0.578125</v>
      </c>
    </row>
    <row r="209" spans="21:23">
      <c r="U209" s="0">
        <v>207</v>
      </c>
      <c r="V209" s="0">
        <f>And!T209</f>
        <v>0.76027397260274</v>
      </c>
      <c r="W209" s="0">
        <f>IOS!T209</f>
        <v>0.672131147540984</v>
      </c>
    </row>
    <row r="210" spans="21:23">
      <c r="U210" s="0">
        <v>208</v>
      </c>
      <c r="V210" s="0">
        <f>And!T210</f>
        <v>0.768707482993197</v>
      </c>
      <c r="W210" s="0">
        <f>IOS!T210</f>
        <v>0.779661016949153</v>
      </c>
    </row>
    <row r="211" spans="21:23">
      <c r="U211" s="0">
        <v>209</v>
      </c>
      <c r="V211" s="0">
        <f>And!T211</f>
        <v>0.71830985915493</v>
      </c>
      <c r="W211" s="0">
        <f>IOS!T211</f>
        <v>0.633333333333333</v>
      </c>
    </row>
    <row r="212" spans="21:23">
      <c r="U212" s="0">
        <v>210</v>
      </c>
      <c r="V212" s="0">
        <f>And!T212</f>
        <v>0.676056338028169</v>
      </c>
      <c r="W212" s="0">
        <f>IOS!T212</f>
        <v>0.596774193548387</v>
      </c>
    </row>
    <row r="213" spans="21:23">
      <c r="U213" s="0">
        <v>211</v>
      </c>
      <c r="V213" s="0">
        <f>And!T213</f>
        <v>0.822222222222222</v>
      </c>
      <c r="W213" s="0">
        <f>IOS!T213</f>
        <v>0.734375</v>
      </c>
    </row>
    <row r="214" spans="21:23">
      <c r="U214" s="0">
        <v>212</v>
      </c>
      <c r="V214" s="0">
        <f>And!T214</f>
        <v>0.746478873239437</v>
      </c>
      <c r="W214" s="0">
        <f>IOS!T214</f>
        <v>0.698412698412698</v>
      </c>
    </row>
    <row r="215" spans="21:23">
      <c r="U215" s="0">
        <v>213</v>
      </c>
      <c r="V215" s="0">
        <f>And!T215</f>
        <v>0.780141843971631</v>
      </c>
      <c r="W215" s="0">
        <f>IOS!T215</f>
        <v>0.789473684210526</v>
      </c>
    </row>
    <row r="216" spans="21:23">
      <c r="U216" s="0">
        <v>214</v>
      </c>
      <c r="V216" s="0">
        <f>And!T216</f>
        <v>0.83448275862069</v>
      </c>
      <c r="W216" s="0">
        <f>IOS!T216</f>
        <v>0.781818181818182</v>
      </c>
    </row>
    <row r="217" spans="21:23">
      <c r="U217" s="0">
        <v>215</v>
      </c>
      <c r="V217" s="0">
        <f>And!T217</f>
        <v>0.878378378378378</v>
      </c>
      <c r="W217" s="0">
        <f>IOS!T217</f>
        <v>0.741379310344828</v>
      </c>
    </row>
    <row r="218" spans="21:23">
      <c r="U218" s="0">
        <v>216</v>
      </c>
      <c r="V218" s="0">
        <f>And!T218</f>
        <v>0.6875</v>
      </c>
      <c r="W218" s="0">
        <f>IOS!T218</f>
        <v>0.701754385964912</v>
      </c>
    </row>
    <row r="219" spans="21:23">
      <c r="U219" s="0">
        <v>217</v>
      </c>
      <c r="V219" s="0">
        <f>And!T219</f>
        <v>0.820143884892086</v>
      </c>
      <c r="W219" s="0">
        <f>IOS!T219</f>
        <v>0.763636363636364</v>
      </c>
    </row>
    <row r="220" spans="21:23">
      <c r="U220" s="0">
        <v>218</v>
      </c>
      <c r="V220" s="0">
        <f>And!T220</f>
        <v>0.816176470588235</v>
      </c>
      <c r="W220" s="0">
        <f>IOS!T220</f>
        <v>0.823529411764706</v>
      </c>
    </row>
    <row r="221" spans="21:23">
      <c r="U221" s="0">
        <v>219</v>
      </c>
      <c r="V221" s="0">
        <f>And!T221</f>
        <v>0.532846715328467</v>
      </c>
      <c r="W221" s="0">
        <f>IOS!T221</f>
        <v>0.574074074074074</v>
      </c>
    </row>
    <row r="222" spans="21:23">
      <c r="U222" s="0">
        <v>220</v>
      </c>
      <c r="V222" s="0">
        <f>And!T222</f>
        <v>0.798507462686567</v>
      </c>
      <c r="W222" s="0">
        <f>IOS!T222</f>
        <v>0.769230769230769</v>
      </c>
    </row>
    <row r="223" spans="21:23">
      <c r="U223" s="0">
        <v>221</v>
      </c>
      <c r="V223" s="0">
        <f>And!T223</f>
        <v>0.732824427480916</v>
      </c>
      <c r="W223" s="0">
        <f>IOS!T223</f>
        <v>0.745098039215686</v>
      </c>
    </row>
    <row r="224" spans="21:23">
      <c r="U224" s="0">
        <v>222</v>
      </c>
      <c r="V224" s="0">
        <f>And!T224</f>
        <v>0.954198473282443</v>
      </c>
      <c r="W224" s="0">
        <f>IOS!T224</f>
        <v>0.886792452830189</v>
      </c>
    </row>
    <row r="225" spans="21:23">
      <c r="U225" s="0">
        <v>223</v>
      </c>
      <c r="V225" s="0">
        <f>And!T225</f>
        <v>0.916030534351145</v>
      </c>
      <c r="W225" s="0">
        <f>IOS!T225</f>
        <v>0.8</v>
      </c>
    </row>
    <row r="226" spans="21:23">
      <c r="U226" s="0">
        <v>224</v>
      </c>
      <c r="V226" s="0">
        <f>And!T226</f>
        <v>0.732824427480916</v>
      </c>
      <c r="W226" s="0">
        <f>IOS!T226</f>
        <v>0.74</v>
      </c>
    </row>
    <row r="227" spans="21:23">
      <c r="U227" s="0">
        <v>225</v>
      </c>
      <c r="V227" s="0">
        <f>And!T227</f>
        <v>0.953846153846154</v>
      </c>
      <c r="W227" s="0">
        <f>IOS!T227</f>
        <v>0.936170212765958</v>
      </c>
    </row>
    <row r="228" spans="21:23">
      <c r="U228" s="0">
        <v>226</v>
      </c>
      <c r="V228" s="0">
        <f>And!T228</f>
        <v>0.825396825396825</v>
      </c>
      <c r="W228" s="0">
        <f>IOS!T228</f>
        <v>0.75</v>
      </c>
    </row>
    <row r="229" spans="21:23">
      <c r="U229" s="0">
        <v>227</v>
      </c>
      <c r="V229" s="0">
        <f>And!T229</f>
        <v>0.67479674796748</v>
      </c>
      <c r="W229" s="0">
        <f>IOS!T229</f>
        <v>0.6875</v>
      </c>
    </row>
    <row r="230" spans="21:23">
      <c r="U230" s="0">
        <v>228</v>
      </c>
      <c r="V230" s="0">
        <f>And!T230</f>
        <v>0.504</v>
      </c>
      <c r="W230" s="0">
        <f>IOS!T230</f>
        <v>0.480769230769231</v>
      </c>
    </row>
    <row r="231" spans="21:23">
      <c r="U231" s="0">
        <v>229</v>
      </c>
      <c r="V231" s="0">
        <f>And!T231</f>
        <v>0.744</v>
      </c>
      <c r="W231" s="0">
        <f>IOS!T231</f>
        <v>0.725490196078431</v>
      </c>
    </row>
    <row r="232" spans="21:23">
      <c r="U232" s="0">
        <v>230</v>
      </c>
      <c r="V232" s="0">
        <f>And!T232</f>
        <v>0.873015873015873</v>
      </c>
      <c r="W232" s="0">
        <f>IOS!T232</f>
        <v>0.792452830188679</v>
      </c>
    </row>
    <row r="233" spans="21:23">
      <c r="U233" s="0">
        <v>231</v>
      </c>
      <c r="V233" s="0">
        <f>And!T233</f>
        <v>0.960629921259843</v>
      </c>
      <c r="W233" s="0">
        <f>IOS!T233</f>
        <v>0.846153846153846</v>
      </c>
    </row>
    <row r="234" spans="21:23">
      <c r="U234" s="0">
        <v>232</v>
      </c>
      <c r="V234" s="0">
        <f>And!T234</f>
        <v>0.813953488372093</v>
      </c>
      <c r="W234" s="0">
        <f>IOS!T234</f>
        <v>0.666666666666667</v>
      </c>
    </row>
    <row r="235" spans="21:23">
      <c r="U235" s="0">
        <v>233</v>
      </c>
      <c r="V235" s="0">
        <f>And!T235</f>
        <v>0.804878048780488</v>
      </c>
      <c r="W235" s="0">
        <f>IOS!T235</f>
        <v>0.759259259259259</v>
      </c>
    </row>
    <row r="236" spans="21:23">
      <c r="U236" s="0">
        <v>234</v>
      </c>
      <c r="V236" s="0">
        <f>And!T236</f>
        <v>0.696</v>
      </c>
      <c r="W236" s="0">
        <f>IOS!T236</f>
        <v>0.625</v>
      </c>
    </row>
    <row r="237" spans="21:23">
      <c r="U237" s="0">
        <v>235</v>
      </c>
      <c r="V237" s="0">
        <f>And!T237</f>
        <v>0.496062992125984</v>
      </c>
      <c r="W237" s="0">
        <f>IOS!T237</f>
        <v>0.553571428571429</v>
      </c>
    </row>
    <row r="238" spans="21:23">
      <c r="U238" s="0">
        <v>236</v>
      </c>
      <c r="V238" s="0">
        <f>And!T238</f>
        <v>0.916666666666667</v>
      </c>
      <c r="W238" s="0">
        <f>IOS!T238</f>
        <v>0.754385964912281</v>
      </c>
    </row>
    <row r="239" spans="21:23">
      <c r="U239" s="0">
        <v>237</v>
      </c>
      <c r="V239" s="0">
        <f>And!T239</f>
        <v>0.75609756097561</v>
      </c>
      <c r="W239" s="0">
        <f>IOS!T239</f>
        <v>0.785714285714286</v>
      </c>
    </row>
    <row r="240" spans="21:23">
      <c r="U240" s="0">
        <v>238</v>
      </c>
      <c r="V240" s="0">
        <f>And!T240</f>
        <v>0.886178861788618</v>
      </c>
      <c r="W240" s="0">
        <f>IOS!T240</f>
        <v>0.851851851851852</v>
      </c>
    </row>
    <row r="241" spans="21:23">
      <c r="U241" s="0">
        <v>239</v>
      </c>
      <c r="V241" s="0">
        <f>And!T241</f>
        <v>0.82258064516129</v>
      </c>
      <c r="W241" s="0">
        <f>IOS!T241</f>
        <v>0.807692307692308</v>
      </c>
    </row>
    <row r="242" spans="21:23">
      <c r="U242" s="0">
        <v>240</v>
      </c>
      <c r="V242" s="0">
        <f>And!T242</f>
        <v>0.693548387096774</v>
      </c>
      <c r="W242" s="0">
        <f>IOS!T242</f>
        <v>0.784313725490196</v>
      </c>
    </row>
    <row r="243" spans="21:23">
      <c r="U243" s="0">
        <v>241</v>
      </c>
      <c r="V243" s="0">
        <f>And!T243</f>
        <v>0.8515625</v>
      </c>
      <c r="W243" s="0">
        <f>IOS!T243</f>
        <v>0.914893617021277</v>
      </c>
    </row>
    <row r="244" spans="21:23">
      <c r="U244" s="0">
        <v>242</v>
      </c>
      <c r="V244" s="0">
        <f>And!T244</f>
        <v>0.755905511811024</v>
      </c>
      <c r="W244" s="0">
        <f>IOS!T244</f>
        <v>0.765957446808511</v>
      </c>
    </row>
    <row r="245" spans="21:23">
      <c r="U245" s="0">
        <v>243</v>
      </c>
      <c r="V245" s="0">
        <f>And!T245</f>
        <v>1.04347826086957</v>
      </c>
      <c r="W245" s="0">
        <f>IOS!T245</f>
        <v>1.12765957446809</v>
      </c>
    </row>
    <row r="246" spans="21:23">
      <c r="U246" s="0">
        <v>244</v>
      </c>
      <c r="V246" s="0">
        <f>And!T246</f>
        <v>0.623931623931624</v>
      </c>
      <c r="W246" s="0">
        <f>IOS!T246</f>
        <v>0.75</v>
      </c>
    </row>
    <row r="247" spans="21:23">
      <c r="U247" s="0">
        <v>245</v>
      </c>
      <c r="V247" s="0">
        <f>And!T247</f>
        <v>0.790909090909091</v>
      </c>
      <c r="W247" s="0">
        <f>IOS!T247</f>
        <v>0.933333333333333</v>
      </c>
    </row>
    <row r="248" spans="21:23">
      <c r="U248" s="0">
        <v>246</v>
      </c>
      <c r="V248" s="0">
        <f>And!T248</f>
        <v>0.68141592920354</v>
      </c>
      <c r="W248" s="0">
        <f>IOS!T248</f>
        <v>0.75</v>
      </c>
    </row>
    <row r="249" spans="21:23">
      <c r="U249" s="0">
        <v>247</v>
      </c>
      <c r="V249" s="0">
        <f>And!T249</f>
        <v>0.678571428571429</v>
      </c>
      <c r="W249" s="0">
        <f>IOS!T249</f>
        <v>0.770833333333333</v>
      </c>
    </row>
    <row r="250" spans="21:23">
      <c r="U250" s="0">
        <v>248</v>
      </c>
      <c r="V250" s="0">
        <f>And!T250</f>
        <v>0.765765765765766</v>
      </c>
      <c r="W250" s="0">
        <f>IOS!T250</f>
        <v>0.933333333333333</v>
      </c>
    </row>
    <row r="251" spans="21:23">
      <c r="U251" s="0">
        <v>249</v>
      </c>
      <c r="V251" s="0">
        <f>And!T251</f>
        <v>0.684684684684685</v>
      </c>
      <c r="W251" s="0">
        <f>IOS!T251</f>
        <v>0.777777777777778</v>
      </c>
    </row>
    <row r="252" spans="21:23">
      <c r="U252" s="0">
        <v>250</v>
      </c>
      <c r="V252" s="0">
        <f>And!T252</f>
        <v>0.72972972972973</v>
      </c>
      <c r="W252" s="0">
        <f>IOS!T252</f>
        <v>0.840909090909091</v>
      </c>
    </row>
    <row r="1001" spans="21:21">
      <c r="U1001" s="0">
        <v>999</v>
      </c>
    </row>
    <row r="1002" spans="21:21">
      <c r="U1002" s="0">
        <v>1000</v>
      </c>
    </row>
    <row r="1003" spans="21:21">
      <c r="U1003" s="0">
        <v>1001</v>
      </c>
    </row>
    <row r="1004" spans="21:21">
      <c r="U1004" s="0">
        <v>1002</v>
      </c>
    </row>
    <row r="1005" spans="21:21">
      <c r="U1005" s="0">
        <v>1003</v>
      </c>
    </row>
    <row r="1006" spans="21:21">
      <c r="U1006" s="0">
        <v>1004</v>
      </c>
    </row>
    <row r="1007" spans="21:21">
      <c r="U1007" s="0">
        <v>1005</v>
      </c>
    </row>
    <row r="1008" spans="21:21">
      <c r="U1008" s="0">
        <v>1006</v>
      </c>
    </row>
    <row r="1009" spans="21:21">
      <c r="U1009" s="0">
        <v>1007</v>
      </c>
    </row>
    <row r="1010" spans="21:21">
      <c r="U1010" s="0">
        <v>1008</v>
      </c>
    </row>
    <row r="1011" spans="21:21">
      <c r="U1011" s="0">
        <v>1009</v>
      </c>
    </row>
    <row r="1012" spans="21:21">
      <c r="U1012" s="0">
        <v>1010</v>
      </c>
    </row>
    <row r="1013" spans="21:21">
      <c r="U1013" s="0">
        <v>1011</v>
      </c>
    </row>
    <row r="1014" spans="21:21">
      <c r="U1014" s="0">
        <v>1012</v>
      </c>
    </row>
    <row r="1015" spans="21:21">
      <c r="U1015" s="0">
        <v>1013</v>
      </c>
    </row>
    <row r="1016" spans="21:21">
      <c r="U1016" s="0">
        <v>1014</v>
      </c>
    </row>
    <row r="1017" spans="21:21">
      <c r="U1017" s="0">
        <v>1015</v>
      </c>
    </row>
    <row r="1018" spans="21:21">
      <c r="U1018" s="0">
        <v>1016</v>
      </c>
    </row>
    <row r="1019" spans="21:21">
      <c r="U1019" s="0">
        <v>1017</v>
      </c>
    </row>
    <row r="1020" spans="21:21">
      <c r="U1020" s="0">
        <v>1018</v>
      </c>
    </row>
    <row r="1021" spans="21:21">
      <c r="U1021" s="0">
        <v>1019</v>
      </c>
    </row>
    <row r="1022" spans="21:21">
      <c r="U1022" s="0">
        <v>1020</v>
      </c>
    </row>
    <row r="1023" spans="21:21">
      <c r="U1023" s="0">
        <v>1021</v>
      </c>
    </row>
    <row r="1024" spans="21:21">
      <c r="U1024" s="0">
        <v>1022</v>
      </c>
    </row>
    <row r="1025" spans="21:21">
      <c r="U1025" s="0">
        <v>1023</v>
      </c>
    </row>
    <row r="1026" spans="21:21">
      <c r="U1026" s="0">
        <v>1024</v>
      </c>
    </row>
    <row r="1027" spans="21:21">
      <c r="U1027" s="0">
        <v>1025</v>
      </c>
    </row>
    <row r="1028" spans="21:21">
      <c r="U1028" s="0">
        <v>1026</v>
      </c>
    </row>
    <row r="1029" spans="21:21">
      <c r="U1029" s="0">
        <v>1027</v>
      </c>
    </row>
    <row r="1030" spans="21:21">
      <c r="U1030" s="0">
        <v>1028</v>
      </c>
    </row>
    <row r="1031" spans="21:21">
      <c r="U1031" s="0">
        <v>1029</v>
      </c>
    </row>
    <row r="1032" spans="21:21">
      <c r="U1032" s="0">
        <v>1030</v>
      </c>
    </row>
    <row r="1033" spans="21:21">
      <c r="U1033" s="0">
        <v>1031</v>
      </c>
    </row>
    <row r="1034" spans="21:21">
      <c r="U1034" s="0">
        <v>1032</v>
      </c>
    </row>
    <row r="1035" spans="21:21">
      <c r="U1035" s="0">
        <v>1033</v>
      </c>
    </row>
    <row r="1036" spans="21:21">
      <c r="U1036" s="0">
        <v>1034</v>
      </c>
    </row>
    <row r="1037" spans="21:21">
      <c r="U1037" s="0">
        <v>1035</v>
      </c>
    </row>
    <row r="1038" spans="21:21">
      <c r="U1038" s="0">
        <v>1036</v>
      </c>
    </row>
    <row r="1039" spans="21:21">
      <c r="U1039" s="0">
        <v>1037</v>
      </c>
    </row>
    <row r="1040" spans="21:21">
      <c r="U1040" s="0">
        <v>1038</v>
      </c>
    </row>
    <row r="1041" spans="21:21">
      <c r="U1041" s="0">
        <v>1039</v>
      </c>
    </row>
    <row r="1042" spans="21:21">
      <c r="U1042" s="0">
        <v>1040</v>
      </c>
    </row>
    <row r="1043" spans="21:21">
      <c r="U1043" s="0">
        <v>1041</v>
      </c>
    </row>
    <row r="1044" spans="21:21">
      <c r="U1044" s="0">
        <v>1042</v>
      </c>
    </row>
    <row r="1045" spans="21:21">
      <c r="U1045" s="0">
        <v>1043</v>
      </c>
    </row>
    <row r="1046" spans="21:21">
      <c r="U1046" s="0">
        <v>1044</v>
      </c>
    </row>
    <row r="1047" spans="21:21">
      <c r="U1047" s="0">
        <v>1045</v>
      </c>
    </row>
    <row r="1048" spans="21:21">
      <c r="U1048" s="0">
        <v>1046</v>
      </c>
    </row>
    <row r="1049" spans="21:21">
      <c r="U1049" s="0">
        <v>1047</v>
      </c>
    </row>
    <row r="1050" spans="21:21">
      <c r="U1050" s="0">
        <v>1048</v>
      </c>
    </row>
    <row r="1051" spans="21:21">
      <c r="U1051" s="0">
        <v>1049</v>
      </c>
    </row>
    <row r="1052" spans="21:21">
      <c r="U1052" s="0">
        <v>1050</v>
      </c>
    </row>
    <row r="1053" spans="21:21">
      <c r="U1053" s="0">
        <v>1051</v>
      </c>
    </row>
    <row r="1054" spans="21:21">
      <c r="U1054" s="0">
        <v>1052</v>
      </c>
    </row>
    <row r="1055" spans="21:21">
      <c r="U1055" s="0">
        <v>1053</v>
      </c>
    </row>
    <row r="1056" spans="21:21">
      <c r="U1056" s="0">
        <v>1054</v>
      </c>
    </row>
    <row r="1057" spans="21:21">
      <c r="U1057" s="0">
        <v>1055</v>
      </c>
    </row>
    <row r="1058" spans="21:21">
      <c r="U1058" s="0">
        <v>1056</v>
      </c>
    </row>
    <row r="1059" spans="21:21">
      <c r="U1059" s="0">
        <v>1057</v>
      </c>
    </row>
    <row r="1060" spans="21:21">
      <c r="U1060" s="0">
        <v>1058</v>
      </c>
    </row>
    <row r="1061" spans="21:21">
      <c r="U1061" s="0">
        <v>1059</v>
      </c>
    </row>
    <row r="1062" spans="21:21">
      <c r="U1062" s="0">
        <v>1060</v>
      </c>
    </row>
    <row r="1063" spans="21:21">
      <c r="U1063" s="0">
        <v>1061</v>
      </c>
    </row>
    <row r="1064" spans="21:21">
      <c r="U1064" s="0">
        <v>1062</v>
      </c>
    </row>
    <row r="1065" spans="21:21">
      <c r="U1065" s="0">
        <v>1063</v>
      </c>
    </row>
    <row r="1066" spans="21:21">
      <c r="U1066" s="0">
        <v>1064</v>
      </c>
    </row>
    <row r="1067" spans="21:21">
      <c r="U1067" s="0">
        <v>1065</v>
      </c>
    </row>
    <row r="1068" spans="21:21">
      <c r="U1068" s="0">
        <v>1066</v>
      </c>
    </row>
    <row r="1069" spans="21:21">
      <c r="U1069" s="0">
        <v>1067</v>
      </c>
    </row>
    <row r="1070" spans="21:21">
      <c r="U1070" s="0">
        <v>1068</v>
      </c>
    </row>
    <row r="1071" spans="21:21">
      <c r="U1071" s="0">
        <v>1069</v>
      </c>
    </row>
    <row r="1072" spans="21:21">
      <c r="U1072" s="0">
        <v>1070</v>
      </c>
    </row>
    <row r="1073" spans="21:21">
      <c r="U1073" s="0">
        <v>1071</v>
      </c>
    </row>
    <row r="1074" spans="21:21">
      <c r="U1074" s="0">
        <v>1072</v>
      </c>
    </row>
    <row r="1075" spans="21:21">
      <c r="U1075" s="0">
        <v>1073</v>
      </c>
    </row>
    <row r="1076" spans="21:21">
      <c r="U1076" s="0">
        <v>1074</v>
      </c>
    </row>
    <row r="1077" spans="21:21">
      <c r="U1077" s="0">
        <v>1075</v>
      </c>
    </row>
    <row r="1078" spans="21:21">
      <c r="U1078" s="0">
        <v>1076</v>
      </c>
    </row>
    <row r="1079" spans="21:21">
      <c r="U1079" s="0">
        <v>1077</v>
      </c>
    </row>
    <row r="1080" spans="21:21">
      <c r="U1080" s="0">
        <v>1078</v>
      </c>
    </row>
    <row r="1081" spans="21:21">
      <c r="U1081" s="0">
        <v>1079</v>
      </c>
    </row>
    <row r="1082" spans="21:21">
      <c r="U1082" s="0">
        <v>1080</v>
      </c>
    </row>
    <row r="1083" spans="21:21">
      <c r="U1083" s="0">
        <v>1081</v>
      </c>
    </row>
    <row r="1084" spans="21:21">
      <c r="U1084" s="0">
        <v>1082</v>
      </c>
    </row>
    <row r="1085" spans="21:21">
      <c r="U1085" s="0">
        <v>1083</v>
      </c>
    </row>
    <row r="1086" spans="21:21">
      <c r="U1086" s="0">
        <v>1084</v>
      </c>
    </row>
    <row r="1087" spans="21:21">
      <c r="U1087" s="0">
        <v>1085</v>
      </c>
    </row>
    <row r="1088" spans="21:21">
      <c r="U1088" s="0">
        <v>1086</v>
      </c>
    </row>
    <row r="1089" spans="21:21">
      <c r="U1089" s="0">
        <v>1087</v>
      </c>
    </row>
    <row r="1090" spans="21:21">
      <c r="U1090" s="0">
        <v>1088</v>
      </c>
    </row>
    <row r="1091" spans="21:21">
      <c r="U1091" s="0">
        <v>1089</v>
      </c>
    </row>
    <row r="1092" spans="21:21">
      <c r="U1092" s="0">
        <v>1090</v>
      </c>
    </row>
    <row r="1093" spans="21:21">
      <c r="U1093" s="0">
        <v>1091</v>
      </c>
    </row>
    <row r="1094" spans="21:21">
      <c r="U1094" s="0">
        <v>1092</v>
      </c>
    </row>
    <row r="1095" spans="21:21">
      <c r="U1095" s="0">
        <v>1093</v>
      </c>
    </row>
    <row r="1096" spans="21:21">
      <c r="U1096" s="0">
        <v>1094</v>
      </c>
    </row>
    <row r="1097" spans="21:21">
      <c r="U1097" s="0">
        <v>1095</v>
      </c>
    </row>
    <row r="1098" spans="21:21">
      <c r="U1098" s="0">
        <v>1096</v>
      </c>
    </row>
    <row r="1099" spans="21:21">
      <c r="U1099" s="0">
        <v>1097</v>
      </c>
    </row>
    <row r="1100" spans="21:21">
      <c r="U1100" s="0">
        <v>1098</v>
      </c>
    </row>
    <row r="1101" spans="21:21">
      <c r="U1101" s="0">
        <v>1099</v>
      </c>
    </row>
    <row r="1102" spans="21:21">
      <c r="U1102" s="0">
        <v>1100</v>
      </c>
    </row>
    <row r="1103" spans="21:21">
      <c r="U1103" s="0">
        <v>1101</v>
      </c>
    </row>
    <row r="1104" spans="21:21">
      <c r="U1104" s="0">
        <v>1102</v>
      </c>
    </row>
    <row r="1105" spans="21:21">
      <c r="U1105" s="0">
        <v>1103</v>
      </c>
    </row>
    <row r="1106" spans="21:21">
      <c r="U1106" s="0">
        <v>1104</v>
      </c>
    </row>
    <row r="1107" spans="21:21">
      <c r="U1107" s="0">
        <v>1105</v>
      </c>
    </row>
    <row r="1108" spans="21:21">
      <c r="U1108" s="0">
        <v>1106</v>
      </c>
    </row>
    <row r="1109" spans="21:21">
      <c r="U1109" s="0">
        <v>1107</v>
      </c>
    </row>
    <row r="1110" spans="21:21">
      <c r="U1110" s="0">
        <v>1108</v>
      </c>
    </row>
    <row r="1111" spans="21:21">
      <c r="U1111" s="0">
        <v>1109</v>
      </c>
    </row>
    <row r="1112" spans="21:21">
      <c r="U1112" s="0">
        <v>1110</v>
      </c>
    </row>
    <row r="1113" spans="21:21">
      <c r="U1113" s="0">
        <v>1111</v>
      </c>
    </row>
    <row r="1114" spans="21:21">
      <c r="U1114" s="0">
        <v>1112</v>
      </c>
    </row>
    <row r="1115" spans="21:21">
      <c r="U1115" s="0">
        <v>1113</v>
      </c>
    </row>
    <row r="1116" spans="21:21">
      <c r="U1116" s="0">
        <v>1114</v>
      </c>
    </row>
    <row r="1117" spans="21:21">
      <c r="U1117" s="0">
        <v>1115</v>
      </c>
    </row>
    <row r="1118" spans="21:21">
      <c r="U1118" s="0">
        <v>1116</v>
      </c>
    </row>
    <row r="1119" spans="21:21">
      <c r="U1119" s="0">
        <v>1117</v>
      </c>
    </row>
    <row r="1120" spans="21:21">
      <c r="U1120" s="0">
        <v>1118</v>
      </c>
    </row>
    <row r="1121" spans="21:21">
      <c r="U1121" s="0">
        <v>1119</v>
      </c>
    </row>
    <row r="1122" spans="21:21">
      <c r="U1122" s="0">
        <v>1120</v>
      </c>
    </row>
    <row r="1123" spans="21:21">
      <c r="U1123" s="0">
        <v>1121</v>
      </c>
    </row>
    <row r="1124" spans="21:21">
      <c r="U1124" s="0">
        <v>1122</v>
      </c>
    </row>
    <row r="1125" spans="21:21">
      <c r="U1125" s="0">
        <v>1123</v>
      </c>
    </row>
    <row r="1126" spans="21:21">
      <c r="U1126" s="0">
        <v>1124</v>
      </c>
    </row>
    <row r="1127" spans="21:21">
      <c r="U1127" s="0">
        <v>1125</v>
      </c>
    </row>
    <row r="1128" spans="21:21">
      <c r="U1128" s="0">
        <v>1126</v>
      </c>
    </row>
    <row r="1129" spans="21:21">
      <c r="U1129" s="0">
        <v>1127</v>
      </c>
    </row>
    <row r="1130" spans="21:21">
      <c r="U1130" s="0">
        <v>1128</v>
      </c>
    </row>
    <row r="1131" spans="21:21">
      <c r="U1131" s="0">
        <v>1129</v>
      </c>
    </row>
    <row r="1132" spans="21:21">
      <c r="U1132" s="0">
        <v>1130</v>
      </c>
    </row>
    <row r="1133" spans="21:21">
      <c r="U1133" s="0">
        <v>1131</v>
      </c>
    </row>
    <row r="1134" spans="21:21">
      <c r="U1134" s="0">
        <v>1132</v>
      </c>
    </row>
    <row r="1135" spans="21:21">
      <c r="U1135" s="0">
        <v>1133</v>
      </c>
    </row>
    <row r="1136" spans="21:21">
      <c r="U1136" s="0">
        <v>1134</v>
      </c>
    </row>
    <row r="1137" spans="21:21">
      <c r="U1137" s="0">
        <v>1135</v>
      </c>
    </row>
    <row r="1138" spans="21:21">
      <c r="U1138" s="0">
        <v>1136</v>
      </c>
    </row>
    <row r="1139" spans="21:21">
      <c r="U1139" s="0">
        <v>1137</v>
      </c>
    </row>
    <row r="1140" spans="21:21">
      <c r="U1140" s="0">
        <v>1138</v>
      </c>
    </row>
    <row r="1141" spans="21:21">
      <c r="U1141" s="0">
        <v>1139</v>
      </c>
    </row>
    <row r="1142" spans="21:21">
      <c r="U1142" s="0">
        <v>1140</v>
      </c>
    </row>
    <row r="1143" spans="21:21">
      <c r="U1143" s="0">
        <v>1141</v>
      </c>
    </row>
    <row r="1144" spans="21:21">
      <c r="U1144" s="0">
        <v>1142</v>
      </c>
    </row>
    <row r="1145" spans="21:21">
      <c r="U1145" s="0">
        <v>1143</v>
      </c>
    </row>
    <row r="1146" spans="21:21">
      <c r="U1146" s="0">
        <v>1144</v>
      </c>
    </row>
    <row r="1147" spans="21:21">
      <c r="U1147" s="0">
        <v>1145</v>
      </c>
    </row>
    <row r="1148" spans="21:21">
      <c r="U1148" s="0">
        <v>1146</v>
      </c>
    </row>
    <row r="1149" spans="21:21">
      <c r="U1149" s="0">
        <v>1147</v>
      </c>
    </row>
    <row r="1150" spans="21:21">
      <c r="U1150" s="0">
        <v>1148</v>
      </c>
    </row>
    <row r="1151" spans="21:21">
      <c r="U1151" s="0">
        <v>1149</v>
      </c>
    </row>
    <row r="1152" spans="21:21">
      <c r="U1152" s="0">
        <v>1150</v>
      </c>
    </row>
    <row r="1153" spans="21:21">
      <c r="U1153" s="0">
        <v>1151</v>
      </c>
    </row>
    <row r="1154" spans="21:21">
      <c r="U1154" s="0">
        <v>1152</v>
      </c>
    </row>
    <row r="1155" spans="21:21">
      <c r="U1155" s="0">
        <v>1153</v>
      </c>
    </row>
    <row r="1156" spans="21:21">
      <c r="U1156" s="0">
        <v>1154</v>
      </c>
    </row>
    <row r="1157" spans="21:21">
      <c r="U1157" s="0">
        <v>1155</v>
      </c>
    </row>
    <row r="1158" spans="21:21">
      <c r="U1158" s="0">
        <v>1156</v>
      </c>
    </row>
    <row r="1159" spans="21:21">
      <c r="U1159" s="0">
        <v>1157</v>
      </c>
    </row>
    <row r="1160" spans="21:21">
      <c r="U1160" s="0">
        <v>1158</v>
      </c>
    </row>
    <row r="1161" spans="21:21">
      <c r="U1161" s="0">
        <v>1159</v>
      </c>
    </row>
    <row r="1162" spans="21:21">
      <c r="U1162" s="0">
        <v>1160</v>
      </c>
    </row>
    <row r="1163" spans="21:21">
      <c r="U1163" s="0">
        <v>1161</v>
      </c>
    </row>
    <row r="1164" spans="21:21">
      <c r="U1164" s="0">
        <v>1162</v>
      </c>
    </row>
    <row r="1165" spans="21:21">
      <c r="U1165" s="0">
        <v>1163</v>
      </c>
    </row>
    <row r="1166" spans="21:21">
      <c r="U1166" s="0">
        <v>1164</v>
      </c>
    </row>
    <row r="1167" spans="21:21">
      <c r="U1167" s="0">
        <v>1165</v>
      </c>
    </row>
    <row r="1168" spans="21:21">
      <c r="U1168" s="0">
        <v>1166</v>
      </c>
    </row>
    <row r="1169" spans="21:21">
      <c r="U1169" s="0">
        <v>1167</v>
      </c>
    </row>
    <row r="1170" spans="21:21">
      <c r="U1170" s="0">
        <v>1168</v>
      </c>
    </row>
    <row r="1171" spans="21:21">
      <c r="U1171" s="0">
        <v>1169</v>
      </c>
    </row>
    <row r="1172" spans="21:21">
      <c r="U1172" s="0">
        <v>1170</v>
      </c>
    </row>
    <row r="1173" spans="21:21">
      <c r="U1173" s="0">
        <v>1171</v>
      </c>
    </row>
    <row r="1174" spans="21:21">
      <c r="U1174" s="0">
        <v>1172</v>
      </c>
    </row>
    <row r="1175" spans="21:21">
      <c r="U1175" s="0">
        <v>1173</v>
      </c>
    </row>
    <row r="1176" spans="21:21">
      <c r="U1176" s="0">
        <v>1174</v>
      </c>
    </row>
    <row r="1177" spans="21:21">
      <c r="U1177" s="0">
        <v>1175</v>
      </c>
    </row>
    <row r="1178" spans="21:21">
      <c r="U1178" s="0">
        <v>1176</v>
      </c>
    </row>
    <row r="1179" spans="21:21">
      <c r="U1179" s="0">
        <v>1177</v>
      </c>
    </row>
    <row r="1180" spans="21:21">
      <c r="U1180" s="0">
        <v>1178</v>
      </c>
    </row>
    <row r="1181" spans="21:21">
      <c r="U1181" s="0">
        <v>1179</v>
      </c>
    </row>
    <row r="1182" spans="21:21">
      <c r="U1182" s="0">
        <v>1180</v>
      </c>
    </row>
    <row r="1183" spans="21:21">
      <c r="U1183" s="0">
        <v>1181</v>
      </c>
    </row>
    <row r="1184" spans="21:21">
      <c r="U1184" s="0">
        <v>1182</v>
      </c>
    </row>
    <row r="1185" spans="21:21">
      <c r="U1185" s="0">
        <v>1183</v>
      </c>
    </row>
    <row r="1186" spans="21:21">
      <c r="U1186" s="0">
        <v>1184</v>
      </c>
    </row>
    <row r="1187" spans="21:21">
      <c r="U1187" s="0">
        <v>1185</v>
      </c>
    </row>
    <row r="1188" spans="21:21">
      <c r="U1188" s="0">
        <v>1186</v>
      </c>
    </row>
    <row r="1189" spans="21:21">
      <c r="U1189" s="0">
        <v>1187</v>
      </c>
    </row>
    <row r="1190" spans="21:21">
      <c r="U1190" s="0">
        <v>1188</v>
      </c>
    </row>
    <row r="1191" spans="21:21">
      <c r="U1191" s="0">
        <v>1189</v>
      </c>
    </row>
    <row r="1192" spans="21:21">
      <c r="U1192" s="0">
        <v>1190</v>
      </c>
    </row>
    <row r="1193" spans="21:21">
      <c r="U1193" s="0">
        <v>1191</v>
      </c>
    </row>
    <row r="1194" spans="21:21">
      <c r="U1194" s="0">
        <v>1192</v>
      </c>
    </row>
    <row r="1195" spans="21:21">
      <c r="U1195" s="0">
        <v>1193</v>
      </c>
    </row>
    <row r="1196" spans="21:21">
      <c r="U1196" s="0">
        <v>1194</v>
      </c>
    </row>
    <row r="1197" spans="21:21">
      <c r="U1197" s="0">
        <v>1195</v>
      </c>
    </row>
    <row r="1198" spans="21:21">
      <c r="U1198" s="0">
        <v>1196</v>
      </c>
    </row>
    <row r="1199" spans="21:21">
      <c r="U1199" s="0">
        <v>1197</v>
      </c>
    </row>
    <row r="1200" spans="21:21">
      <c r="U1200" s="0">
        <v>1198</v>
      </c>
    </row>
    <row r="1201" spans="21:21">
      <c r="U1201" s="0">
        <v>1199</v>
      </c>
    </row>
    <row r="1202" spans="21:21">
      <c r="U1202" s="0">
        <v>1200</v>
      </c>
    </row>
    <row r="1203" spans="21:21">
      <c r="U1203" s="0">
        <v>1201</v>
      </c>
    </row>
    <row r="1204" spans="21:21">
      <c r="U1204" s="0">
        <v>1202</v>
      </c>
    </row>
    <row r="1205" spans="21:21">
      <c r="U1205" s="0">
        <v>1203</v>
      </c>
    </row>
    <row r="1206" spans="21:21">
      <c r="U1206" s="0">
        <v>1204</v>
      </c>
    </row>
    <row r="1207" spans="21:21">
      <c r="U1207" s="0">
        <v>1205</v>
      </c>
    </row>
    <row r="1208" spans="21:21">
      <c r="U1208" s="0">
        <v>1206</v>
      </c>
    </row>
    <row r="1209" spans="21:21">
      <c r="U1209" s="0">
        <v>1207</v>
      </c>
    </row>
    <row r="1210" spans="21:21">
      <c r="U1210" s="0">
        <v>1208</v>
      </c>
    </row>
    <row r="1211" spans="21:21">
      <c r="U1211" s="0">
        <v>1209</v>
      </c>
    </row>
    <row r="1212" spans="21:21">
      <c r="U1212" s="0">
        <v>1210</v>
      </c>
    </row>
    <row r="1213" spans="21:21">
      <c r="U1213" s="0">
        <v>1211</v>
      </c>
    </row>
    <row r="1214" spans="21:21">
      <c r="U1214" s="0">
        <v>1212</v>
      </c>
    </row>
    <row r="1215" spans="21:21">
      <c r="U1215" s="0">
        <v>1213</v>
      </c>
    </row>
  </sheetData>
  <phoneticPr fontId="1" type="noConversion"/>
  <pageMargins left="0.75" right="0.75" top="1.00" bottom="1.00" header="0.50" footer="0.5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17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P3" sqref="P3"/>
    </sheetView>
  </sheetViews>
  <sheetFormatPr defaultColWidth="12.63000000" defaultRowHeight="15.750000" customHeight="1"/>
  <cols>
    <col min="1" max="1" style="168" width="8.43357120" customWidth="1" outlineLevel="0"/>
    <col min="7" max="11" style="148" width="12.57642828" customWidth="1" outlineLevel="0"/>
    <col min="12" max="12" style="168" width="16.00499998" customWidth="1" outlineLevel="0"/>
    <col min="13" max="13" style="168" width="17.43357168" customWidth="1" outlineLevel="0"/>
    <col min="14" max="15" style="168" width="17.14785658" customWidth="1" outlineLevel="0"/>
    <col min="16" max="17" style="168" width="15.57642828" customWidth="1" outlineLevel="0"/>
    <col min="18" max="22" style="168" width="17.14785658" customWidth="1" outlineLevel="0"/>
  </cols>
  <sheetData>
    <row r="1" spans="1:22" s="168" customFormat="1" ht="26.400000" customHeight="1">
      <c r="A1" s="32" t="s">
        <v>5</v>
      </c>
      <c r="B1" s="32" t="s">
        <v>6</v>
      </c>
      <c r="C1" s="32" t="s">
        <v>7</v>
      </c>
      <c r="D1" s="33" t="s">
        <v>8</v>
      </c>
      <c r="E1" s="33" t="s">
        <v>9</v>
      </c>
      <c r="F1" s="33"/>
      <c r="G1" s="149"/>
      <c r="H1" s="149"/>
      <c r="I1" s="149"/>
      <c r="J1" s="149"/>
      <c r="K1" s="149"/>
      <c r="L1" s="34" t="s">
        <v>7</v>
      </c>
      <c r="M1" s="35" t="s">
        <v>10</v>
      </c>
      <c r="N1" s="36">
        <f>SUM(N3:N302)</f>
        <v>5013.67999999999</v>
      </c>
      <c r="O1" s="37">
        <f>(N1/C3)/300</f>
        <v>0.00359249068501002</v>
      </c>
      <c r="P1" s="34"/>
      <c r="Q1" s="146">
        <f>AVERAGE(Q3:Q202)</f>
        <v>0.264188143804829</v>
      </c>
      <c r="R1" s="146">
        <f>AVERAGE(R3:R202)</f>
        <v>6.41288703685679</v>
      </c>
      <c r="S1" s="38">
        <f>AVERAGE(S3:S402)</f>
        <v>8.69878852444465</v>
      </c>
      <c r="T1" s="146">
        <f>AVERAGE(T13:T202)</f>
        <v>0.49682256449938</v>
      </c>
      <c r="U1" s="39">
        <f>AVERAGE(U3:U402)</f>
        <v>2208.58098259101</v>
      </c>
      <c r="V1" s="1">
        <f>AVERAGE(V3:V402)</f>
        <v>145738006.3</v>
      </c>
    </row>
    <row r="2" spans="1:22" s="168" customFormat="1" ht="22.500000" customHeight="1">
      <c r="A2" s="40" t="s">
        <v>0</v>
      </c>
      <c r="B2" s="40" t="s">
        <v>11</v>
      </c>
      <c r="C2" s="40" t="s">
        <v>11</v>
      </c>
      <c r="D2" s="40" t="s">
        <v>11</v>
      </c>
      <c r="E2" s="40" t="s">
        <v>11</v>
      </c>
      <c r="F2" s="41" t="s">
        <v>12</v>
      </c>
      <c r="G2" s="41" t="s">
        <v>13</v>
      </c>
      <c r="H2" s="41" t="s">
        <v>14</v>
      </c>
      <c r="I2" s="41" t="s">
        <v>15</v>
      </c>
      <c r="J2" s="41" t="s">
        <v>16</v>
      </c>
      <c r="K2" s="41" t="s">
        <v>17</v>
      </c>
      <c r="L2" s="40" t="s">
        <v>18</v>
      </c>
      <c r="M2" s="35" t="s">
        <v>10</v>
      </c>
      <c r="N2" s="43" t="s">
        <v>19</v>
      </c>
      <c r="O2" s="44" t="s">
        <v>20</v>
      </c>
      <c r="P2" s="45" t="s">
        <v>21</v>
      </c>
      <c r="Q2" s="45" t="s">
        <v>22</v>
      </c>
      <c r="R2" s="45" t="s">
        <v>23</v>
      </c>
      <c r="S2" s="45" t="s">
        <v>24</v>
      </c>
      <c r="T2" s="45" t="s">
        <v>25</v>
      </c>
      <c r="U2" s="166" t="s">
        <v>26</v>
      </c>
      <c r="V2" s="166" t="s">
        <v>27</v>
      </c>
    </row>
    <row r="3" spans="1:22" s="168" customFormat="1" ht="22.500000" customHeight="1">
      <c r="A3" s="48">
        <v>1</v>
      </c>
      <c r="B3" s="49">
        <v>4820</v>
      </c>
      <c r="C3" s="49">
        <v>4652</v>
      </c>
      <c r="D3" s="49">
        <v>155</v>
      </c>
      <c r="E3" s="49">
        <v>190</v>
      </c>
      <c r="F3" s="50">
        <f>(C3*100)/B3</f>
        <v>96.5145228215768</v>
      </c>
      <c r="G3" s="156">
        <f>(D3*100)/B3</f>
        <v>3.21576763485477</v>
      </c>
      <c r="H3" s="151">
        <f>((B3-B4)/B3)*100</f>
        <v>3.56846473029046</v>
      </c>
      <c r="I3" s="152">
        <f>((B3-C3)/B3)*100</f>
        <v>3.48547717842324</v>
      </c>
      <c r="J3" s="152">
        <f>((C3-B4)/C3)*100</f>
        <v>0.0859845227858985</v>
      </c>
      <c r="K3" s="161">
        <f>100-(((C3-C4)/C3)*100)</f>
        <v>98.5167669819433</v>
      </c>
      <c r="L3" s="54">
        <v>1.00834760273972</v>
      </c>
      <c r="M3" s="55" t="s">
        <v>28</v>
      </c>
      <c r="N3" s="54">
        <v>16.06</v>
      </c>
      <c r="O3" s="56">
        <f>N3/C3</f>
        <v>0.00345227858985383</v>
      </c>
      <c r="P3" s="57" t="e">
        <f>(Boosters_And!B3*100)/Boosters_And!N3</f>
        <v>#DIV/0!</v>
      </c>
      <c r="Q3" s="57">
        <f>Boosters_And!B3/(C3+D3)</f>
        <v>0</v>
      </c>
      <c r="R3" s="57">
        <f>Boosters_And!N3/B3</f>
        <v>0</v>
      </c>
      <c r="S3" s="54">
        <v>0.222388698630137</v>
      </c>
      <c r="T3" s="58">
        <v>6.44883920894239E-04</v>
      </c>
      <c r="U3" s="60">
        <v>369.131556319862</v>
      </c>
      <c r="V3" s="59">
        <v>838400</v>
      </c>
    </row>
    <row r="4" spans="1:22" s="168" customFormat="1" ht="22.500000" customHeight="1">
      <c r="A4" s="34">
        <v>2</v>
      </c>
      <c r="B4" s="49">
        <v>4648</v>
      </c>
      <c r="C4" s="49">
        <v>4583</v>
      </c>
      <c r="D4" s="49">
        <v>49</v>
      </c>
      <c r="E4" s="49">
        <v>70</v>
      </c>
      <c r="F4" s="50">
        <f>(C4*100)/B4</f>
        <v>98.6015490533563</v>
      </c>
      <c r="G4" s="156">
        <f>(D4*100)/B4</f>
        <v>1.05421686746988</v>
      </c>
      <c r="H4" s="152">
        <f>((B4-B5)/B4)*100</f>
        <v>1.31239242685026</v>
      </c>
      <c r="I4" s="152">
        <f>((B4-C4)/B4)*100</f>
        <v>1.39845094664372</v>
      </c>
      <c r="J4" s="152">
        <f>((C4-B5)/C4)*100</f>
        <v>-0.0872790748418067</v>
      </c>
      <c r="K4" s="161">
        <f>100-(((C3-C5)/C3)*100)</f>
        <v>97.5279449699054</v>
      </c>
      <c r="L4" s="54">
        <v>1.00217296827466</v>
      </c>
      <c r="M4" s="61" t="s">
        <v>28</v>
      </c>
      <c r="N4" s="54">
        <v>8.04</v>
      </c>
      <c r="O4" s="56">
        <f>N4/C4</f>
        <v>0.00175430940432031</v>
      </c>
      <c r="P4" s="57" t="e">
        <f>(Boosters_And!B4*100)/Boosters_And!N4</f>
        <v>#DIV/0!</v>
      </c>
      <c r="Q4" s="57">
        <f>Boosters_And!B4/(C4+D4)</f>
        <v>0</v>
      </c>
      <c r="R4" s="57">
        <f>Boosters_And!N4/B4</f>
        <v>0</v>
      </c>
      <c r="S4" s="54">
        <v>0.0173837461973055</v>
      </c>
      <c r="T4" s="58">
        <v>2.18197687104517E-04</v>
      </c>
      <c r="U4" s="60">
        <v>412.127209251582</v>
      </c>
      <c r="V4" s="59">
        <v>877950</v>
      </c>
    </row>
    <row r="5" spans="1:22" s="168" customFormat="1" ht="22.500000" customHeight="1">
      <c r="A5" s="34">
        <v>3</v>
      </c>
      <c r="B5" s="49">
        <v>4587</v>
      </c>
      <c r="C5" s="49">
        <v>4537</v>
      </c>
      <c r="D5" s="49">
        <v>52</v>
      </c>
      <c r="E5" s="49">
        <v>81</v>
      </c>
      <c r="F5" s="50">
        <f>(C5*100)/B5</f>
        <v>98.9099629387399</v>
      </c>
      <c r="G5" s="156">
        <f>(D5*100)/B5</f>
        <v>1.13363854371049</v>
      </c>
      <c r="H5" s="152">
        <f>((B5-B6)/B5)*100</f>
        <v>0.763025942882058</v>
      </c>
      <c r="I5" s="152">
        <f>((B5-C5)/B5)*100</f>
        <v>1.09003706126008</v>
      </c>
      <c r="J5" s="152">
        <f>((C5-B6)/C5)*100</f>
        <v>-0.33061494379546</v>
      </c>
      <c r="K5" s="161">
        <f>100-(((C3-C6)/C3)*100)</f>
        <v>96.6680997420464</v>
      </c>
      <c r="L5" s="54">
        <v>1.00197541703248</v>
      </c>
      <c r="M5" s="62" t="s">
        <v>28</v>
      </c>
      <c r="N5" s="54">
        <v>7.88</v>
      </c>
      <c r="O5" s="56">
        <f>N5/C5</f>
        <v>0.00173683050473881</v>
      </c>
      <c r="P5" s="57" t="e">
        <f>(Boosters_And!B5*100)/Boosters_And!N5</f>
        <v>#DIV/0!</v>
      </c>
      <c r="Q5" s="57">
        <f>Boosters_And!B5/(C5+D5)</f>
        <v>0</v>
      </c>
      <c r="R5" s="57">
        <f>Boosters_And!N5/B5</f>
        <v>0</v>
      </c>
      <c r="S5" s="54">
        <v>6.07243195785777</v>
      </c>
      <c r="T5" s="58">
        <v>6.61229887590919E-04</v>
      </c>
      <c r="U5" s="60">
        <v>454.850782455367</v>
      </c>
      <c r="V5" s="59">
        <v>917710</v>
      </c>
    </row>
    <row r="6" spans="1:22" s="168" customFormat="1" ht="22.500000" customHeight="1">
      <c r="A6" s="34">
        <v>4</v>
      </c>
      <c r="B6" s="49">
        <v>4552</v>
      </c>
      <c r="C6" s="49">
        <v>4497</v>
      </c>
      <c r="D6" s="49">
        <v>87</v>
      </c>
      <c r="E6" s="49">
        <v>110</v>
      </c>
      <c r="F6" s="50">
        <f>(C6*100)/B6</f>
        <v>98.7917398945518</v>
      </c>
      <c r="G6" s="156">
        <f>(D6*100)/B6</f>
        <v>1.91124780316344</v>
      </c>
      <c r="H6" s="152">
        <f>((B6-B7)/B6)*100</f>
        <v>0.790861159929701</v>
      </c>
      <c r="I6" s="152">
        <f>((B6-C6)/B6)*100</f>
        <v>1.20826010544815</v>
      </c>
      <c r="J6" s="152">
        <f>((C6-B7)/C6)*100</f>
        <v>-0.422503891483211</v>
      </c>
      <c r="K6" s="161">
        <f>100-(((C3-C7)/C3)*100)</f>
        <v>95.4643164230439</v>
      </c>
      <c r="L6" s="54">
        <v>1.00332078813371</v>
      </c>
      <c r="M6" s="61" t="s">
        <v>28</v>
      </c>
      <c r="N6" s="54">
        <v>2.29</v>
      </c>
      <c r="O6" s="56">
        <f>N6/C6</f>
        <v>5.0922837447187E-04</v>
      </c>
      <c r="P6" s="57" t="e">
        <f>(Boosters_And!B6*100)/Boosters_And!N6</f>
        <v>#DIV/0!</v>
      </c>
      <c r="Q6" s="57">
        <f>Boosters_And!B6/(C6+D6)</f>
        <v>0</v>
      </c>
      <c r="R6" s="57">
        <f>Boosters_And!N6/B6</f>
        <v>0</v>
      </c>
      <c r="S6" s="54">
        <v>5.54150985167146</v>
      </c>
      <c r="T6" s="58">
        <v>6.6711140760507E-04</v>
      </c>
      <c r="U6" s="60">
        <v>498.907493884812</v>
      </c>
      <c r="V6" s="59">
        <v>970730</v>
      </c>
    </row>
    <row r="7" spans="1:22" s="168" customFormat="1" ht="22.500000" customHeight="1">
      <c r="A7" s="34">
        <v>5</v>
      </c>
      <c r="B7" s="49">
        <v>4516</v>
      </c>
      <c r="C7" s="49">
        <v>4441</v>
      </c>
      <c r="D7" s="49">
        <v>118</v>
      </c>
      <c r="E7" s="49">
        <v>152</v>
      </c>
      <c r="F7" s="50">
        <f>(C7*100)/B7</f>
        <v>98.3392382639504</v>
      </c>
      <c r="G7" s="156">
        <f>(D7*100)/B7</f>
        <v>2.61293179805137</v>
      </c>
      <c r="H7" s="152">
        <f>((B7-B8)/B7)*100</f>
        <v>1.08503100088574</v>
      </c>
      <c r="I7" s="152">
        <f>((B7-C7)/B7)*100</f>
        <v>1.6607617360496</v>
      </c>
      <c r="J7" s="152">
        <f>((C7-B8)/C7)*100</f>
        <v>-0.585453726638145</v>
      </c>
      <c r="K7" s="161">
        <f>100-(((C3-C8)/C3)*100)</f>
        <v>94.5399828030954</v>
      </c>
      <c r="L7" s="54">
        <v>1.00358503248935</v>
      </c>
      <c r="M7" s="62" t="s">
        <v>28</v>
      </c>
      <c r="N7" s="54">
        <v>3.97</v>
      </c>
      <c r="O7" s="56">
        <f>N7/C7</f>
        <v>8.93942805674398E-04</v>
      </c>
      <c r="P7" s="57" t="e">
        <f>(Boosters_And!B7*100)/Boosters_And!N7</f>
        <v>#DIV/0!</v>
      </c>
      <c r="Q7" s="57">
        <f>Boosters_And!B7/(C7+D7)</f>
        <v>0</v>
      </c>
      <c r="R7" s="57">
        <f>Boosters_And!N7/B7</f>
        <v>0</v>
      </c>
      <c r="S7" s="54">
        <v>5.32982298902083</v>
      </c>
      <c r="T7" s="58">
        <v>0.0011258725512272</v>
      </c>
      <c r="U7" s="60">
        <v>572.352398108534</v>
      </c>
      <c r="V7" s="59">
        <v>1011470</v>
      </c>
    </row>
    <row r="8" spans="1:22" s="168" customFormat="1" ht="22.500000" customHeight="1">
      <c r="A8" s="34">
        <v>6</v>
      </c>
      <c r="B8" s="49">
        <v>4467</v>
      </c>
      <c r="C8" s="49">
        <v>4398</v>
      </c>
      <c r="D8" s="49">
        <v>156</v>
      </c>
      <c r="E8" s="49">
        <v>193</v>
      </c>
      <c r="F8" s="50">
        <f>(C8*100)/B8</f>
        <v>98.4553391537945</v>
      </c>
      <c r="G8" s="157">
        <f>(D8*100)/B8</f>
        <v>3.49227669576897</v>
      </c>
      <c r="H8" s="152">
        <f>((B8-B9)/B8)*100</f>
        <v>1.2760241773002</v>
      </c>
      <c r="I8" s="152">
        <f>((B8-C8)/B8)*100</f>
        <v>1.54466084620551</v>
      </c>
      <c r="J8" s="152">
        <f>((C8-B9)/C8)*100</f>
        <v>-0.272851296043656</v>
      </c>
      <c r="K8" s="161">
        <f>100-(((C3-C9)/C3)*100)</f>
        <v>93.7016337059329</v>
      </c>
      <c r="L8" s="54">
        <v>1.00701674966047</v>
      </c>
      <c r="M8" s="61" t="s">
        <v>28</v>
      </c>
      <c r="N8" s="54">
        <v>3.97</v>
      </c>
      <c r="O8" s="56">
        <f>N8/C8</f>
        <v>9.02683037744429E-04</v>
      </c>
      <c r="P8" s="57" t="e">
        <f>(Boosters_And!B8*100)/Boosters_And!N8</f>
        <v>#DIV/0!</v>
      </c>
      <c r="Q8" s="57">
        <f>Boosters_And!B8/(C8+D8)</f>
        <v>0</v>
      </c>
      <c r="R8" s="57">
        <f>Boosters_And!N8/B8</f>
        <v>0</v>
      </c>
      <c r="S8" s="54">
        <v>5.49162516976007</v>
      </c>
      <c r="T8" s="58">
        <v>0.00159163256025466</v>
      </c>
      <c r="U8" s="60">
        <v>593.932924056389</v>
      </c>
      <c r="V8" s="59">
        <v>1037160</v>
      </c>
    </row>
    <row r="9" spans="1:22" s="168" customFormat="1" ht="22.500000" customHeight="1">
      <c r="A9" s="34">
        <v>7</v>
      </c>
      <c r="B9" s="49">
        <v>4410</v>
      </c>
      <c r="C9" s="49">
        <v>4359</v>
      </c>
      <c r="D9" s="49">
        <v>115</v>
      </c>
      <c r="E9" s="49">
        <v>162</v>
      </c>
      <c r="F9" s="50">
        <f>(C9*100)/B9</f>
        <v>98.843537414966</v>
      </c>
      <c r="G9" s="156">
        <f>(D9*100)/B9</f>
        <v>2.60770975056689</v>
      </c>
      <c r="H9" s="152">
        <f>((B9-B10)/B9)*100</f>
        <v>0.884353741496599</v>
      </c>
      <c r="I9" s="152">
        <f>((B9-C9)/B9)*100</f>
        <v>1.15646258503401</v>
      </c>
      <c r="J9" s="152">
        <f>((C9-B10)/C9)*100</f>
        <v>-0.275292498279422</v>
      </c>
      <c r="K9" s="161">
        <f>100-(((C3-C10)/C3)*100)</f>
        <v>92.7343078245916</v>
      </c>
      <c r="L9" s="54">
        <v>1.00228519195612</v>
      </c>
      <c r="M9" s="62" t="s">
        <v>28</v>
      </c>
      <c r="N9" s="54">
        <v>5.97</v>
      </c>
      <c r="O9" s="56">
        <f>N9/C9</f>
        <v>0.00136958017894012</v>
      </c>
      <c r="P9" s="57" t="e">
        <f>(Boosters_And!B9*100)/Boosters_And!N9</f>
        <v>#DIV/0!</v>
      </c>
      <c r="Q9" s="57">
        <f>Boosters_And!B9/(C9+D9)</f>
        <v>0</v>
      </c>
      <c r="R9" s="57">
        <f>Boosters_And!N9/B9</f>
        <v>0</v>
      </c>
      <c r="S9" s="54">
        <v>6.52376599634369</v>
      </c>
      <c r="T9" s="58">
        <v>6.88231245698555E-04</v>
      </c>
      <c r="U9" s="60">
        <v>615.140399174123</v>
      </c>
      <c r="V9" s="59">
        <v>1061800</v>
      </c>
    </row>
    <row r="10" spans="1:22" s="168" customFormat="1" ht="22.500000" customHeight="1">
      <c r="A10" s="34">
        <v>8</v>
      </c>
      <c r="B10" s="49">
        <v>4371</v>
      </c>
      <c r="C10" s="49">
        <v>4314</v>
      </c>
      <c r="D10" s="49">
        <v>76</v>
      </c>
      <c r="E10" s="49">
        <v>112</v>
      </c>
      <c r="F10" s="50">
        <f>(C10*100)/B10</f>
        <v>98.6959505833905</v>
      </c>
      <c r="G10" s="156">
        <f>(D10*100)/B10</f>
        <v>1.7387325554793</v>
      </c>
      <c r="H10" s="152">
        <f>((B10-B11)/B10)*100</f>
        <v>0.457561198810341</v>
      </c>
      <c r="I10" s="152">
        <f>((B10-C10)/B10)*100</f>
        <v>1.30404941660947</v>
      </c>
      <c r="J10" s="152">
        <f>((C10-B11)/C10)*100</f>
        <v>-0.857672693555865</v>
      </c>
      <c r="K10" s="161">
        <f>100-(((C3-C11)/C3)*100)</f>
        <v>92.0034393809114</v>
      </c>
      <c r="L10" s="54">
        <v>1.00161737523105</v>
      </c>
      <c r="M10" s="61" t="s">
        <v>28</v>
      </c>
      <c r="N10" s="54">
        <v>1.99</v>
      </c>
      <c r="O10" s="56">
        <f>N10/C10</f>
        <v>4.61288827074641E-04</v>
      </c>
      <c r="P10" s="57">
        <f>(Boosters_And!B10*100)/Boosters_And!N10</f>
        <v>95.9287042128084</v>
      </c>
      <c r="Q10" s="57">
        <f>Boosters_And!B10/(C10+D10)</f>
        <v>0.975883917431153</v>
      </c>
      <c r="R10" s="57">
        <f>Boosters_And!N10/B10</f>
        <v>1.0217232978576</v>
      </c>
      <c r="S10" s="54">
        <v>5.58941774491682</v>
      </c>
      <c r="T10" s="58">
        <v>0</v>
      </c>
      <c r="U10" s="60">
        <v>636.299721835883</v>
      </c>
      <c r="V10" s="59">
        <v>1101080</v>
      </c>
    </row>
    <row r="11" spans="1:22" s="168" customFormat="1" ht="22.500000" customHeight="1">
      <c r="A11" s="34">
        <v>9</v>
      </c>
      <c r="B11" s="49">
        <v>4351</v>
      </c>
      <c r="C11" s="49">
        <v>4280</v>
      </c>
      <c r="D11" s="49">
        <v>227</v>
      </c>
      <c r="E11" s="49">
        <v>276</v>
      </c>
      <c r="F11" s="50">
        <f>(C11*100)/B11</f>
        <v>98.3681912204091</v>
      </c>
      <c r="G11" s="157">
        <f>(D11*100)/B11</f>
        <v>5.21719145024132</v>
      </c>
      <c r="H11" s="152">
        <f>((B11-B12)/B11)*100</f>
        <v>3.7692484486325</v>
      </c>
      <c r="I11" s="152">
        <f>((B11-C11)/B11)*100</f>
        <v>1.6318087795909</v>
      </c>
      <c r="J11" s="152">
        <f>((C11-B12)/C11)*100</f>
        <v>2.17289719626168</v>
      </c>
      <c r="K11" s="161">
        <f>100-(((C3-C12)/C3)*100)</f>
        <v>89.3809114359415</v>
      </c>
      <c r="L11" s="54">
        <v>1.02214968524131</v>
      </c>
      <c r="M11" s="62" t="s">
        <v>28</v>
      </c>
      <c r="N11" s="54">
        <v>1.95</v>
      </c>
      <c r="O11" s="56">
        <f>N11/C11</f>
        <v>4.55607476635514E-04</v>
      </c>
      <c r="P11" s="57">
        <f>(Boosters_And!B11*100)/Boosters_And!N11</f>
        <v>2.22209193915152</v>
      </c>
      <c r="Q11" s="57">
        <f>Boosters_And!B11/(C11+D11)</f>
        <v>0.0218596827359772</v>
      </c>
      <c r="R11" s="57">
        <f>Boosters_And!N11/B11</f>
        <v>1.01901436271346</v>
      </c>
      <c r="S11" s="54">
        <v>6.7307064583819</v>
      </c>
      <c r="T11" s="58">
        <v>0.00607476635514019</v>
      </c>
      <c r="U11" s="60">
        <v>655.482943925234</v>
      </c>
      <c r="V11" s="59">
        <v>1137970</v>
      </c>
    </row>
    <row r="12" spans="1:22" s="168" customFormat="1" ht="22.500000" customHeight="1">
      <c r="A12" s="34">
        <v>10</v>
      </c>
      <c r="B12" s="49">
        <v>4187</v>
      </c>
      <c r="C12" s="49">
        <v>4158</v>
      </c>
      <c r="D12" s="49">
        <v>85</v>
      </c>
      <c r="E12" s="49">
        <v>82</v>
      </c>
      <c r="F12" s="50">
        <f>(C12*100)/B12</f>
        <v>99.3073799856699</v>
      </c>
      <c r="G12" s="157">
        <f>(D12*100)/B12</f>
        <v>2.0300931454502</v>
      </c>
      <c r="H12" s="152">
        <f>((B12-B13)/B12)*100</f>
        <v>2.9615476474803</v>
      </c>
      <c r="I12" s="152">
        <f>((B12-C12)/B12)*100</f>
        <v>0.692620014330069</v>
      </c>
      <c r="J12" s="152">
        <f>((C12-B13)/C12)*100</f>
        <v>2.28475228475229</v>
      </c>
      <c r="K12" s="161">
        <f>100-(((C3-C13)/C3)*100)</f>
        <v>83.1900257953568</v>
      </c>
      <c r="L12" s="54">
        <v>1.01319894408447</v>
      </c>
      <c r="M12" s="61" t="s">
        <v>28</v>
      </c>
      <c r="N12" s="54">
        <v>18.15</v>
      </c>
      <c r="O12" s="56">
        <f>N12/C12</f>
        <v>0.00436507936507936</v>
      </c>
      <c r="P12" s="57">
        <f>(Boosters_And!B12*100)/Boosters_And!N12</f>
        <v>1.40988078677922</v>
      </c>
      <c r="Q12" s="57">
        <f>Boosters_And!B12/(C12+D12)</f>
        <v>0.0136695734150365</v>
      </c>
      <c r="R12" s="57">
        <f>Boosters_And!N12/B12</f>
        <v>0.982522807353541</v>
      </c>
      <c r="S12" s="54">
        <v>3.67554595632349</v>
      </c>
      <c r="T12" s="58">
        <v>0.00192400192400192</v>
      </c>
      <c r="U12" s="60">
        <v>681.348484848485</v>
      </c>
      <c r="V12" s="59">
        <v>1143160</v>
      </c>
    </row>
    <row r="13" spans="1:22" s="168" customFormat="1" ht="22.500000" customHeight="1">
      <c r="A13" s="64">
        <v>11</v>
      </c>
      <c r="B13" s="49">
        <v>4063</v>
      </c>
      <c r="C13" s="49">
        <v>3870</v>
      </c>
      <c r="D13" s="49">
        <v>1199</v>
      </c>
      <c r="E13" s="49">
        <v>725</v>
      </c>
      <c r="F13" s="50">
        <f>(C13*100)/B13</f>
        <v>95.2498154073345</v>
      </c>
      <c r="G13" s="158">
        <f>(D13*100)/B13</f>
        <v>29.510214127492</v>
      </c>
      <c r="H13" s="163">
        <f>((B13-B14)/B13)*100</f>
        <v>9.0081220772828</v>
      </c>
      <c r="I13" s="152">
        <f>((B13-C13)/B13)*100</f>
        <v>4.75018459266552</v>
      </c>
      <c r="J13" s="152">
        <f>((C13-B14)/C13)*100</f>
        <v>4.4702842377261</v>
      </c>
      <c r="K13" s="161">
        <f>100-(((C3-C14)/C3)*100)</f>
        <v>78.9122957867584</v>
      </c>
      <c r="L13" s="54">
        <v>1.15629036424696</v>
      </c>
      <c r="M13" s="62" t="s">
        <v>28</v>
      </c>
      <c r="N13" s="54">
        <v>13.91</v>
      </c>
      <c r="O13" s="56">
        <f>N13/C13</f>
        <v>0.00359431524547804</v>
      </c>
      <c r="P13" s="57">
        <f>(Boosters_And!B13*100)/Boosters_And!N13</f>
        <v>5.82769448604447</v>
      </c>
      <c r="Q13" s="57">
        <f>Boosters_And!B13/(C13+D13)</f>
        <v>0.0590371041808233</v>
      </c>
      <c r="R13" s="57">
        <f>Boosters_And!N13/B13</f>
        <v>1.26387388338359</v>
      </c>
      <c r="S13" s="54">
        <v>4.16016533195556</v>
      </c>
      <c r="T13" s="58">
        <v>0.196382428940569</v>
      </c>
      <c r="U13" s="60">
        <v>1014.51085271318</v>
      </c>
      <c r="V13" s="59">
        <v>1724540</v>
      </c>
    </row>
    <row r="14" spans="1:22" s="168" customFormat="1" ht="22.500000" customHeight="1">
      <c r="A14" s="34">
        <v>12</v>
      </c>
      <c r="B14" s="49">
        <v>3697</v>
      </c>
      <c r="C14" s="49">
        <v>3671</v>
      </c>
      <c r="D14" s="49">
        <v>27</v>
      </c>
      <c r="E14" s="49">
        <v>30</v>
      </c>
      <c r="F14" s="50">
        <f>(C14*100)/B14</f>
        <v>99.2967270760076</v>
      </c>
      <c r="G14" s="156">
        <f>(D14*100)/B14</f>
        <v>0.73032188260752</v>
      </c>
      <c r="H14" s="152">
        <f>((B14-B15)/B14)*100</f>
        <v>2.97538544766027</v>
      </c>
      <c r="I14" s="152">
        <f>((B14-C14)/B14)*100</f>
        <v>0.703272923992426</v>
      </c>
      <c r="J14" s="152">
        <f>((C14-B15)/C14)*100</f>
        <v>2.28820484881504</v>
      </c>
      <c r="K14" s="161">
        <f>100-(((C3-C15)/C3)*100)</f>
        <v>76.9561478933792</v>
      </c>
      <c r="L14" s="54">
        <v>1.00136128505309</v>
      </c>
      <c r="M14" s="61" t="s">
        <v>28</v>
      </c>
      <c r="N14" s="54">
        <v>20.45</v>
      </c>
      <c r="O14" s="56">
        <f>N14/C14</f>
        <v>0.00557068918550804</v>
      </c>
      <c r="P14" s="57">
        <f>(Boosters_And!B14*100)/Boosters_And!N14</f>
        <v>53.3024747888967</v>
      </c>
      <c r="Q14" s="57">
        <f>Boosters_And!B14/(C14+D14)</f>
        <v>1.01220400149345</v>
      </c>
      <c r="R14" s="57">
        <f>Boosters_And!N14/B14</f>
        <v>1.89949490365092</v>
      </c>
      <c r="S14" s="54">
        <v>0.00871222433977675</v>
      </c>
      <c r="T14" s="58">
        <v>0.130482157450286</v>
      </c>
      <c r="U14" s="60">
        <v>1166.61563606647</v>
      </c>
      <c r="V14" s="59">
        <v>1800950</v>
      </c>
    </row>
    <row r="15" spans="1:22" s="168" customFormat="1" ht="22.500000" customHeight="1">
      <c r="A15" s="34">
        <v>13</v>
      </c>
      <c r="B15" s="49">
        <v>3587</v>
      </c>
      <c r="C15" s="49">
        <v>3580</v>
      </c>
      <c r="D15" s="49">
        <v>8</v>
      </c>
      <c r="E15" s="49">
        <v>16</v>
      </c>
      <c r="F15" s="50">
        <f>(C15*100)/B15</f>
        <v>99.8048508502927</v>
      </c>
      <c r="G15" s="156">
        <f>(D15*100)/B15</f>
        <v>0.223027599665459</v>
      </c>
      <c r="H15" s="152">
        <f>((B15-B16)/B15)*100</f>
        <v>0.919988848620017</v>
      </c>
      <c r="I15" s="152">
        <f>((B15-C15)/B15)*100</f>
        <v>0.195149149707276</v>
      </c>
      <c r="J15" s="152">
        <f>((C15-B16)/C15)*100</f>
        <v>0.726256983240224</v>
      </c>
      <c r="K15" s="161">
        <f>100-(((C3-C16)/C3)*100)</f>
        <v>74.4196044711952</v>
      </c>
      <c r="L15" s="54">
        <v>1.00139664804469</v>
      </c>
      <c r="M15" s="62" t="s">
        <v>28</v>
      </c>
      <c r="N15" s="54">
        <v>15.96</v>
      </c>
      <c r="O15" s="56">
        <f>N15/C15</f>
        <v>0.00445810055865922</v>
      </c>
      <c r="P15" s="57">
        <f>(Boosters_And!B15*100)/Boosters_And!N15</f>
        <v>0.604700431624218</v>
      </c>
      <c r="Q15" s="57">
        <f>Boosters_And!B15/(C15+D15)</f>
        <v>0.0114269788182832</v>
      </c>
      <c r="R15" s="57">
        <f>Boosters_And!N15/B15</f>
        <v>1.89021933590381</v>
      </c>
      <c r="S15" s="54">
        <v>8.59245810055865</v>
      </c>
      <c r="T15" s="58">
        <v>0.135754189944134</v>
      </c>
      <c r="U15" s="60">
        <v>1244.1969273743</v>
      </c>
      <c r="V15" s="59">
        <v>1861170</v>
      </c>
    </row>
    <row r="16" spans="1:22" s="168" customFormat="1" ht="22.500000" customHeight="1">
      <c r="A16" s="67">
        <v>14</v>
      </c>
      <c r="B16" s="49">
        <v>3554</v>
      </c>
      <c r="C16" s="49">
        <v>3462</v>
      </c>
      <c r="D16" s="49">
        <v>1255</v>
      </c>
      <c r="E16" s="49">
        <v>713</v>
      </c>
      <c r="F16" s="50">
        <f>(C16*100)/B16</f>
        <v>97.4113674732696</v>
      </c>
      <c r="G16" s="158">
        <f>(D16*100)/B16</f>
        <v>35.312324141812</v>
      </c>
      <c r="H16" s="151">
        <f>((B16-B17)/B16)*100</f>
        <v>4.07990996060777</v>
      </c>
      <c r="I16" s="152">
        <f>((B16-C16)/B16)*100</f>
        <v>2.58863252673044</v>
      </c>
      <c r="J16" s="152">
        <f>((C16-B17)/C16)*100</f>
        <v>1.53090699017909</v>
      </c>
      <c r="K16" s="161">
        <f>100-(((C3-C17)/C3)*100)</f>
        <v>72.9793637145314</v>
      </c>
      <c r="L16" s="54">
        <v>1.2229280970257</v>
      </c>
      <c r="M16" s="68" t="s">
        <v>29</v>
      </c>
      <c r="N16" s="54">
        <v>11.97</v>
      </c>
      <c r="O16" s="56">
        <f>N16/C16</f>
        <v>0.00345753899480069</v>
      </c>
      <c r="P16" s="57">
        <f>(Boosters_And!B16*100)/Boosters_And!N16</f>
        <v>2.24667454371829</v>
      </c>
      <c r="Q16" s="57">
        <f>Boosters_And!B16/(C16+D16)</f>
        <v>0.0472199775334064</v>
      </c>
      <c r="R16" s="57">
        <f>Boosters_And!N16/B16</f>
        <v>2.78954944931301</v>
      </c>
      <c r="S16" s="54">
        <v>3.1131966503032</v>
      </c>
      <c r="T16" s="58">
        <v>0.155690352397458</v>
      </c>
      <c r="U16" s="60">
        <v>1154.16666666667</v>
      </c>
      <c r="V16" s="59">
        <v>1713930</v>
      </c>
    </row>
    <row r="17" spans="1:22" s="168" customFormat="1" ht="22.500000" customHeight="1">
      <c r="A17" s="34">
        <v>15</v>
      </c>
      <c r="B17" s="49">
        <v>3409</v>
      </c>
      <c r="C17" s="49">
        <v>3395</v>
      </c>
      <c r="D17" s="49">
        <v>124</v>
      </c>
      <c r="E17" s="49">
        <v>90</v>
      </c>
      <c r="F17" s="50">
        <f>(C17*100)/B17</f>
        <v>99.5893223819302</v>
      </c>
      <c r="G17" s="156">
        <f>(D17*100)/B17</f>
        <v>3.63743033147551</v>
      </c>
      <c r="H17" s="152">
        <f>((B17-B18)/B17)*100</f>
        <v>1.70137870343209</v>
      </c>
      <c r="I17" s="152">
        <f>((B17-C17)/B17)*100</f>
        <v>0.410677618069815</v>
      </c>
      <c r="J17" s="152">
        <f>((C17-B18)/C17)*100</f>
        <v>1.2960235640648</v>
      </c>
      <c r="K17" s="161">
        <f>100-(((C3-C18)/C3)*100)</f>
        <v>71.195184866724</v>
      </c>
      <c r="L17" s="54">
        <v>1.01973490427098</v>
      </c>
      <c r="M17" s="55" t="s">
        <v>28</v>
      </c>
      <c r="N17" s="54">
        <v>17.47</v>
      </c>
      <c r="O17" s="56">
        <f>N17/C17</f>
        <v>0.00514580265095729</v>
      </c>
      <c r="P17" s="57">
        <f>(Boosters_And!B17*100)/Boosters_And!N17</f>
        <v>1.28867924420346</v>
      </c>
      <c r="Q17" s="57">
        <f>Boosters_And!B17/(C17+D17)</f>
        <v>0.0237715224819016</v>
      </c>
      <c r="R17" s="57">
        <f>Boosters_And!N17/B17</f>
        <v>1.90416434803151</v>
      </c>
      <c r="S17" s="54">
        <v>3.9661266568483</v>
      </c>
      <c r="T17" s="58">
        <v>0.136082474226804</v>
      </c>
      <c r="U17" s="60">
        <v>1191.088365243</v>
      </c>
      <c r="V17" s="59">
        <v>1745140</v>
      </c>
    </row>
    <row r="18" spans="1:22" s="168" customFormat="1" ht="22.500000" customHeight="1">
      <c r="A18" s="34">
        <v>16</v>
      </c>
      <c r="B18" s="49">
        <v>3351</v>
      </c>
      <c r="C18" s="49">
        <v>3312</v>
      </c>
      <c r="D18" s="49">
        <v>227</v>
      </c>
      <c r="E18" s="49">
        <v>191</v>
      </c>
      <c r="F18" s="50">
        <f>(C18*100)/B18</f>
        <v>98.8361683079678</v>
      </c>
      <c r="G18" s="158">
        <f>(D18*100)/B18</f>
        <v>6.77409728439272</v>
      </c>
      <c r="H18" s="152">
        <f>((B18-B19)/B18)*100</f>
        <v>2.86481647269472</v>
      </c>
      <c r="I18" s="152">
        <f>((B18-C18)/B18)*100</f>
        <v>1.16383169203223</v>
      </c>
      <c r="J18" s="152">
        <f>((C18-B19)/C18)*100</f>
        <v>1.72101449275362</v>
      </c>
      <c r="K18" s="161">
        <f>100-(((C3-C19)/C3)*100)</f>
        <v>69.5614789337919</v>
      </c>
      <c r="L18" s="54">
        <v>1.01388888888888</v>
      </c>
      <c r="M18" s="69" t="s">
        <v>28</v>
      </c>
      <c r="N18" s="54">
        <v>3.98</v>
      </c>
      <c r="O18" s="56">
        <f>N18/C18</f>
        <v>0.00120169082125604</v>
      </c>
      <c r="P18" s="57">
        <f>(Boosters_And!B18*100)/Boosters_And!N18</f>
        <v>32.8854962391284</v>
      </c>
      <c r="Q18" s="57">
        <f>Boosters_And!B18/(C18+D18)</f>
        <v>0.962478799944796</v>
      </c>
      <c r="R18" s="57">
        <f>Boosters_And!N18/B18</f>
        <v>3.09095660135553</v>
      </c>
      <c r="S18" s="54">
        <v>0.285628019323671</v>
      </c>
      <c r="T18" s="58">
        <v>0.135869565217391</v>
      </c>
      <c r="U18" s="60">
        <v>1290.42723429952</v>
      </c>
      <c r="V18" s="59">
        <v>1798900</v>
      </c>
    </row>
    <row r="19" spans="1:22" s="168" customFormat="1" ht="22.500000" customHeight="1">
      <c r="A19" s="34">
        <v>17</v>
      </c>
      <c r="B19" s="49">
        <v>3255</v>
      </c>
      <c r="C19" s="49">
        <v>3236</v>
      </c>
      <c r="D19" s="49">
        <v>147</v>
      </c>
      <c r="E19" s="49">
        <v>99</v>
      </c>
      <c r="F19" s="50">
        <f>(C19*100)/B19</f>
        <v>99.4162826420891</v>
      </c>
      <c r="G19" s="157">
        <f>(D19*100)/B19</f>
        <v>4.51612903225807</v>
      </c>
      <c r="H19" s="152">
        <f>((B19-B20)/B19)*100</f>
        <v>1.35176651305684</v>
      </c>
      <c r="I19" s="152">
        <f>((B19-C19)/B19)*100</f>
        <v>0.583717357910906</v>
      </c>
      <c r="J19" s="152">
        <f>((C19-B20)/C19)*100</f>
        <v>0.772558714462299</v>
      </c>
      <c r="K19" s="161">
        <f>100-(((C3-C20)/C3)*100)</f>
        <v>68.8736027515047</v>
      </c>
      <c r="L19" s="54">
        <v>1.02626699629171</v>
      </c>
      <c r="M19" s="55" t="s">
        <v>28</v>
      </c>
      <c r="N19" s="54">
        <v>24.97</v>
      </c>
      <c r="O19" s="56">
        <f>N19/C19</f>
        <v>0.00771631644004944</v>
      </c>
      <c r="P19" s="57">
        <f>(Boosters_And!B19*100)/Boosters_And!N19</f>
        <v>0.778245183202621</v>
      </c>
      <c r="Q19" s="57">
        <f>Boosters_And!B19/(C19+D19)</f>
        <v>0.0222853067006465</v>
      </c>
      <c r="R19" s="57">
        <f>Boosters_And!N19/B19</f>
        <v>2.97613878028674</v>
      </c>
      <c r="S19" s="54">
        <v>5.59270704573547</v>
      </c>
      <c r="T19" s="58">
        <v>0.131953028430161</v>
      </c>
      <c r="U19" s="60">
        <v>1360.10321384425</v>
      </c>
      <c r="V19" s="59">
        <v>1811970</v>
      </c>
    </row>
    <row r="20" spans="1:22" s="168" customFormat="1" ht="22.500000" customHeight="1">
      <c r="A20" s="34">
        <v>18</v>
      </c>
      <c r="B20" s="49">
        <v>3211</v>
      </c>
      <c r="C20" s="49">
        <v>3204</v>
      </c>
      <c r="D20" s="49">
        <v>17</v>
      </c>
      <c r="E20" s="49">
        <v>19</v>
      </c>
      <c r="F20" s="50">
        <f>(C20*100)/B20</f>
        <v>99.7819993771411</v>
      </c>
      <c r="G20" s="156">
        <f>(D20*100)/B20</f>
        <v>0.529430084085955</v>
      </c>
      <c r="H20" s="152">
        <f>((B20-B21)/B20)*100</f>
        <v>1.49486141388975</v>
      </c>
      <c r="I20" s="152">
        <f>((B20-C20)/B20)*100</f>
        <v>0.218000622858922</v>
      </c>
      <c r="J20" s="152">
        <f>((C20-B21)/C20)*100</f>
        <v>1.27965043695381</v>
      </c>
      <c r="K20" s="161">
        <f>100-(((C3-C21)/C3)*100)</f>
        <v>67.7343078245916</v>
      </c>
      <c r="L20" s="54">
        <v>1.00124843945068</v>
      </c>
      <c r="M20" s="69" t="s">
        <v>28</v>
      </c>
      <c r="N20" s="54">
        <v>16.91</v>
      </c>
      <c r="O20" s="56">
        <f>N20/C20</f>
        <v>0.00527777777777778</v>
      </c>
      <c r="P20" s="57">
        <f>(Boosters_And!B20*100)/Boosters_And!N20</f>
        <v>0.283121197383527</v>
      </c>
      <c r="Q20" s="57">
        <f>Boosters_And!B20/(C20+D20)</f>
        <v>0.00807202732070786</v>
      </c>
      <c r="R20" s="57">
        <f>Boosters_And!N20/B20</f>
        <v>2.85996458998233</v>
      </c>
      <c r="S20" s="54">
        <v>4.30118601747815</v>
      </c>
      <c r="T20" s="58">
        <v>0.129837702871411</v>
      </c>
      <c r="U20" s="60">
        <v>1395.71598002497</v>
      </c>
      <c r="V20" s="59">
        <v>1825480</v>
      </c>
    </row>
    <row r="21" spans="1:22" s="168" customFormat="1" ht="22.500000" customHeight="1">
      <c r="A21" s="34">
        <v>19</v>
      </c>
      <c r="B21" s="49">
        <v>3163</v>
      </c>
      <c r="C21" s="49">
        <v>3151</v>
      </c>
      <c r="D21" s="49">
        <v>27</v>
      </c>
      <c r="E21" s="49">
        <v>31</v>
      </c>
      <c r="F21" s="50">
        <f>(C21*100)/B21</f>
        <v>99.6206133417641</v>
      </c>
      <c r="G21" s="156">
        <f>(D21*100)/B21</f>
        <v>0.853619981030667</v>
      </c>
      <c r="H21" s="152">
        <f>((B21-B22)/B21)*100</f>
        <v>1.20139108441353</v>
      </c>
      <c r="I21" s="152">
        <f>((B21-C21)/B21)*100</f>
        <v>0.379386658235852</v>
      </c>
      <c r="J21" s="152">
        <f>((C21-B22)/C21)*100</f>
        <v>0.825134877816566</v>
      </c>
      <c r="K21" s="152">
        <f>100-(((C3-C22)/C3)*100)</f>
        <v>66.4875322441961</v>
      </c>
      <c r="L21" s="54">
        <v>1.00190415741034</v>
      </c>
      <c r="M21" s="55" t="s">
        <v>28</v>
      </c>
      <c r="N21" s="54">
        <v>23.34</v>
      </c>
      <c r="O21" s="56">
        <f>N21/C21</f>
        <v>0.00740717232624564</v>
      </c>
      <c r="P21" s="57">
        <f>(Boosters_And!B21*100)/Boosters_And!N21</f>
        <v>0.515555028977589</v>
      </c>
      <c r="Q21" s="57">
        <f>Boosters_And!B21/(C21+D21)</f>
        <v>0.0147891755821271</v>
      </c>
      <c r="R21" s="57">
        <f>Boosters_And!N21/B21</f>
        <v>2.88219684528577</v>
      </c>
      <c r="S21" s="54">
        <v>4.18882894319263</v>
      </c>
      <c r="T21" s="58">
        <v>0.2570612503967</v>
      </c>
      <c r="U21" s="60">
        <v>1460.82323072041</v>
      </c>
      <c r="V21" s="59">
        <v>1852880</v>
      </c>
    </row>
    <row r="22" spans="1:22" s="168" customFormat="1" ht="22.500000" customHeight="1">
      <c r="A22" s="34">
        <v>20</v>
      </c>
      <c r="B22" s="49">
        <v>3125</v>
      </c>
      <c r="C22" s="49">
        <v>3093</v>
      </c>
      <c r="D22" s="49">
        <v>262</v>
      </c>
      <c r="E22" s="49">
        <v>143</v>
      </c>
      <c r="F22" s="50">
        <f>(C22*100)/B22</f>
        <v>98.976</v>
      </c>
      <c r="G22" s="157">
        <f>(D22*100)/B22</f>
        <v>8.384</v>
      </c>
      <c r="H22" s="151">
        <f>((B22-B23)/B22)*100</f>
        <v>3.52</v>
      </c>
      <c r="I22" s="152">
        <f>((B22-C22)/B22)*100</f>
        <v>1.024</v>
      </c>
      <c r="J22" s="152">
        <f>((C22-B23)/C22)*100</f>
        <v>2.52182347235693</v>
      </c>
      <c r="K22" s="151">
        <f>100-(((C3-C23)/C3)*100)</f>
        <v>64.5313843508169</v>
      </c>
      <c r="L22" s="54">
        <v>1.01875202069188</v>
      </c>
      <c r="M22" s="69" t="s">
        <v>28</v>
      </c>
      <c r="N22" s="54">
        <v>8.92</v>
      </c>
      <c r="O22" s="56">
        <f>N22/C22</f>
        <v>0.00288393145813126</v>
      </c>
      <c r="P22" s="57">
        <f>(Boosters_And!B22*100)/Boosters_And!N22</f>
        <v>6.60079738031851</v>
      </c>
      <c r="Q22" s="57">
        <f>Boosters_And!B22/(C22+D22)</f>
        <v>0.181479720005497</v>
      </c>
      <c r="R22" s="57">
        <f>Boosters_And!N22/B22</f>
        <v>2.95171350023321</v>
      </c>
      <c r="S22" s="54">
        <v>5.3789201422567</v>
      </c>
      <c r="T22" s="58">
        <v>0.165211768509538</v>
      </c>
      <c r="U22" s="60">
        <v>1506.47041707081</v>
      </c>
      <c r="V22" s="59">
        <v>1794150</v>
      </c>
    </row>
    <row r="23" spans="1:22" s="168" customFormat="1" ht="22.500000" customHeight="1">
      <c r="A23" s="34">
        <v>21</v>
      </c>
      <c r="B23" s="49">
        <v>3015</v>
      </c>
      <c r="C23" s="49">
        <v>3002</v>
      </c>
      <c r="D23" s="49">
        <v>33</v>
      </c>
      <c r="E23" s="49">
        <v>38</v>
      </c>
      <c r="F23" s="50">
        <f>(C23*100)/B23</f>
        <v>99.5688225538972</v>
      </c>
      <c r="G23" s="156">
        <f>(D23*100)/B23</f>
        <v>1.09452736318408</v>
      </c>
      <c r="H23" s="152">
        <f>((B23-B24)/B23)*100</f>
        <v>2.6865671641791</v>
      </c>
      <c r="I23" s="152">
        <f>((B23-C23)/B23)*100</f>
        <v>0.431177446102819</v>
      </c>
      <c r="J23" s="152">
        <f>((C23-B24)/C23)*100</f>
        <v>2.26515656229181</v>
      </c>
      <c r="K23" s="161">
        <f>100-(((C3-C24)/C3)*100)</f>
        <v>62.9406706792777</v>
      </c>
      <c r="L23" s="54">
        <v>1.001998001998</v>
      </c>
      <c r="M23" s="55" t="s">
        <v>28</v>
      </c>
      <c r="N23" s="54">
        <v>9.46</v>
      </c>
      <c r="O23" s="56">
        <f>N23/C23</f>
        <v>0.00315123251165889</v>
      </c>
      <c r="P23" s="57">
        <f>(Boosters_And!B23*100)/Boosters_And!N23</f>
        <v>1.83810077118971</v>
      </c>
      <c r="Q23" s="57">
        <f>Boosters_And!B23/(C23+D23)</f>
        <v>0.0504977907892997</v>
      </c>
      <c r="R23" s="57">
        <f>Boosters_And!N23/B23</f>
        <v>2.76550495159887</v>
      </c>
      <c r="S23" s="54">
        <v>4.32334332334332</v>
      </c>
      <c r="T23" s="58">
        <v>0.341105929380413</v>
      </c>
      <c r="U23" s="60">
        <v>1579.95802798135</v>
      </c>
      <c r="V23" s="59">
        <v>1888830</v>
      </c>
    </row>
    <row r="24" spans="1:22" s="168" customFormat="1" ht="22.500000" customHeight="1">
      <c r="A24" s="34">
        <v>22</v>
      </c>
      <c r="B24" s="49">
        <v>2934</v>
      </c>
      <c r="C24" s="49">
        <v>2928</v>
      </c>
      <c r="D24" s="49">
        <v>34</v>
      </c>
      <c r="E24" s="49">
        <v>31</v>
      </c>
      <c r="F24" s="50">
        <f>(C24*100)/B24</f>
        <v>99.7955010224949</v>
      </c>
      <c r="G24" s="156">
        <f>(D24*100)/B24</f>
        <v>1.15882753919564</v>
      </c>
      <c r="H24" s="152">
        <f>((B24-B25)/B24)*100</f>
        <v>0.681663258350375</v>
      </c>
      <c r="I24" s="152">
        <f>((B24-C24)/B24)*100</f>
        <v>0.204498977505113</v>
      </c>
      <c r="J24" s="152">
        <f>((C24-B25)/C24)*100</f>
        <v>0.478142076502732</v>
      </c>
      <c r="K24" s="161">
        <f>100-(((C3-C25)/C3)*100)</f>
        <v>61.1349957007739</v>
      </c>
      <c r="L24" s="54">
        <v>1.00238989416182</v>
      </c>
      <c r="M24" s="69" t="s">
        <v>28</v>
      </c>
      <c r="N24" s="54">
        <v>20.62</v>
      </c>
      <c r="O24" s="56">
        <f>N24/C24</f>
        <v>0.00704234972677596</v>
      </c>
      <c r="P24" s="57">
        <f>(Boosters_And!B24*100)/Boosters_And!N24</f>
        <v>0.624099047692562</v>
      </c>
      <c r="Q24" s="57">
        <f>Boosters_And!B24/(C24+D24)</f>
        <v>0.0172180958811614</v>
      </c>
      <c r="R24" s="57">
        <f>Boosters_And!N24/B24</f>
        <v>2.78520102733714</v>
      </c>
      <c r="S24" s="54">
        <v>4.18504609081597</v>
      </c>
      <c r="T24" s="58">
        <v>0.16905737704918</v>
      </c>
      <c r="U24" s="60">
        <v>1635.17554644809</v>
      </c>
      <c r="V24" s="59">
        <v>1909210</v>
      </c>
    </row>
    <row r="25" spans="1:22" s="168" customFormat="1" ht="22.500000" customHeight="1">
      <c r="A25" s="34">
        <v>23</v>
      </c>
      <c r="B25" s="49">
        <v>2914</v>
      </c>
      <c r="C25" s="49">
        <v>2844</v>
      </c>
      <c r="D25" s="49">
        <v>709</v>
      </c>
      <c r="E25" s="49">
        <v>355</v>
      </c>
      <c r="F25" s="50">
        <f>(C25*100)/B25</f>
        <v>97.5978037062457</v>
      </c>
      <c r="G25" s="158">
        <f>(D25*100)/B25</f>
        <v>24.3308167467399</v>
      </c>
      <c r="H25" s="152">
        <f>((B25-B26)/B25)*100</f>
        <v>3.0885380919698</v>
      </c>
      <c r="I25" s="152">
        <f>((B25-C25)/B25)*100</f>
        <v>2.40219629375429</v>
      </c>
      <c r="J25" s="152">
        <f>((C25-B26)/C25)*100</f>
        <v>0.70323488045007</v>
      </c>
      <c r="K25" s="161">
        <f>100-(((C3-C26)/C3)*100)</f>
        <v>60.0386930352537</v>
      </c>
      <c r="L25" s="54">
        <v>1.12513181019332</v>
      </c>
      <c r="M25" s="70" t="s">
        <v>29</v>
      </c>
      <c r="N25" s="54">
        <v>11.48</v>
      </c>
      <c r="O25" s="56">
        <f>N25/C25</f>
        <v>0.0040365682137834</v>
      </c>
      <c r="P25" s="57">
        <f>(Boosters_And!B25*100)/Boosters_And!N25</f>
        <v>18.468171706927</v>
      </c>
      <c r="Q25" s="57">
        <f>Boosters_And!B25/(C25+D25)</f>
        <v>0.480069646779543</v>
      </c>
      <c r="R25" s="57">
        <f>Boosters_And!N25/B25</f>
        <v>3.16946532023128</v>
      </c>
      <c r="S25" s="54">
        <v>5.76977152899824</v>
      </c>
      <c r="T25" s="58">
        <v>0.213080168776371</v>
      </c>
      <c r="U25" s="60">
        <v>1526.81962025317</v>
      </c>
      <c r="V25" s="59">
        <v>1760660</v>
      </c>
    </row>
    <row r="26" spans="1:22" s="168" customFormat="1" ht="22.500000" customHeight="1">
      <c r="A26" s="64">
        <v>24</v>
      </c>
      <c r="B26" s="49">
        <v>2824</v>
      </c>
      <c r="C26" s="49">
        <v>2793</v>
      </c>
      <c r="D26" s="49">
        <v>381</v>
      </c>
      <c r="E26" s="49">
        <v>233</v>
      </c>
      <c r="F26" s="50">
        <f>(C26*100)/B26</f>
        <v>98.9022662889518</v>
      </c>
      <c r="G26" s="156">
        <f>(D26*100)/B26</f>
        <v>13.4915014164306</v>
      </c>
      <c r="H26" s="153">
        <f>((B26-B27)/B26)*100</f>
        <v>2.12464589235127</v>
      </c>
      <c r="I26" s="152">
        <f>((B26-C26)/B26)*100</f>
        <v>1.09773371104816</v>
      </c>
      <c r="J26" s="152">
        <f>((C26-B27)/C26)*100</f>
        <v>1.03831006086645</v>
      </c>
      <c r="K26" s="161">
        <f>100-(((C3-C27)/C3)*100)</f>
        <v>59.32932072227</v>
      </c>
      <c r="L26" s="54">
        <v>1.05476020042949</v>
      </c>
      <c r="M26" s="69" t="s">
        <v>28</v>
      </c>
      <c r="N26" s="54">
        <v>26.25</v>
      </c>
      <c r="O26" s="56">
        <f>N26/C26</f>
        <v>0.0093984962406015</v>
      </c>
      <c r="P26" s="57">
        <f>(Boosters_And!B26*100)/Boosters_And!N26</f>
        <v>12.5712644876676</v>
      </c>
      <c r="Q26" s="57">
        <f>Boosters_And!B26/(C26+D26)</f>
        <v>0.267046433372984</v>
      </c>
      <c r="R26" s="57">
        <f>Boosters_And!N26/B26</f>
        <v>2.38753665778952</v>
      </c>
      <c r="S26" s="54">
        <v>3.82283464566929</v>
      </c>
      <c r="T26" s="58">
        <v>0.200859291084855</v>
      </c>
      <c r="U26" s="60">
        <v>1599.3000358038</v>
      </c>
      <c r="V26" s="59">
        <v>1795500</v>
      </c>
    </row>
    <row r="27" spans="1:22" s="168" customFormat="1" ht="22.500000" customHeight="1">
      <c r="A27" s="34">
        <v>25</v>
      </c>
      <c r="B27" s="49">
        <v>2764</v>
      </c>
      <c r="C27" s="49">
        <v>2760</v>
      </c>
      <c r="D27" s="49">
        <v>11</v>
      </c>
      <c r="E27" s="49">
        <v>16</v>
      </c>
      <c r="F27" s="50">
        <f>(C27*100)/B27</f>
        <v>99.8552821997106</v>
      </c>
      <c r="G27" s="156">
        <f>(D27*100)/B27</f>
        <v>0.397973950795948</v>
      </c>
      <c r="H27" s="152">
        <f>((B27-B28)/B27)*100</f>
        <v>2.06222865412446</v>
      </c>
      <c r="I27" s="152">
        <f>((B27-C27)/B27)*100</f>
        <v>0.144717800289436</v>
      </c>
      <c r="J27" s="152">
        <f>((C27-B28)/C27)*100</f>
        <v>1.92028985507246</v>
      </c>
      <c r="K27" s="161">
        <f>100-(((C3-C28)/C3)*100)</f>
        <v>58.1040412725709</v>
      </c>
      <c r="L27" s="54">
        <v>1.00144875045273</v>
      </c>
      <c r="M27" s="55" t="s">
        <v>28</v>
      </c>
      <c r="N27" s="54">
        <v>5.95</v>
      </c>
      <c r="O27" s="56">
        <f>N27/C27</f>
        <v>0.00215579710144928</v>
      </c>
      <c r="P27" s="57">
        <f>(Boosters_And!B27*100)/Boosters_And!N27</f>
        <v>0.0518941436554333</v>
      </c>
      <c r="Q27" s="57">
        <f>Boosters_And!B27/(C27+D27)</f>
        <v>0.0010826416456153</v>
      </c>
      <c r="R27" s="57">
        <f>Boosters_And!N27/B27</f>
        <v>2.0915336986337</v>
      </c>
      <c r="S27" s="54">
        <v>7.24483882651213</v>
      </c>
      <c r="T27" s="58">
        <v>0.153260869565217</v>
      </c>
      <c r="U27" s="60">
        <v>1649.79891304348</v>
      </c>
      <c r="V27" s="59">
        <v>1840030</v>
      </c>
    </row>
    <row r="28" spans="1:22" s="168" customFormat="1" ht="22.500000" customHeight="1">
      <c r="A28" s="34">
        <v>26</v>
      </c>
      <c r="B28" s="49">
        <v>2707</v>
      </c>
      <c r="C28" s="49">
        <v>2703</v>
      </c>
      <c r="D28" s="49">
        <v>7</v>
      </c>
      <c r="E28" s="49">
        <v>8</v>
      </c>
      <c r="F28" s="50">
        <f>(C28*100)/B28</f>
        <v>99.8522349464352</v>
      </c>
      <c r="G28" s="156">
        <f>(D28*100)/B28</f>
        <v>0.258588843738456</v>
      </c>
      <c r="H28" s="152">
        <f>((B28-B29)/B28)*100</f>
        <v>0.36941263391208</v>
      </c>
      <c r="I28" s="152">
        <f>((B28-C28)/B28)*100</f>
        <v>0.147765053564832</v>
      </c>
      <c r="J28" s="152">
        <f>((C28-B29)/C28)*100</f>
        <v>0.221975582685905</v>
      </c>
      <c r="K28" s="161">
        <f>100-(((C3-C29)/C3)*100)</f>
        <v>56.6852966466036</v>
      </c>
      <c r="L28" s="54">
        <v>1.00147874306839</v>
      </c>
      <c r="M28" s="69" t="s">
        <v>28</v>
      </c>
      <c r="N28" s="54">
        <v>0</v>
      </c>
      <c r="O28" s="56">
        <f>N28/C28</f>
        <v>0</v>
      </c>
      <c r="P28" s="57">
        <f>(Boosters_And!B28*100)/Boosters_And!N28</f>
        <v>0.0351846067472124</v>
      </c>
      <c r="Q28" s="57">
        <f>Boosters_And!B28/(C28+D28)</f>
        <v>7.38007380073801E-04</v>
      </c>
      <c r="R28" s="57">
        <f>Boosters_And!N28/B28</f>
        <v>2.09985370344574</v>
      </c>
      <c r="S28" s="54">
        <v>2.60702402957486</v>
      </c>
      <c r="T28" s="58">
        <v>0.150943396226415</v>
      </c>
      <c r="U28" s="60">
        <v>1697.18645948946</v>
      </c>
      <c r="V28" s="59">
        <v>1864890</v>
      </c>
    </row>
    <row r="29" spans="1:22" s="168" customFormat="1" ht="22.500000" customHeight="1">
      <c r="A29" s="64">
        <v>27</v>
      </c>
      <c r="B29" s="49">
        <v>2697</v>
      </c>
      <c r="C29" s="49">
        <v>2637</v>
      </c>
      <c r="D29" s="49">
        <v>827</v>
      </c>
      <c r="E29" s="49">
        <v>397</v>
      </c>
      <c r="F29" s="50">
        <f>(C29*100)/B29</f>
        <v>97.7753058954394</v>
      </c>
      <c r="G29" s="162">
        <f>(D29*100)/B29</f>
        <v>30.6637004078606</v>
      </c>
      <c r="H29" s="152">
        <f>((B29-B30)/B29)*100</f>
        <v>3.26288468668891</v>
      </c>
      <c r="I29" s="152">
        <f>((B29-C29)/B29)*100</f>
        <v>2.22469410456062</v>
      </c>
      <c r="J29" s="152">
        <f>((C29-B30)/C29)*100</f>
        <v>1.06181266590823</v>
      </c>
      <c r="K29" s="161">
        <f>100-(((C3-C30)/C3)*100)</f>
        <v>56.0834049871023</v>
      </c>
      <c r="L29" s="54">
        <v>1.18915845337376</v>
      </c>
      <c r="M29" s="55" t="s">
        <v>28</v>
      </c>
      <c r="N29" s="54">
        <v>8.47</v>
      </c>
      <c r="O29" s="56">
        <f>N29/C29</f>
        <v>0.00321198331437239</v>
      </c>
      <c r="P29" s="57">
        <f>(Boosters_And!B29*100)/Boosters_And!N29</f>
        <v>0.7703507571571</v>
      </c>
      <c r="Q29" s="57">
        <f>Boosters_And!B29/(C29+D29)</f>
        <v>0.0180990669156786</v>
      </c>
      <c r="R29" s="57">
        <f>Boosters_And!N29/B29</f>
        <v>3.01762041260981</v>
      </c>
      <c r="S29" s="54">
        <v>3.01630022744503</v>
      </c>
      <c r="T29" s="58">
        <v>0.180128934395146</v>
      </c>
      <c r="U29" s="60">
        <v>1578.62191884718</v>
      </c>
      <c r="V29" s="59">
        <v>1707120</v>
      </c>
    </row>
    <row r="30" spans="1:22" s="168" customFormat="1" ht="22.500000" customHeight="1">
      <c r="A30" s="64">
        <v>28</v>
      </c>
      <c r="B30" s="49">
        <v>2609</v>
      </c>
      <c r="C30" s="49">
        <v>2609</v>
      </c>
      <c r="D30" s="49">
        <v>24</v>
      </c>
      <c r="E30" s="49">
        <v>23</v>
      </c>
      <c r="F30" s="50">
        <f>(C30*100)/B30</f>
        <v>100</v>
      </c>
      <c r="G30" s="162">
        <f>(D30*100)/B30</f>
        <v>0.919892679187428</v>
      </c>
      <c r="H30" s="152">
        <f>((B30-B31)/B30)*100</f>
        <v>0.996550402453047</v>
      </c>
      <c r="I30" s="152">
        <f>((B30-C30)/B30)*100</f>
        <v>0</v>
      </c>
      <c r="J30" s="152">
        <f>((C30-B31)/C30)*100</f>
        <v>0.996550402453047</v>
      </c>
      <c r="K30" s="161">
        <f>100-(((C3-C31)/C3)*100)</f>
        <v>55.3955288048151</v>
      </c>
      <c r="L30" s="54">
        <v>1.0015325670498</v>
      </c>
      <c r="M30" s="69" t="s">
        <v>28</v>
      </c>
      <c r="N30" s="54">
        <v>16.01</v>
      </c>
      <c r="O30" s="56">
        <f>N30/C30</f>
        <v>0.0061364507474128</v>
      </c>
      <c r="P30" s="57">
        <f>(Boosters_And!B30*100)/Boosters_And!N30</f>
        <v>0.125066073607563</v>
      </c>
      <c r="Q30" s="57">
        <f>Boosters_And!B30/(C30+D30)</f>
        <v>0.00265856437523737</v>
      </c>
      <c r="R30" s="57">
        <f>Boosters_And!N30/B30</f>
        <v>2.14528227912195</v>
      </c>
      <c r="S30" s="54">
        <v>3.46819923371647</v>
      </c>
      <c r="T30" s="58">
        <v>0.150249137600613</v>
      </c>
      <c r="U30" s="60">
        <v>1654.63625910311</v>
      </c>
      <c r="V30" s="59">
        <v>1758230</v>
      </c>
    </row>
    <row r="31" spans="1:22" s="168" customFormat="1" ht="22.500000" customHeight="1">
      <c r="A31" s="64">
        <v>29</v>
      </c>
      <c r="B31" s="49">
        <v>2583</v>
      </c>
      <c r="C31" s="49">
        <v>2577</v>
      </c>
      <c r="D31" s="49">
        <v>90</v>
      </c>
      <c r="E31" s="49">
        <v>52</v>
      </c>
      <c r="F31" s="50">
        <f>(C31*100)/B31</f>
        <v>99.7677119628339</v>
      </c>
      <c r="G31" s="162">
        <f>(D31*100)/B31</f>
        <v>3.48432055749129</v>
      </c>
      <c r="H31" s="152">
        <f>((B31-B32)/B31)*100</f>
        <v>0.464576074332172</v>
      </c>
      <c r="I31" s="152">
        <f>((B31-C31)/B31)*100</f>
        <v>0.232288037166086</v>
      </c>
      <c r="J31" s="152">
        <f>((C31-B32)/C31)*100</f>
        <v>0.232828870779977</v>
      </c>
      <c r="K31" s="161">
        <f>100-(((C3-C32)/C3)*100)</f>
        <v>54.664660361135</v>
      </c>
      <c r="L31" s="54">
        <v>1.01512800620636</v>
      </c>
      <c r="M31" s="55" t="s">
        <v>28</v>
      </c>
      <c r="N31" s="54">
        <v>5.96</v>
      </c>
      <c r="O31" s="56">
        <f>N31/C31</f>
        <v>0.0023127667830811</v>
      </c>
      <c r="P31" s="57">
        <f>(Boosters_And!B31*100)/Boosters_And!N31</f>
        <v>0.262407561749442</v>
      </c>
      <c r="Q31" s="57">
        <f>Boosters_And!B31/(C31+D31)</f>
        <v>0.0056731899222956</v>
      </c>
      <c r="R31" s="57">
        <f>Boosters_And!N31/B31</f>
        <v>2.23228471940973</v>
      </c>
      <c r="S31" s="54">
        <v>3.80527540729247</v>
      </c>
      <c r="T31" s="58">
        <v>0.148234381063252</v>
      </c>
      <c r="U31" s="60">
        <v>1662.26891734575</v>
      </c>
      <c r="V31" s="59">
        <v>1778870</v>
      </c>
    </row>
    <row r="32" spans="1:22" s="168" customFormat="1" ht="22.500000" customHeight="1">
      <c r="A32" s="34">
        <v>30</v>
      </c>
      <c r="B32" s="49">
        <v>2571</v>
      </c>
      <c r="C32" s="49">
        <v>2543</v>
      </c>
      <c r="D32" s="49">
        <v>192</v>
      </c>
      <c r="E32" s="49">
        <v>106</v>
      </c>
      <c r="F32" s="50">
        <f>(C32*100)/B32</f>
        <v>98.9109295993777</v>
      </c>
      <c r="G32" s="162">
        <f>(D32*100)/B32</f>
        <v>7.46791131855309</v>
      </c>
      <c r="H32" s="152">
        <f>((B32-B33)/B32)*100</f>
        <v>1.94476857253987</v>
      </c>
      <c r="I32" s="152">
        <f>((B32-C32)/B32)*100</f>
        <v>1.08907040062233</v>
      </c>
      <c r="J32" s="152">
        <f>((C32-B33)/C32)*100</f>
        <v>0.865119937082187</v>
      </c>
      <c r="K32" s="151">
        <f>100-(((C3-C33)/C3)*100)</f>
        <v>52.5150472914875</v>
      </c>
      <c r="L32" s="54">
        <v>1.03341194968553</v>
      </c>
      <c r="M32" s="69" t="s">
        <v>28</v>
      </c>
      <c r="N32" s="54">
        <v>2.22</v>
      </c>
      <c r="O32" s="56">
        <f>N32/C32</f>
        <v>8.72984663782934E-04</v>
      </c>
      <c r="P32" s="57">
        <f>(Boosters_And!B32*100)/Boosters_And!N32</f>
        <v>0.54110056783109</v>
      </c>
      <c r="Q32" s="57">
        <f>Boosters_And!B32/(C32+D32)</f>
        <v>0.0117955374937933</v>
      </c>
      <c r="R32" s="57">
        <f>Boosters_And!N32/B32</f>
        <v>2.31896930292157</v>
      </c>
      <c r="S32" s="54">
        <v>4.65841194968553</v>
      </c>
      <c r="T32" s="58">
        <v>0.163979551710578</v>
      </c>
      <c r="U32" s="60">
        <v>1678.67754620527</v>
      </c>
      <c r="V32" s="59">
        <v>1774020</v>
      </c>
    </row>
    <row r="33" spans="1:22" s="168" customFormat="1" ht="22.500000" customHeight="1">
      <c r="A33" s="34">
        <v>31</v>
      </c>
      <c r="B33" s="49">
        <v>2521</v>
      </c>
      <c r="C33" s="49">
        <v>2443</v>
      </c>
      <c r="D33" s="49">
        <v>1054</v>
      </c>
      <c r="E33" s="49">
        <v>475</v>
      </c>
      <c r="F33" s="50">
        <f>(C33*100)/B33</f>
        <v>96.9059896866323</v>
      </c>
      <c r="G33" s="162">
        <f>(D33*100)/B33</f>
        <v>41.8088060293534</v>
      </c>
      <c r="H33" s="152">
        <f>((B33-B34)/B33)*100</f>
        <v>4.32368107893693</v>
      </c>
      <c r="I33" s="152">
        <f>((B33-C33)/B33)*100</f>
        <v>3.09401031336771</v>
      </c>
      <c r="J33" s="152">
        <f>((C33-B34)/C33)*100</f>
        <v>1.26893164142448</v>
      </c>
      <c r="K33" s="161">
        <f>100-(((C3-C34)/C3)*100)</f>
        <v>50.9028374892519</v>
      </c>
      <c r="L33" s="54">
        <v>1.20302906262791</v>
      </c>
      <c r="M33" s="55" t="s">
        <v>28</v>
      </c>
      <c r="N33" s="54">
        <v>13.92</v>
      </c>
      <c r="O33" s="56">
        <f>N33/C33</f>
        <v>0.00569791240278346</v>
      </c>
      <c r="P33" s="57">
        <f>(Boosters_And!B33*100)/Boosters_And!N33</f>
        <v>0.744854237313176</v>
      </c>
      <c r="Q33" s="57">
        <f>Boosters_And!B33/(C33+D33)</f>
        <v>0.018922956163815</v>
      </c>
      <c r="R33" s="57">
        <f>Boosters_And!N33/B33</f>
        <v>3.5240371432599</v>
      </c>
      <c r="S33" s="54">
        <v>4.57920589439214</v>
      </c>
      <c r="T33" s="58">
        <v>0.202210397052804</v>
      </c>
      <c r="U33" s="60">
        <v>1547.65738845682</v>
      </c>
      <c r="V33" s="59">
        <v>1569700</v>
      </c>
    </row>
    <row r="34" spans="1:22" s="168" customFormat="1" ht="22.500000" customHeight="1">
      <c r="A34" s="34">
        <v>32</v>
      </c>
      <c r="B34" s="49">
        <v>2412</v>
      </c>
      <c r="C34" s="49">
        <v>2368</v>
      </c>
      <c r="D34" s="49">
        <v>396</v>
      </c>
      <c r="E34" s="49">
        <v>202</v>
      </c>
      <c r="F34" s="50">
        <f>(C34*100)/B34</f>
        <v>98.1757877280265</v>
      </c>
      <c r="G34" s="162">
        <f>(D34*100)/B34</f>
        <v>16.4179104477612</v>
      </c>
      <c r="H34" s="152">
        <f>((B34-B35)/B34)*100</f>
        <v>2.86069651741294</v>
      </c>
      <c r="I34" s="152">
        <f>((B34-C34)/B34)*100</f>
        <v>1.82421227197347</v>
      </c>
      <c r="J34" s="152">
        <f>((C34-B35)/C34)*100</f>
        <v>1.05574324324324</v>
      </c>
      <c r="K34" s="161">
        <f>100-(((C3-C35)/C3)*100)</f>
        <v>47.6569217540843</v>
      </c>
      <c r="L34" s="54">
        <v>1.06756756756756</v>
      </c>
      <c r="M34" s="69" t="s">
        <v>28</v>
      </c>
      <c r="N34" s="54">
        <v>11.47</v>
      </c>
      <c r="O34" s="56">
        <f>N34/C34</f>
        <v>0.00484375</v>
      </c>
      <c r="P34" s="57">
        <f>(Boosters_And!B34*100)/Boosters_And!N34</f>
        <v>2.36840267583428</v>
      </c>
      <c r="Q34" s="57">
        <f>Boosters_And!B34/(C34+D34)</f>
        <v>0.0536083855661582</v>
      </c>
      <c r="R34" s="57">
        <f>Boosters_And!N34/B34</f>
        <v>2.59380856893164</v>
      </c>
      <c r="S34" s="54">
        <v>8.03758445945946</v>
      </c>
      <c r="T34" s="58">
        <v>0.1875</v>
      </c>
      <c r="U34" s="60">
        <v>1576.2339527027</v>
      </c>
      <c r="V34" s="59">
        <v>1522560</v>
      </c>
    </row>
    <row r="35" spans="1:22" s="168" customFormat="1" ht="22.500000" customHeight="1">
      <c r="A35" s="64">
        <v>33</v>
      </c>
      <c r="B35" s="49">
        <v>2343</v>
      </c>
      <c r="C35" s="49">
        <v>2217</v>
      </c>
      <c r="D35" s="49">
        <v>652</v>
      </c>
      <c r="E35" s="49">
        <v>417</v>
      </c>
      <c r="F35" s="50">
        <f>(C35*100)/B35</f>
        <v>94.6222791293214</v>
      </c>
      <c r="G35" s="162">
        <f>(D35*100)/B35</f>
        <v>27.8275714895433</v>
      </c>
      <c r="H35" s="152">
        <f>((B35-B36)/B35)*100</f>
        <v>5.80452411438327</v>
      </c>
      <c r="I35" s="152">
        <f>((B35-C35)/B35)*100</f>
        <v>5.37772087067862</v>
      </c>
      <c r="J35" s="152">
        <f>((C35-B36)/C35)*100</f>
        <v>0.4510599909788</v>
      </c>
      <c r="K35" s="161">
        <f>100-(((C3-C36)/C3)*100)</f>
        <v>45.0773860705073</v>
      </c>
      <c r="L35" s="54">
        <v>1.2467298150654</v>
      </c>
      <c r="M35" s="55" t="s">
        <v>28</v>
      </c>
      <c r="N35" s="54">
        <v>43.99</v>
      </c>
      <c r="O35" s="56">
        <f>N35/C35</f>
        <v>0.0198421290031574</v>
      </c>
      <c r="P35" s="57">
        <f>(Boosters_And!B35*100)/Boosters_And!N35</f>
        <v>2.74620005515164</v>
      </c>
      <c r="Q35" s="57">
        <f>Boosters_And!B35/(C35+D35)</f>
        <v>0.0805899173944339</v>
      </c>
      <c r="R35" s="57">
        <f>Boosters_And!N35/B35</f>
        <v>3.59341022072414</v>
      </c>
      <c r="S35" s="54">
        <v>4.24718087505638</v>
      </c>
      <c r="T35" s="58">
        <v>0.237257555254849</v>
      </c>
      <c r="U35" s="60">
        <v>1546.41723049166</v>
      </c>
      <c r="V35" s="59">
        <v>1484120</v>
      </c>
    </row>
    <row r="36" spans="1:22" s="168" customFormat="1" ht="22.500000" customHeight="1">
      <c r="A36" s="64">
        <v>34</v>
      </c>
      <c r="B36" s="49">
        <v>2207</v>
      </c>
      <c r="C36" s="49">
        <v>2097</v>
      </c>
      <c r="D36" s="49">
        <v>388</v>
      </c>
      <c r="E36" s="49">
        <v>263</v>
      </c>
      <c r="F36" s="50">
        <f>(C36*100)/B36</f>
        <v>95.0158586316266</v>
      </c>
      <c r="G36" s="156">
        <f>(D36*100)/B36</f>
        <v>17.5804259175351</v>
      </c>
      <c r="H36" s="152">
        <f>((B36-B37)/B36)*100</f>
        <v>4.84821024014499</v>
      </c>
      <c r="I36" s="152">
        <f>((B36-C36)/B36)*100</f>
        <v>4.98414136837336</v>
      </c>
      <c r="J36" s="152">
        <f>((C36-B37)/C36)*100</f>
        <v>-0.143061516452074</v>
      </c>
      <c r="K36" s="161">
        <f>100-(((C3-C37)/C3)*100)</f>
        <v>44.5829750644884</v>
      </c>
      <c r="L36" s="54">
        <v>1.26072449952335</v>
      </c>
      <c r="M36" s="69" t="s">
        <v>28</v>
      </c>
      <c r="N36" s="54">
        <v>49.41</v>
      </c>
      <c r="O36" s="56">
        <f>N36/C36</f>
        <v>0.0235622317596567</v>
      </c>
      <c r="P36" s="57">
        <f>(Boosters_And!B36*100)/Boosters_And!N36</f>
        <v>8.66607553219437</v>
      </c>
      <c r="Q36" s="57">
        <f>Boosters_And!B36/(C36+D36)</f>
        <v>0.23414758463994</v>
      </c>
      <c r="R36" s="57">
        <f>Boosters_And!N36/B36</f>
        <v>3.04222458812817</v>
      </c>
      <c r="S36" s="54">
        <v>4.79742612011439</v>
      </c>
      <c r="T36" s="58">
        <v>0.242250834525513</v>
      </c>
      <c r="U36" s="60">
        <v>1614.63376251788</v>
      </c>
      <c r="V36" s="59">
        <v>1504705</v>
      </c>
    </row>
    <row r="37" spans="1:22" s="168" customFormat="1" ht="22.500000" customHeight="1">
      <c r="A37" s="34">
        <v>35</v>
      </c>
      <c r="B37" s="49">
        <v>2100</v>
      </c>
      <c r="C37" s="49">
        <v>2074</v>
      </c>
      <c r="D37" s="49">
        <v>407</v>
      </c>
      <c r="E37" s="49">
        <v>197</v>
      </c>
      <c r="F37" s="50">
        <f>(C37*100)/B37</f>
        <v>98.7619047619048</v>
      </c>
      <c r="G37" s="156">
        <f>(D37*100)/B37</f>
        <v>19.3809523809524</v>
      </c>
      <c r="H37" s="152">
        <f>((B37-B38)/B37)*100</f>
        <v>2.04761904761905</v>
      </c>
      <c r="I37" s="152">
        <f>((B37-C37)/B37)*100</f>
        <v>1.23809523809524</v>
      </c>
      <c r="J37" s="152">
        <f>((C37-B38)/C37)*100</f>
        <v>0.819672131147541</v>
      </c>
      <c r="K37" s="161">
        <f>100-(((C3-C38)/C3)*100)</f>
        <v>44.2175408426483</v>
      </c>
      <c r="L37" s="54">
        <v>1.09879518072289</v>
      </c>
      <c r="M37" s="55" t="s">
        <v>28</v>
      </c>
      <c r="N37" s="54">
        <v>11.97</v>
      </c>
      <c r="O37" s="56">
        <f>N37/C37</f>
        <v>0.00577145612343298</v>
      </c>
      <c r="P37" s="57">
        <f>(Boosters_And!B37*100)/Boosters_And!N37</f>
        <v>1.08826803535064</v>
      </c>
      <c r="Q37" s="57">
        <f>Boosters_And!B37/(C37+D37)</f>
        <v>0.0250950403246774</v>
      </c>
      <c r="R37" s="57">
        <f>Boosters_And!N37/B37</f>
        <v>2.7243286283947</v>
      </c>
      <c r="S37" s="54">
        <v>4.84289156626506</v>
      </c>
      <c r="T37" s="58">
        <v>0.195756991321119</v>
      </c>
      <c r="U37" s="60">
        <v>1600.59884281582</v>
      </c>
      <c r="V37" s="59">
        <v>1464415</v>
      </c>
    </row>
    <row r="38" spans="1:22" s="168" customFormat="1" ht="22.500000" customHeight="1">
      <c r="A38" s="34">
        <v>36</v>
      </c>
      <c r="B38" s="49">
        <v>2057</v>
      </c>
      <c r="C38" s="49">
        <v>2057</v>
      </c>
      <c r="D38" s="49">
        <v>11</v>
      </c>
      <c r="E38" s="49">
        <v>13</v>
      </c>
      <c r="F38" s="50">
        <f>(C38*100)/B38</f>
        <v>100</v>
      </c>
      <c r="G38" s="157">
        <f>(D38*100)/B38</f>
        <v>0.53475935828877</v>
      </c>
      <c r="H38" s="152">
        <f>((B38-B39)/B38)*100</f>
        <v>1.1181332036947</v>
      </c>
      <c r="I38" s="152">
        <f>((B38-C38)/B38)*100</f>
        <v>0</v>
      </c>
      <c r="J38" s="152">
        <f>((C38-B39)/C38)*100</f>
        <v>1.1181332036947</v>
      </c>
      <c r="K38" s="161">
        <f>100-(((C3-C39)/C3)*100)</f>
        <v>43.6801375752365</v>
      </c>
      <c r="L38" s="54">
        <v>1.00048590864917</v>
      </c>
      <c r="M38" s="69" t="s">
        <v>28</v>
      </c>
      <c r="N38" s="54">
        <v>9.95</v>
      </c>
      <c r="O38" s="56">
        <f>N38/C38</f>
        <v>0.00483714146815751</v>
      </c>
      <c r="P38" s="57">
        <f>(Boosters_And!B38*100)/Boosters_And!N38</f>
        <v>0.329390257785098</v>
      </c>
      <c r="Q38" s="57">
        <f>Boosters_And!B38/(C38+D38)</f>
        <v>0.00725338491295938</v>
      </c>
      <c r="R38" s="57">
        <f>Boosters_And!N38/B38</f>
        <v>2.21383993461389</v>
      </c>
      <c r="S38" s="54">
        <v>8.07580174927113</v>
      </c>
      <c r="T38" s="58">
        <v>0.172581429265921</v>
      </c>
      <c r="U38" s="60">
        <v>1675.50170150705</v>
      </c>
      <c r="V38" s="59">
        <v>1476400</v>
      </c>
    </row>
    <row r="39" spans="1:22" s="168" customFormat="1" ht="22.500000" customHeight="1">
      <c r="A39" s="34">
        <v>37</v>
      </c>
      <c r="B39" s="49">
        <v>2034</v>
      </c>
      <c r="C39" s="49">
        <v>2032</v>
      </c>
      <c r="D39" s="49">
        <v>9</v>
      </c>
      <c r="E39" s="49">
        <v>7</v>
      </c>
      <c r="F39" s="50">
        <f>(C39*100)/B39</f>
        <v>99.9016715830875</v>
      </c>
      <c r="G39" s="156">
        <f>(D39*100)/B39</f>
        <v>0.442477876106195</v>
      </c>
      <c r="H39" s="152">
        <f>((B39-B40)/B39)*100</f>
        <v>0.442477876106195</v>
      </c>
      <c r="I39" s="152">
        <f>((B39-C39)/B39)*100</f>
        <v>0.0983284169124877</v>
      </c>
      <c r="J39" s="152">
        <f>((C39-B40)/C39)*100</f>
        <v>0.344488188976378</v>
      </c>
      <c r="K39" s="161">
        <f>100-(((C3-C40)/C3)*100)</f>
        <v>43.4221840068788</v>
      </c>
      <c r="L39" s="54">
        <v>1</v>
      </c>
      <c r="M39" s="55" t="s">
        <v>28</v>
      </c>
      <c r="N39" s="54">
        <v>15.96</v>
      </c>
      <c r="O39" s="56">
        <f>N39/C39</f>
        <v>0.00785433070866142</v>
      </c>
      <c r="P39" s="57">
        <f>(Boosters_And!B39*100)/Boosters_And!N39</f>
        <v>0.318492640714114</v>
      </c>
      <c r="Q39" s="57">
        <f>Boosters_And!B39/(C39+D39)</f>
        <v>0.00730660590854311</v>
      </c>
      <c r="R39" s="57">
        <f>Boosters_And!N39/B39</f>
        <v>2.30201600163312</v>
      </c>
      <c r="S39" s="54">
        <v>3.27053615346778</v>
      </c>
      <c r="T39" s="58">
        <v>0.169291338582677</v>
      </c>
      <c r="U39" s="60">
        <v>1734.37844488189</v>
      </c>
      <c r="V39" s="59">
        <v>1489390</v>
      </c>
    </row>
    <row r="40" spans="1:22" s="168" customFormat="1" ht="22.500000" customHeight="1">
      <c r="A40" s="64">
        <v>38</v>
      </c>
      <c r="B40" s="49">
        <v>2025</v>
      </c>
      <c r="C40" s="49">
        <v>2020</v>
      </c>
      <c r="D40" s="49">
        <v>18</v>
      </c>
      <c r="E40" s="49">
        <v>16</v>
      </c>
      <c r="F40" s="50">
        <f>(C40*100)/B40</f>
        <v>99.7530864197531</v>
      </c>
      <c r="G40" s="156">
        <f>(D40*100)/B40</f>
        <v>0.888888888888889</v>
      </c>
      <c r="H40" s="152">
        <f>((B40-B41)/B40)*100</f>
        <v>-4.09876543209877</v>
      </c>
      <c r="I40" s="152">
        <f>((B40-C40)/B40)*100</f>
        <v>0.246913580246914</v>
      </c>
      <c r="J40" s="152">
        <f>((C40-B41)/C40)*100</f>
        <v>-4.35643564356436</v>
      </c>
      <c r="K40" s="161">
        <f>100-(((C3-C41)/C3)*100)</f>
        <v>40.4557179707653</v>
      </c>
      <c r="L40" s="54">
        <v>1.002474022761</v>
      </c>
      <c r="M40" s="69" t="s">
        <v>28</v>
      </c>
      <c r="N40" s="54">
        <v>34.93</v>
      </c>
      <c r="O40" s="56">
        <f>N40/C40</f>
        <v>0.0172920792079208</v>
      </c>
      <c r="P40" s="57">
        <f>(Boosters_And!B40*100)/Boosters_And!N40</f>
        <v>0.200859393244719</v>
      </c>
      <c r="Q40" s="57">
        <f>Boosters_And!B40/(C40+D40)</f>
        <v>0.00490677134445535</v>
      </c>
      <c r="R40" s="57">
        <f>Boosters_And!N40/B40</f>
        <v>2.45857140418705</v>
      </c>
      <c r="S40" s="54">
        <v>3.84760019792182</v>
      </c>
      <c r="T40" s="58">
        <v>0.16980198019802</v>
      </c>
      <c r="U40" s="60">
        <v>1827.22871287129</v>
      </c>
      <c r="V40" s="59">
        <v>1529905</v>
      </c>
    </row>
    <row r="41" spans="1:22" s="168" customFormat="1" ht="22.500000" customHeight="1">
      <c r="A41" s="34">
        <v>39</v>
      </c>
      <c r="B41" s="49">
        <v>2108</v>
      </c>
      <c r="C41" s="49">
        <v>1882</v>
      </c>
      <c r="D41" s="49">
        <v>1224</v>
      </c>
      <c r="E41" s="49">
        <v>763</v>
      </c>
      <c r="F41" s="50">
        <f>(C41*100)/B41</f>
        <v>89.2789373814042</v>
      </c>
      <c r="G41" s="158">
        <f>(D41*100)/B41</f>
        <v>58.0645161290323</v>
      </c>
      <c r="H41" s="151">
        <f>((B41-B42)/B41)*100</f>
        <v>4.64895635673624</v>
      </c>
      <c r="I41" s="152">
        <f>((B41-C41)/B41)*100</f>
        <v>10.7210626185958</v>
      </c>
      <c r="J41" s="152">
        <f>((C41-B42)/C41)*100</f>
        <v>-6.80127523910733</v>
      </c>
      <c r="K41" s="161">
        <f>100-(((C3-C42)/C3)*100)</f>
        <v>36.8228718830611</v>
      </c>
      <c r="L41" s="54">
        <v>1.63993627190653</v>
      </c>
      <c r="M41" s="73" t="s">
        <v>30</v>
      </c>
      <c r="N41" s="54">
        <v>52.42</v>
      </c>
      <c r="O41" s="56">
        <f>N41/C41</f>
        <v>0.0278533475026568</v>
      </c>
      <c r="P41" s="57">
        <f>(Boosters_And!B41*100)/Boosters_And!N41</f>
        <v>2.78364674161277</v>
      </c>
      <c r="Q41" s="57">
        <f>Boosters_And!B41/(C41+D41)</f>
        <v>0.13369329307933</v>
      </c>
      <c r="R41" s="57">
        <f>Boosters_And!N41/B41</f>
        <v>7.07662765501576</v>
      </c>
      <c r="S41" s="54">
        <v>4.17950079660116</v>
      </c>
      <c r="T41" s="58">
        <v>0.339001062699256</v>
      </c>
      <c r="U41" s="60">
        <v>1620.48193411265</v>
      </c>
      <c r="V41" s="59">
        <v>1255545</v>
      </c>
    </row>
    <row r="42" spans="1:22" s="168" customFormat="1" ht="22.500000" customHeight="1">
      <c r="A42" s="34">
        <v>40</v>
      </c>
      <c r="B42" s="49">
        <v>2010</v>
      </c>
      <c r="C42" s="49">
        <v>1713</v>
      </c>
      <c r="D42" s="49">
        <v>1644</v>
      </c>
      <c r="E42" s="49">
        <v>965</v>
      </c>
      <c r="F42" s="50">
        <f>(C42*100)/B42</f>
        <v>85.2238805970149</v>
      </c>
      <c r="G42" s="162">
        <f>(D42*100)/B42</f>
        <v>81.7910447761194</v>
      </c>
      <c r="H42" s="163">
        <f>((B42-B43)/B42)*100</f>
        <v>14.8258706467662</v>
      </c>
      <c r="I42" s="152">
        <f>((B42-C42)/B42)*100</f>
        <v>14.7761194029851</v>
      </c>
      <c r="J42" s="152">
        <f>((C42-B43)/C42)*100</f>
        <v>0.0583771161704612</v>
      </c>
      <c r="K42" s="161">
        <f>100-(((C3-C43)/C3)*100)</f>
        <v>36.7368873602752</v>
      </c>
      <c r="L42" s="54">
        <v>1.73862310385064</v>
      </c>
      <c r="M42" s="68" t="s">
        <v>29</v>
      </c>
      <c r="N42" s="54">
        <v>106.5</v>
      </c>
      <c r="O42" s="56">
        <f>N42/C42</f>
        <v>0.0621716287215412</v>
      </c>
      <c r="P42" s="74">
        <f>(Boosters_And!B42*100)/Boosters_And!N42</f>
        <v>18.9980672991745</v>
      </c>
      <c r="Q42" s="57">
        <f>Boosters_And!B42/(C42+D42)</f>
        <v>0.686912126001917</v>
      </c>
      <c r="R42" s="57">
        <f>Boosters_And!N42/B42</f>
        <v>6.03874992416183</v>
      </c>
      <c r="S42" s="54">
        <v>7.47724620770128</v>
      </c>
      <c r="T42" s="58">
        <v>0.533566841798015</v>
      </c>
      <c r="U42" s="60">
        <v>1310.22300058377</v>
      </c>
      <c r="V42" s="59">
        <v>851110</v>
      </c>
    </row>
    <row r="43" spans="1:22" s="168" customFormat="1" ht="22.500000" customHeight="1">
      <c r="A43" s="34">
        <v>41</v>
      </c>
      <c r="B43" s="49">
        <v>1712</v>
      </c>
      <c r="C43" s="49">
        <v>1709</v>
      </c>
      <c r="D43" s="49">
        <v>14</v>
      </c>
      <c r="E43" s="49">
        <v>16</v>
      </c>
      <c r="F43" s="50">
        <f>(C43*100)/B43</f>
        <v>99.8247663551402</v>
      </c>
      <c r="G43" s="156">
        <f>(D43*100)/B43</f>
        <v>0.817757009345794</v>
      </c>
      <c r="H43" s="152">
        <f>((B43-B44)/B43)*100</f>
        <v>-4.38084112149533</v>
      </c>
      <c r="I43" s="152">
        <f>((B43-C43)/B43)*100</f>
        <v>0.175233644859813</v>
      </c>
      <c r="J43" s="152">
        <f>((C43-B44)/C43)*100</f>
        <v>-4.56407255705091</v>
      </c>
      <c r="K43" s="161">
        <f>100-(((C3-C44)/C3)*100)</f>
        <v>35.0601891659501</v>
      </c>
      <c r="L43" s="54">
        <v>1.00058479532163</v>
      </c>
      <c r="M43" s="55" t="s">
        <v>28</v>
      </c>
      <c r="N43" s="54">
        <v>18.96</v>
      </c>
      <c r="O43" s="56">
        <f>N43/C43</f>
        <v>0.0110942071386776</v>
      </c>
      <c r="P43" s="57">
        <f>(Boosters_And!B43*100)/Boosters_And!N43</f>
        <v>1.20189443568601</v>
      </c>
      <c r="Q43" s="57">
        <f>Boosters_And!B43/(C43+D43)</f>
        <v>0.0278583865351132</v>
      </c>
      <c r="R43" s="57">
        <f>Boosters_And!N43/B43</f>
        <v>2.33276586903967</v>
      </c>
      <c r="S43" s="54">
        <v>4.38070175438596</v>
      </c>
      <c r="T43" s="58">
        <v>0.222352252779403</v>
      </c>
      <c r="U43" s="60">
        <v>1390.94031597425</v>
      </c>
      <c r="V43" s="59">
        <v>924730</v>
      </c>
    </row>
    <row r="44" spans="1:22" s="168" customFormat="1" ht="22.500000" customHeight="1">
      <c r="A44" s="34">
        <v>42</v>
      </c>
      <c r="B44" s="49">
        <v>1787</v>
      </c>
      <c r="C44" s="49">
        <v>1631</v>
      </c>
      <c r="D44" s="49">
        <v>1280</v>
      </c>
      <c r="E44" s="49">
        <v>842</v>
      </c>
      <c r="F44" s="50">
        <f>(C44*100)/B44</f>
        <v>91.270285394516</v>
      </c>
      <c r="G44" s="156">
        <f>(D44*100)/B44</f>
        <v>71.6284275321768</v>
      </c>
      <c r="H44" s="151">
        <f>((B44-B45)/B44)*100</f>
        <v>9.17739227756016</v>
      </c>
      <c r="I44" s="152">
        <f>((B44-C44)/B44)*100</f>
        <v>8.72971460548405</v>
      </c>
      <c r="J44" s="152">
        <f>((C44-B45)/C44)*100</f>
        <v>0.490496627835684</v>
      </c>
      <c r="K44" s="161">
        <f>100-(((C3-C45)/C3)*100)</f>
        <v>34.6517626827171</v>
      </c>
      <c r="L44" s="54">
        <v>1.96078431372549</v>
      </c>
      <c r="M44" s="75" t="s">
        <v>30</v>
      </c>
      <c r="N44" s="54">
        <v>83.1</v>
      </c>
      <c r="O44" s="56">
        <f>N44/C44</f>
        <v>0.0509503372164316</v>
      </c>
      <c r="P44" s="57">
        <f>(Boosters_And!B44*100)/Boosters_And!N44</f>
        <v>8.35953855029886</v>
      </c>
      <c r="Q44" s="57">
        <f>Boosters_And!B44/(C44+D44)</f>
        <v>0.32915380346724</v>
      </c>
      <c r="R44" s="57">
        <f>Boosters_And!N44/B44</f>
        <v>6.41407783660762</v>
      </c>
      <c r="S44" s="54">
        <v>5.93014705882352</v>
      </c>
      <c r="T44" s="58">
        <v>0.45003065603924</v>
      </c>
      <c r="U44" s="60">
        <v>1245.99754751686</v>
      </c>
      <c r="V44" s="59">
        <v>724362</v>
      </c>
    </row>
    <row r="45" spans="1:22" s="168" customFormat="1" ht="22.500000" customHeight="1">
      <c r="A45" s="64">
        <v>43</v>
      </c>
      <c r="B45" s="49">
        <v>1623</v>
      </c>
      <c r="C45" s="49">
        <v>1612</v>
      </c>
      <c r="D45" s="49">
        <v>144</v>
      </c>
      <c r="E45" s="49">
        <v>106</v>
      </c>
      <c r="F45" s="50">
        <f>(C45*100)/B45</f>
        <v>99.3222427603204</v>
      </c>
      <c r="G45" s="156">
        <f>(D45*100)/B45</f>
        <v>8.8724584103512</v>
      </c>
      <c r="H45" s="152">
        <f>((B45-B46)/B45)*100</f>
        <v>1.60197165742452</v>
      </c>
      <c r="I45" s="152">
        <f>((B45-C45)/B45)*100</f>
        <v>0.677757239679606</v>
      </c>
      <c r="J45" s="152">
        <f>((C45-B46)/C45)*100</f>
        <v>0.930521091811414</v>
      </c>
      <c r="K45" s="161">
        <f>100-(((C3-C46)/C3)*100)</f>
        <v>34.3078245915735</v>
      </c>
      <c r="L45" s="54">
        <v>1.04711717296962</v>
      </c>
      <c r="M45" s="55" t="s">
        <v>28</v>
      </c>
      <c r="N45" s="54">
        <v>5.96</v>
      </c>
      <c r="O45" s="56">
        <f>N45/C45</f>
        <v>0.00369727047146402</v>
      </c>
      <c r="P45" s="57">
        <f>(Boosters_And!B45*100)/Boosters_And!N45</f>
        <v>6.14703163568699</v>
      </c>
      <c r="Q45" s="57">
        <f>Boosters_And!B45/(C45+D45)</f>
        <v>0.1544022764936</v>
      </c>
      <c r="R45" s="57">
        <f>Boosters_And!N45/B45</f>
        <v>2.71765449657223</v>
      </c>
      <c r="S45" s="54">
        <v>4.44575325480471</v>
      </c>
      <c r="T45" s="58">
        <v>0.241935483870968</v>
      </c>
      <c r="U45" s="60">
        <v>1293.86290322581</v>
      </c>
      <c r="V45" s="59">
        <v>771317</v>
      </c>
    </row>
    <row r="46" spans="1:22" s="168" customFormat="1" ht="22.500000" customHeight="1">
      <c r="A46" s="34">
        <v>44</v>
      </c>
      <c r="B46" s="49">
        <v>1597</v>
      </c>
      <c r="C46" s="49">
        <v>1596</v>
      </c>
      <c r="D46" s="49">
        <v>6</v>
      </c>
      <c r="E46" s="49">
        <v>6</v>
      </c>
      <c r="F46" s="50">
        <f>(C46*100)/B46</f>
        <v>99.9373825923607</v>
      </c>
      <c r="G46" s="156">
        <f>(D46*100)/B46</f>
        <v>0.375704445835942</v>
      </c>
      <c r="H46" s="152">
        <f>((B46-B47)/B46)*100</f>
        <v>0.814026299311208</v>
      </c>
      <c r="I46" s="152">
        <f>((B46-C46)/B46)*100</f>
        <v>0.0626174076393237</v>
      </c>
      <c r="J46" s="152">
        <f>((C46-B47)/C46)*100</f>
        <v>0.75187969924812</v>
      </c>
      <c r="K46" s="161">
        <f>100-(((C3-C47)/C3)*100)</f>
        <v>34.0713671539123</v>
      </c>
      <c r="L46" s="54">
        <v>1</v>
      </c>
      <c r="M46" s="68" t="s">
        <v>29</v>
      </c>
      <c r="N46" s="54">
        <v>9.47</v>
      </c>
      <c r="O46" s="56">
        <f>N46/C46</f>
        <v>0.00593358395989975</v>
      </c>
      <c r="P46" s="57">
        <f>(Boosters_And!B46*100)/Boosters_And!N46</f>
        <v>0.300871719995717</v>
      </c>
      <c r="Q46" s="57">
        <f>Boosters_And!B46/(C46+D46)</f>
        <v>0.00686641697877653</v>
      </c>
      <c r="R46" s="57">
        <f>Boosters_And!N46/B46</f>
        <v>2.28931946160432</v>
      </c>
      <c r="S46" s="54">
        <v>6.24295554164057</v>
      </c>
      <c r="T46" s="58">
        <v>0.217418546365915</v>
      </c>
      <c r="U46" s="60">
        <v>1383.63533834587</v>
      </c>
      <c r="V46" s="59">
        <v>814852</v>
      </c>
    </row>
    <row r="47" spans="1:22" s="168" customFormat="1" ht="22.500000" customHeight="1">
      <c r="A47" s="64">
        <v>45</v>
      </c>
      <c r="B47" s="49">
        <v>1584</v>
      </c>
      <c r="C47" s="49">
        <v>1585</v>
      </c>
      <c r="D47" s="49">
        <v>5</v>
      </c>
      <c r="E47" s="49">
        <v>6</v>
      </c>
      <c r="F47" s="50">
        <f>(C47*100)/B47</f>
        <v>100.063131313131</v>
      </c>
      <c r="G47" s="156">
        <f>(D47*100)/B47</f>
        <v>0.315656565656566</v>
      </c>
      <c r="H47" s="152">
        <f>((B47-B48)/B47)*100</f>
        <v>0.946969696969697</v>
      </c>
      <c r="I47" s="152">
        <f>((B47-C47)/B47)*100</f>
        <v>-0.0631313131313131</v>
      </c>
      <c r="J47" s="152">
        <f>((C47-B48)/C47)*100</f>
        <v>1.00946372239748</v>
      </c>
      <c r="K47" s="161">
        <f>100-(((C3-C48)/C3)*100)</f>
        <v>33.7059329320722</v>
      </c>
      <c r="L47" s="54">
        <v>1.00126182965299</v>
      </c>
      <c r="M47" s="55" t="s">
        <v>28</v>
      </c>
      <c r="N47" s="54">
        <v>16.98</v>
      </c>
      <c r="O47" s="56">
        <f>N47/C47</f>
        <v>0.0107129337539432</v>
      </c>
      <c r="P47" s="57">
        <f>(Boosters_And!B47*100)/Boosters_And!N47</f>
        <v>0.10789891317893</v>
      </c>
      <c r="Q47" s="57">
        <f>Boosters_And!B47/(C47+D47)</f>
        <v>0.00251572327044025</v>
      </c>
      <c r="R47" s="57">
        <f>Boosters_And!N47/B47</f>
        <v>2.34038735966216</v>
      </c>
      <c r="S47" s="54">
        <v>4.48328075709779</v>
      </c>
      <c r="T47" s="58">
        <v>0.207570977917981</v>
      </c>
      <c r="U47" s="60">
        <v>1436.64479495268</v>
      </c>
      <c r="V47" s="59">
        <v>846192</v>
      </c>
    </row>
    <row r="48" spans="1:22" s="168" customFormat="1" ht="22.500000" customHeight="1">
      <c r="A48" s="34">
        <v>46</v>
      </c>
      <c r="B48" s="49">
        <v>1569</v>
      </c>
      <c r="C48" s="49">
        <v>1568</v>
      </c>
      <c r="D48" s="49">
        <v>1</v>
      </c>
      <c r="E48" s="49">
        <v>2</v>
      </c>
      <c r="F48" s="50">
        <f>(C48*100)/B48</f>
        <v>99.93626513703</v>
      </c>
      <c r="G48" s="156">
        <f>(D48*100)/B48</f>
        <v>0.0637348629700446</v>
      </c>
      <c r="H48" s="152">
        <f>((B48-B49)/B48)*100</f>
        <v>0.701083492670491</v>
      </c>
      <c r="I48" s="152">
        <f>((B48-C48)/B48)*100</f>
        <v>0.0637348629700446</v>
      </c>
      <c r="J48" s="152">
        <f>((C48-B49)/C48)*100</f>
        <v>0.637755102040816</v>
      </c>
      <c r="K48" s="161">
        <f>100-(((C3-C49)/C3)*100)</f>
        <v>33.4909716251075</v>
      </c>
      <c r="L48" s="54">
        <v>1</v>
      </c>
      <c r="M48" s="69" t="s">
        <v>28</v>
      </c>
      <c r="N48" s="54">
        <v>5.96</v>
      </c>
      <c r="O48" s="56">
        <f>N48/C48</f>
        <v>0.00380102040816327</v>
      </c>
      <c r="P48" s="57">
        <f>(Boosters_And!B48*100)/Boosters_And!N48</f>
        <v>0.0809906692811444</v>
      </c>
      <c r="Q48" s="57">
        <f>Boosters_And!B48/(C48+D48)</f>
        <v>0.00191204588910134</v>
      </c>
      <c r="R48" s="57">
        <f>Boosters_And!N48/B48</f>
        <v>2.3608224330929</v>
      </c>
      <c r="S48" s="54">
        <v>5.89795918367346</v>
      </c>
      <c r="T48" s="58">
        <v>0.198979591836735</v>
      </c>
      <c r="U48" s="60">
        <v>1504.18494897959</v>
      </c>
      <c r="V48" s="59">
        <v>886697</v>
      </c>
    </row>
    <row r="49" spans="1:22" s="168" customFormat="1" ht="22.500000" customHeight="1">
      <c r="A49" s="34">
        <v>47</v>
      </c>
      <c r="B49" s="49">
        <v>1558</v>
      </c>
      <c r="C49" s="49">
        <v>1558</v>
      </c>
      <c r="D49" s="49">
        <v>2</v>
      </c>
      <c r="E49" s="49">
        <v>3</v>
      </c>
      <c r="F49" s="50">
        <f>(C49*100)/B49</f>
        <v>100</v>
      </c>
      <c r="G49" s="156">
        <f>(D49*100)/B49</f>
        <v>0.128369704749679</v>
      </c>
      <c r="H49" s="152">
        <f>((B49-B50)/B49)*100</f>
        <v>0.0641848523748395</v>
      </c>
      <c r="I49" s="152">
        <f>((B49-C49)/B49)*100</f>
        <v>0</v>
      </c>
      <c r="J49" s="152">
        <f>((C49-B50)/C49)*100</f>
        <v>0.0641848523748395</v>
      </c>
      <c r="K49" s="161">
        <f>100-(((C3-C50)/C3)*100)</f>
        <v>33.1255374032674</v>
      </c>
      <c r="L49" s="54">
        <v>1</v>
      </c>
      <c r="M49" s="55" t="s">
        <v>28</v>
      </c>
      <c r="N49" s="54">
        <v>6</v>
      </c>
      <c r="O49" s="56">
        <f>N49/C49</f>
        <v>0.00385109114249037</v>
      </c>
      <c r="P49" s="57">
        <f>(Boosters_And!B49*100)/Boosters_And!N49</f>
        <v>0.0533723193924564</v>
      </c>
      <c r="Q49" s="57">
        <f>Boosters_And!B49/(C49+D49)</f>
        <v>0.00128205128205128</v>
      </c>
      <c r="R49" s="57">
        <f>Boosters_And!N49/B49</f>
        <v>2.40517380940021</v>
      </c>
      <c r="S49" s="54">
        <v>3.73234916559691</v>
      </c>
      <c r="T49" s="58">
        <v>0.188703465982028</v>
      </c>
      <c r="U49" s="60">
        <v>1552.82220795892</v>
      </c>
      <c r="V49" s="59">
        <v>924872</v>
      </c>
    </row>
    <row r="50" spans="1:22" s="168" customFormat="1" ht="22.500000" customHeight="1">
      <c r="A50" s="64">
        <v>48</v>
      </c>
      <c r="B50" s="49">
        <v>1557</v>
      </c>
      <c r="C50" s="49">
        <v>1541</v>
      </c>
      <c r="D50" s="49">
        <v>314</v>
      </c>
      <c r="E50" s="49">
        <v>187</v>
      </c>
      <c r="F50" s="50">
        <f>(C50*100)/B50</f>
        <v>98.9723827874117</v>
      </c>
      <c r="G50" s="156">
        <f>(D50*100)/B50</f>
        <v>20.1669877970456</v>
      </c>
      <c r="H50" s="152">
        <f>((B50-B51)/B50)*100</f>
        <v>-1.92678227360308</v>
      </c>
      <c r="I50" s="152">
        <f>((B50-C50)/B50)*100</f>
        <v>1.02761721258831</v>
      </c>
      <c r="J50" s="152">
        <f>((C50-B51)/C50)*100</f>
        <v>-2.98507462686567</v>
      </c>
      <c r="K50" s="161">
        <f>100-(((C3-C51)/C3)*100)</f>
        <v>31.8787618228719</v>
      </c>
      <c r="L50" s="54">
        <v>1.10123296560674</v>
      </c>
      <c r="M50" s="69" t="s">
        <v>28</v>
      </c>
      <c r="N50" s="54">
        <v>4.99</v>
      </c>
      <c r="O50" s="56">
        <f>N50/C50</f>
        <v>0.00323815704088254</v>
      </c>
      <c r="P50" s="57">
        <f>(Boosters_And!B50*100)/Boosters_And!N50</f>
        <v>0.471509841373557</v>
      </c>
      <c r="Q50" s="57">
        <f>Boosters_And!B50/(C50+D50)</f>
        <v>0.0130083005513544</v>
      </c>
      <c r="R50" s="57">
        <f>Boosters_And!N50/B50</f>
        <v>3.28688948579965</v>
      </c>
      <c r="S50" s="54">
        <v>4.2881245944192</v>
      </c>
      <c r="T50" s="58">
        <v>0.227125243348475</v>
      </c>
      <c r="U50" s="60">
        <v>1271.58144062297</v>
      </c>
      <c r="V50" s="59">
        <v>914237</v>
      </c>
    </row>
    <row r="51" spans="1:22" s="168" customFormat="1" ht="22.500000" customHeight="1">
      <c r="A51" s="34">
        <v>49</v>
      </c>
      <c r="B51" s="49">
        <v>1587</v>
      </c>
      <c r="C51" s="49">
        <v>1483</v>
      </c>
      <c r="D51" s="49">
        <v>1060</v>
      </c>
      <c r="E51" s="49">
        <v>557</v>
      </c>
      <c r="F51" s="50">
        <f>(C51*100)/B51</f>
        <v>93.4467548834279</v>
      </c>
      <c r="G51" s="156">
        <f>(D51*100)/B51</f>
        <v>66.7926906112161</v>
      </c>
      <c r="H51" s="152">
        <f>((B51-B52)/B51)*100</f>
        <v>3.27662255828607</v>
      </c>
      <c r="I51" s="152">
        <f>((B51-C51)/B51)*100</f>
        <v>6.55324511657215</v>
      </c>
      <c r="J51" s="152">
        <f>((C51-B52)/C51)*100</f>
        <v>-3.50640593391773</v>
      </c>
      <c r="K51" s="161">
        <f>100-(((C3-C52)/C3)*100)</f>
        <v>30.7179707652623</v>
      </c>
      <c r="L51" s="54">
        <v>1.45785569790964</v>
      </c>
      <c r="M51" s="70" t="s">
        <v>29</v>
      </c>
      <c r="N51" s="54">
        <v>66.3</v>
      </c>
      <c r="O51" s="56">
        <f>N51/C51</f>
        <v>0.0447066756574511</v>
      </c>
      <c r="P51" s="57">
        <f>(Boosters_And!B51*100)/Boosters_And!N51</f>
        <v>3.5803562208076</v>
      </c>
      <c r="Q51" s="57">
        <f>Boosters_And!B51/(C51+D51)</f>
        <v>0.118054115622558</v>
      </c>
      <c r="R51" s="57">
        <f>Boosters_And!N51/B51</f>
        <v>5.28353182171698</v>
      </c>
      <c r="S51" s="54">
        <v>6.64733648010789</v>
      </c>
      <c r="T51" s="58">
        <v>0.443020903573837</v>
      </c>
      <c r="U51" s="60">
        <v>1028.73701955496</v>
      </c>
      <c r="V51" s="59">
        <v>729952</v>
      </c>
    </row>
    <row r="52" spans="1:22" s="168" customFormat="1" ht="22.500000" customHeight="1">
      <c r="A52" s="64">
        <v>50</v>
      </c>
      <c r="B52" s="49">
        <v>1535</v>
      </c>
      <c r="C52" s="49">
        <v>1429</v>
      </c>
      <c r="D52" s="49">
        <v>879</v>
      </c>
      <c r="E52" s="49">
        <v>559</v>
      </c>
      <c r="F52" s="50">
        <f>(C52*100)/B52</f>
        <v>93.0944625407166</v>
      </c>
      <c r="G52" s="156">
        <f>(D52*100)/B52</f>
        <v>57.2638436482085</v>
      </c>
      <c r="H52" s="151">
        <f>((B52-B53)/B52)*100</f>
        <v>4.56026058631922</v>
      </c>
      <c r="I52" s="152">
        <f>((B52-C52)/B52)*100</f>
        <v>6.90553745928339</v>
      </c>
      <c r="J52" s="152">
        <f>((C52-B53)/C52)*100</f>
        <v>-2.51924422673198</v>
      </c>
      <c r="K52" s="151">
        <f>100-(((C3-C53)/C3)*100)</f>
        <v>28.1384350816853</v>
      </c>
      <c r="L52" s="54">
        <v>1.39118264520643</v>
      </c>
      <c r="M52" s="69" t="s">
        <v>28</v>
      </c>
      <c r="N52" s="54">
        <v>41.81</v>
      </c>
      <c r="O52" s="56">
        <f>N52/C52</f>
        <v>0.02925822253324</v>
      </c>
      <c r="P52" s="57">
        <f>(Boosters_And!B52*100)/Boosters_And!N52</f>
        <v>9.03917430945881</v>
      </c>
      <c r="Q52" s="57">
        <f>Boosters_And!B52/(C52+D52)</f>
        <v>0.293061175794206</v>
      </c>
      <c r="R52" s="57">
        <f>Boosters_And!N52/B52</f>
        <v>4.87480166811716</v>
      </c>
      <c r="S52" s="54">
        <v>5.95101469559132</v>
      </c>
      <c r="T52" s="58">
        <v>0.405878236529041</v>
      </c>
      <c r="U52" s="60">
        <v>1004.45206438069</v>
      </c>
      <c r="V52" s="59">
        <v>654172</v>
      </c>
    </row>
    <row r="53" spans="1:22" s="168" customFormat="1" ht="22.500000" customHeight="1">
      <c r="A53" s="34">
        <v>51</v>
      </c>
      <c r="B53" s="49">
        <v>1465</v>
      </c>
      <c r="C53" s="49">
        <v>1309</v>
      </c>
      <c r="D53" s="49">
        <v>864</v>
      </c>
      <c r="E53" s="49">
        <v>663</v>
      </c>
      <c r="F53" s="50">
        <f>(C53*100)/B53</f>
        <v>89.3515358361775</v>
      </c>
      <c r="G53" s="156">
        <f>(D53*100)/B53</f>
        <v>58.9761092150171</v>
      </c>
      <c r="H53" s="151">
        <f>((B53-B54)/B53)*100</f>
        <v>11.4675767918089</v>
      </c>
      <c r="I53" s="152">
        <f>((B53-C53)/B53)*100</f>
        <v>10.6484641638225</v>
      </c>
      <c r="J53" s="152">
        <f>((C53-B54)/C53)*100</f>
        <v>0.916730328495035</v>
      </c>
      <c r="K53" s="161">
        <f>100-(((C3-C54)/C3)*100)</f>
        <v>27.2355975924334</v>
      </c>
      <c r="L53" s="54">
        <v>1.65393430099312</v>
      </c>
      <c r="M53" s="73" t="s">
        <v>30</v>
      </c>
      <c r="N53" s="54">
        <v>115.78</v>
      </c>
      <c r="O53" s="56">
        <f>N53/C53</f>
        <v>0.0884491978609626</v>
      </c>
      <c r="P53" s="57">
        <f>(Boosters_And!B53*100)/Boosters_And!N53</f>
        <v>21.9928846353144</v>
      </c>
      <c r="Q53" s="57">
        <f>Boosters_And!B53/(C53+D53)</f>
        <v>0.759129030381991</v>
      </c>
      <c r="R53" s="57">
        <f>Boosters_And!N53/B53</f>
        <v>5.11982958278033</v>
      </c>
      <c r="S53" s="54">
        <v>5.92513368983957</v>
      </c>
      <c r="T53" s="58">
        <v>0.480519480519481</v>
      </c>
      <c r="U53" s="60">
        <v>1027.17112299465</v>
      </c>
      <c r="V53" s="59">
        <v>599177</v>
      </c>
    </row>
    <row r="54" spans="1:22" s="168" customFormat="1" ht="22.500000" customHeight="1">
      <c r="A54" s="34">
        <v>52</v>
      </c>
      <c r="B54" s="49">
        <v>1297</v>
      </c>
      <c r="C54" s="49">
        <v>1267</v>
      </c>
      <c r="D54" s="49">
        <v>337</v>
      </c>
      <c r="E54" s="49">
        <v>264</v>
      </c>
      <c r="F54" s="50">
        <f>(C54*100)/B54</f>
        <v>97.6869699306091</v>
      </c>
      <c r="G54" s="156">
        <f>(D54*100)/B54</f>
        <v>25.9830377794911</v>
      </c>
      <c r="H54" s="152">
        <f>((B54-B55)/B54)*100</f>
        <v>2.85273708558211</v>
      </c>
      <c r="I54" s="152">
        <f>((B54-C54)/B54)*100</f>
        <v>2.3130300693909</v>
      </c>
      <c r="J54" s="152">
        <f>((C54-B55)/C54)*100</f>
        <v>0.552486187845304</v>
      </c>
      <c r="K54" s="161">
        <f>100-(((C3-C55)/C3)*100)</f>
        <v>27.085124677558</v>
      </c>
      <c r="L54" s="54">
        <v>1.19100236779794</v>
      </c>
      <c r="M54" s="69" t="s">
        <v>28</v>
      </c>
      <c r="N54" s="54">
        <v>19.94</v>
      </c>
      <c r="O54" s="56">
        <f>N54/C54</f>
        <v>0.0157379636937648</v>
      </c>
      <c r="P54" s="57">
        <f>(Boosters_And!B54*100)/Boosters_And!N54</f>
        <v>16.0647730402142</v>
      </c>
      <c r="Q54" s="57">
        <f>Boosters_And!B54/(C54+D54)</f>
        <v>0.376151058873601</v>
      </c>
      <c r="R54" s="57">
        <f>Boosters_And!N54/B54</f>
        <v>2.89569010621021</v>
      </c>
      <c r="S54" s="54">
        <v>7.68587213891081</v>
      </c>
      <c r="T54" s="58">
        <v>0.348066298342541</v>
      </c>
      <c r="U54" s="60">
        <v>1022.99684293607</v>
      </c>
      <c r="V54" s="59">
        <v>609217</v>
      </c>
    </row>
    <row r="55" spans="1:22" s="168" customFormat="1" ht="22.500000" customHeight="1">
      <c r="A55" s="34">
        <v>53</v>
      </c>
      <c r="B55" s="49">
        <v>1260</v>
      </c>
      <c r="C55" s="49">
        <v>1260</v>
      </c>
      <c r="D55" s="49">
        <v>3</v>
      </c>
      <c r="E55" s="49">
        <v>7</v>
      </c>
      <c r="F55" s="50">
        <f>(C55*100)/B55</f>
        <v>100</v>
      </c>
      <c r="G55" s="156">
        <f>(D55*100)/B55</f>
        <v>0.238095238095238</v>
      </c>
      <c r="H55" s="152">
        <f>((B55-B56)/B55)*100</f>
        <v>0.634920634920635</v>
      </c>
      <c r="I55" s="152">
        <f>((B55-C55)/B55)*100</f>
        <v>0</v>
      </c>
      <c r="J55" s="152">
        <f>((C55-B56)/C55)*100</f>
        <v>0.634920634920635</v>
      </c>
      <c r="K55" s="161">
        <f>100-(((C3-C56)/C3)*100)</f>
        <v>26.8701633705933</v>
      </c>
      <c r="L55" s="54">
        <v>1.0015873015873</v>
      </c>
      <c r="M55" s="55" t="s">
        <v>28</v>
      </c>
      <c r="N55" s="54">
        <v>1.99</v>
      </c>
      <c r="O55" s="56">
        <f>N55/C55</f>
        <v>0.00157936507936508</v>
      </c>
      <c r="P55" s="57">
        <f>(Boosters_And!B55*100)/Boosters_And!N55</f>
        <v>0.367791426138487</v>
      </c>
      <c r="Q55" s="57">
        <f>Boosters_And!B55/(C55+D55)</f>
        <v>0.00870942201108472</v>
      </c>
      <c r="R55" s="57">
        <f>Boosters_And!N55/B55</f>
        <v>2.37367108358625</v>
      </c>
      <c r="S55" s="54">
        <v>4.34682539682539</v>
      </c>
      <c r="T55" s="58">
        <v>0.224603174603175</v>
      </c>
      <c r="U55" s="60">
        <v>1081.68015873016</v>
      </c>
      <c r="V55" s="59">
        <v>647007</v>
      </c>
    </row>
    <row r="56" spans="1:22" s="168" customFormat="1" ht="22.500000" customHeight="1">
      <c r="A56" s="34">
        <v>54</v>
      </c>
      <c r="B56" s="49">
        <v>1252</v>
      </c>
      <c r="C56" s="49">
        <v>1250</v>
      </c>
      <c r="D56" s="49">
        <v>7</v>
      </c>
      <c r="E56" s="49">
        <v>9</v>
      </c>
      <c r="F56" s="50">
        <f>(C56*100)/B56</f>
        <v>99.8402555910543</v>
      </c>
      <c r="G56" s="156">
        <f>(D56*100)/B56</f>
        <v>0.559105431309904</v>
      </c>
      <c r="H56" s="152">
        <f>((B56-B57)/B56)*100</f>
        <v>-11.2619808306709</v>
      </c>
      <c r="I56" s="152">
        <f>((B56-C56)/B56)*100</f>
        <v>0.159744408945687</v>
      </c>
      <c r="J56" s="152">
        <f>((C56-B57)/C56)*100</f>
        <v>-11.44</v>
      </c>
      <c r="K56" s="161">
        <f>100-(((C3-C57)/C3)*100)</f>
        <v>23.4952708512468</v>
      </c>
      <c r="L56" s="54">
        <v>1.0008</v>
      </c>
      <c r="M56" s="69" t="s">
        <v>28</v>
      </c>
      <c r="N56" s="54">
        <v>1.99</v>
      </c>
      <c r="O56" s="56">
        <f>N56/C56</f>
        <v>0.001592</v>
      </c>
      <c r="P56" s="57">
        <f>(Boosters_And!B56*100)/Boosters_And!N56</f>
        <v>0.1300261623107</v>
      </c>
      <c r="Q56" s="57">
        <f>Boosters_And!B56/(C56+D56)</f>
        <v>0.00318217979315831</v>
      </c>
      <c r="R56" s="57">
        <f>Boosters_And!N56/B56</f>
        <v>2.45711180130002</v>
      </c>
      <c r="S56" s="54">
        <v>5.0456</v>
      </c>
      <c r="T56" s="58">
        <v>0.224</v>
      </c>
      <c r="U56" s="60">
        <v>1137.6096</v>
      </c>
      <c r="V56" s="59">
        <v>686407</v>
      </c>
    </row>
    <row r="57" spans="1:22" s="168" customFormat="1" ht="22.500000" customHeight="1">
      <c r="A57" s="76">
        <v>55</v>
      </c>
      <c r="B57" s="49">
        <v>1393</v>
      </c>
      <c r="C57" s="49">
        <v>1093</v>
      </c>
      <c r="D57" s="49">
        <v>1292</v>
      </c>
      <c r="E57" s="49">
        <v>972</v>
      </c>
      <c r="F57" s="50">
        <f>(C57*100)/B57</f>
        <v>78.4637473079684</v>
      </c>
      <c r="G57" s="156">
        <f>(D57*100)/B57</f>
        <v>92.7494615936827</v>
      </c>
      <c r="H57" s="152">
        <f>((B57-B58)/B57)*100</f>
        <v>22.75664034458</v>
      </c>
      <c r="I57" s="152">
        <f>((B57-C57)/B57)*100</f>
        <v>21.5362526920316</v>
      </c>
      <c r="J57" s="152">
        <f>((C57-B58)/C57)*100</f>
        <v>1.55535224153705</v>
      </c>
      <c r="K57" s="161">
        <f>100-(((C3-C58)/C3)*100)</f>
        <v>23.1298366294067</v>
      </c>
      <c r="L57" s="54">
        <v>2.80969807868252</v>
      </c>
      <c r="M57" s="55" t="s">
        <v>28</v>
      </c>
      <c r="N57" s="54">
        <v>150.3</v>
      </c>
      <c r="O57" s="56">
        <f>N57/C57</f>
        <v>0.137511436413541</v>
      </c>
      <c r="P57" s="57">
        <f>(Boosters_And!B57*100)/Boosters_And!N57</f>
        <v>6.68902825229502</v>
      </c>
      <c r="Q57" s="57">
        <f>Boosters_And!B57/(C57+D57)</f>
        <v>0.418348411205421</v>
      </c>
      <c r="R57" s="57">
        <f>Boosters_And!N57/B57</f>
        <v>10.7080985787154</v>
      </c>
      <c r="S57" s="54">
        <v>14.4135407136322</v>
      </c>
      <c r="T57" s="58">
        <v>0.681610247026533</v>
      </c>
      <c r="U57" s="60">
        <v>904</v>
      </c>
      <c r="V57" s="59">
        <v>529860</v>
      </c>
    </row>
    <row r="58" spans="1:22" s="168" customFormat="1" ht="22.500000" customHeight="1">
      <c r="A58" s="34">
        <v>56</v>
      </c>
      <c r="B58" s="49">
        <v>1076</v>
      </c>
      <c r="C58" s="49">
        <v>1076</v>
      </c>
      <c r="D58" s="49">
        <v>2</v>
      </c>
      <c r="E58" s="49">
        <v>2</v>
      </c>
      <c r="F58" s="50">
        <f>(C58*100)/B58</f>
        <v>100</v>
      </c>
      <c r="G58" s="156">
        <f>(D58*100)/B58</f>
        <v>0.185873605947955</v>
      </c>
      <c r="H58" s="152">
        <f>((B58-B59)/B58)*100</f>
        <v>0.557620817843866</v>
      </c>
      <c r="I58" s="152">
        <f>((B58-C58)/B58)*100</f>
        <v>0</v>
      </c>
      <c r="J58" s="152">
        <f>((C58-B59)/C58)*100</f>
        <v>0.557620817843866</v>
      </c>
      <c r="K58" s="161">
        <f>100-(((C3-C59)/C3)*100)</f>
        <v>23.0008598452279</v>
      </c>
      <c r="L58" s="54">
        <v>1</v>
      </c>
      <c r="M58" s="69" t="s">
        <v>28</v>
      </c>
      <c r="N58" s="54">
        <v>4.98</v>
      </c>
      <c r="O58" s="56">
        <f>N58/C58</f>
        <v>0.00462825278810409</v>
      </c>
      <c r="P58" s="57">
        <f>(Boosters_And!B58*100)/Boosters_And!N58</f>
        <v>0.0361237641261886</v>
      </c>
      <c r="Q58" s="57">
        <f>Boosters_And!B58/(C58+D58)</f>
        <v>9.27643784786642E-04</v>
      </c>
      <c r="R58" s="57">
        <f>Boosters_And!N58/B58</f>
        <v>2.57273308089733</v>
      </c>
      <c r="S58" s="54">
        <v>6.58736059479553</v>
      </c>
      <c r="T58" s="58">
        <v>0.258364312267658</v>
      </c>
      <c r="U58" s="60">
        <v>977.669144981413</v>
      </c>
      <c r="V58" s="59">
        <v>547100</v>
      </c>
    </row>
    <row r="59" spans="1:22" s="168" customFormat="1" ht="22.500000" customHeight="1">
      <c r="A59" s="34">
        <v>57</v>
      </c>
      <c r="B59" s="49">
        <v>1070</v>
      </c>
      <c r="C59" s="49">
        <v>1070</v>
      </c>
      <c r="D59" s="49">
        <v>2</v>
      </c>
      <c r="E59" s="49">
        <v>2</v>
      </c>
      <c r="F59" s="50">
        <f>(C59*100)/B59</f>
        <v>100</v>
      </c>
      <c r="G59" s="156">
        <f>(D59*100)/B59</f>
        <v>0.186915887850467</v>
      </c>
      <c r="H59" s="152">
        <f>((B59-B60)/B59)*100</f>
        <v>0.280373831775701</v>
      </c>
      <c r="I59" s="152">
        <f>((B59-C59)/B59)*100</f>
        <v>0</v>
      </c>
      <c r="J59" s="152">
        <f>((C59-B60)/C59)*100</f>
        <v>0.280373831775701</v>
      </c>
      <c r="K59" s="161">
        <f>100-(((C3-C60)/C3)*100)</f>
        <v>22.8073946689596</v>
      </c>
      <c r="L59" s="54">
        <v>1</v>
      </c>
      <c r="M59" s="55" t="s">
        <v>28</v>
      </c>
      <c r="N59" s="54">
        <v>2.99</v>
      </c>
      <c r="O59" s="56">
        <f>N59/C59</f>
        <v>0.00279439252336449</v>
      </c>
      <c r="P59" s="57">
        <f>(Boosters_And!B59*100)/Boosters_And!N59</f>
        <v>0.0360100828231905</v>
      </c>
      <c r="Q59" s="57">
        <f>Boosters_And!B59/(C59+D59)</f>
        <v>9.32835820895522E-04</v>
      </c>
      <c r="R59" s="57">
        <f>Boosters_And!N59/B59</f>
        <v>2.59532710280374</v>
      </c>
      <c r="S59" s="54">
        <v>6.10560747663551</v>
      </c>
      <c r="T59" s="58">
        <v>0.242056074766355</v>
      </c>
      <c r="U59" s="60">
        <v>1029.30560747664</v>
      </c>
      <c r="V59" s="59">
        <v>564630</v>
      </c>
    </row>
    <row r="60" spans="1:22" s="168" customFormat="1" ht="22.500000" customHeight="1">
      <c r="A60" s="34">
        <v>58</v>
      </c>
      <c r="B60" s="49">
        <v>1067</v>
      </c>
      <c r="C60" s="49">
        <v>1061</v>
      </c>
      <c r="D60" s="49">
        <v>114</v>
      </c>
      <c r="E60" s="49">
        <v>69</v>
      </c>
      <c r="F60" s="50">
        <f>(C60*100)/B60</f>
        <v>99.4376757263355</v>
      </c>
      <c r="G60" s="156">
        <f>(D60*100)/B60</f>
        <v>10.6841611996251</v>
      </c>
      <c r="H60" s="152">
        <f>((B60-B61)/B60)*100</f>
        <v>-1.96813495782568</v>
      </c>
      <c r="I60" s="152">
        <f>((B60-C60)/B60)*100</f>
        <v>0.56232427366448</v>
      </c>
      <c r="J60" s="152">
        <f>((C60-B61)/C60)*100</f>
        <v>-2.54476908576814</v>
      </c>
      <c r="K60" s="161">
        <f>100-(((C3-C61)/C3)*100)</f>
        <v>22.5064488392089</v>
      </c>
      <c r="L60" s="54">
        <v>1.05183788878416</v>
      </c>
      <c r="M60" s="69" t="s">
        <v>28</v>
      </c>
      <c r="N60" s="54">
        <v>6.49</v>
      </c>
      <c r="O60" s="56">
        <f>N60/C60</f>
        <v>0.00611687087653157</v>
      </c>
      <c r="P60" s="57">
        <f>(Boosters_And!B60*100)/Boosters_And!N60</f>
        <v>0.718050951095362</v>
      </c>
      <c r="Q60" s="57">
        <f>Boosters_And!B60/(C60+D60)</f>
        <v>0.0199073979304571</v>
      </c>
      <c r="R60" s="57">
        <f>Boosters_And!N60/B60</f>
        <v>3.05304132690559</v>
      </c>
      <c r="S60" s="54">
        <v>6.44109330819981</v>
      </c>
      <c r="T60" s="58">
        <v>0.26861451460886</v>
      </c>
      <c r="U60" s="60">
        <v>1073.72950047125</v>
      </c>
      <c r="V60" s="59">
        <v>579685</v>
      </c>
    </row>
    <row r="61" spans="1:22" s="168" customFormat="1" ht="22.500000" customHeight="1">
      <c r="A61" s="34">
        <v>59</v>
      </c>
      <c r="B61" s="49">
        <v>1088</v>
      </c>
      <c r="C61" s="49">
        <v>1047</v>
      </c>
      <c r="D61" s="49">
        <v>554</v>
      </c>
      <c r="E61" s="49">
        <v>381</v>
      </c>
      <c r="F61" s="50">
        <f>(C61*100)/B61</f>
        <v>96.2316176470588</v>
      </c>
      <c r="G61" s="156">
        <f>(D61*100)/B61</f>
        <v>50.9191176470588</v>
      </c>
      <c r="H61" s="152">
        <f>((B61-B62)/B61)*100</f>
        <v>4.59558823529412</v>
      </c>
      <c r="I61" s="152">
        <f>((B61-C61)/B61)*100</f>
        <v>3.76838235294118</v>
      </c>
      <c r="J61" s="152">
        <f>((C61-B62)/C61)*100</f>
        <v>0.859598853868195</v>
      </c>
      <c r="K61" s="161">
        <f>100-(((C3-C62)/C3)*100)</f>
        <v>22.2055030094583</v>
      </c>
      <c r="L61" s="54">
        <v>1.49665711556829</v>
      </c>
      <c r="M61" s="55" t="s">
        <v>28</v>
      </c>
      <c r="N61" s="54">
        <v>28.66</v>
      </c>
      <c r="O61" s="56">
        <f>N61/C61</f>
        <v>0.0273734479465139</v>
      </c>
      <c r="P61" s="57">
        <f>(Boosters_And!B61*100)/Boosters_And!N61</f>
        <v>12.1781335242648</v>
      </c>
      <c r="Q61" s="57">
        <f>Boosters_And!B61/(C61+D61)</f>
        <v>0.392579025085354</v>
      </c>
      <c r="R61" s="57">
        <f>Boosters_And!N61/B61</f>
        <v>4.7436080485778</v>
      </c>
      <c r="S61" s="54">
        <v>5.99140401146131</v>
      </c>
      <c r="T61" s="58">
        <v>0.394460362941738</v>
      </c>
      <c r="U61" s="60">
        <v>1046.46322827125</v>
      </c>
      <c r="V61" s="59">
        <v>518255</v>
      </c>
    </row>
    <row r="62" spans="1:22" s="168" customFormat="1" ht="22.500000" customHeight="1">
      <c r="A62" s="34">
        <v>60</v>
      </c>
      <c r="B62" s="49">
        <v>1038</v>
      </c>
      <c r="C62" s="49">
        <v>1033</v>
      </c>
      <c r="D62" s="49">
        <v>149</v>
      </c>
      <c r="E62" s="49">
        <v>88</v>
      </c>
      <c r="F62" s="50">
        <f>(C62*100)/B62</f>
        <v>99.5183044315992</v>
      </c>
      <c r="G62" s="156">
        <f>(D62*100)/B62</f>
        <v>14.354527938343</v>
      </c>
      <c r="H62" s="152">
        <f>((B62-B63)/B62)*100</f>
        <v>-1.252408477842</v>
      </c>
      <c r="I62" s="152">
        <f>((B62-C62)/B62)*100</f>
        <v>0.481695568400771</v>
      </c>
      <c r="J62" s="152">
        <f>((C62-B63)/C62)*100</f>
        <v>-1.74249757986447</v>
      </c>
      <c r="K62" s="161">
        <f>100-(((C3-C63)/C3)*100)</f>
        <v>21.7110920034394</v>
      </c>
      <c r="L62" s="54">
        <v>1.08123791102514</v>
      </c>
      <c r="M62" s="69" t="s">
        <v>28</v>
      </c>
      <c r="N62" s="54">
        <v>4.99</v>
      </c>
      <c r="O62" s="56">
        <f>N62/C62</f>
        <v>0.00483059051306873</v>
      </c>
      <c r="P62" s="57">
        <f>(Boosters_And!B62*100)/Boosters_And!N62</f>
        <v>4.06804304142855</v>
      </c>
      <c r="Q62" s="57">
        <f>Boosters_And!B62/(C62+D62)</f>
        <v>0.10442840334212</v>
      </c>
      <c r="R62" s="57">
        <f>Boosters_And!N62/B62</f>
        <v>2.92316427022416</v>
      </c>
      <c r="S62" s="54">
        <v>9.00386847195357</v>
      </c>
      <c r="T62" s="58">
        <v>0.288480154888674</v>
      </c>
      <c r="U62" s="60">
        <v>1082.92545982575</v>
      </c>
      <c r="V62" s="59">
        <v>526645</v>
      </c>
    </row>
    <row r="63" spans="1:22" s="168" customFormat="1" ht="22.500000" customHeight="1">
      <c r="A63" s="34">
        <v>61</v>
      </c>
      <c r="B63" s="49">
        <v>1051</v>
      </c>
      <c r="C63" s="49">
        <v>1010</v>
      </c>
      <c r="D63" s="49">
        <v>579</v>
      </c>
      <c r="E63" s="49">
        <v>344</v>
      </c>
      <c r="F63" s="50">
        <f>(C63*100)/B63</f>
        <v>96.0989533777355</v>
      </c>
      <c r="G63" s="156">
        <f>(D63*100)/B63</f>
        <v>55.0903901046622</v>
      </c>
      <c r="H63" s="152">
        <f>((B63-B64)/B63)*100</f>
        <v>2.7592768791627</v>
      </c>
      <c r="I63" s="152">
        <f>((B63-C63)/B63)*100</f>
        <v>3.90104662226451</v>
      </c>
      <c r="J63" s="152">
        <f>((C63-B64)/C63)*100</f>
        <v>-1.18811881188119</v>
      </c>
      <c r="K63" s="161">
        <f>100-(((C3-C64)/C3)*100)</f>
        <v>21.195184866724</v>
      </c>
      <c r="L63" s="54">
        <v>1.44609297725024</v>
      </c>
      <c r="M63" s="70" t="s">
        <v>29</v>
      </c>
      <c r="N63" s="54">
        <v>39.07</v>
      </c>
      <c r="O63" s="56">
        <f>N63/C63</f>
        <v>0.0386831683168317</v>
      </c>
      <c r="P63" s="57">
        <f>(Boosters_And!B63*100)/Boosters_And!N63</f>
        <v>5.21080497919555</v>
      </c>
      <c r="Q63" s="57">
        <f>Boosters_And!B63/(C63+D63)</f>
        <v>0.160750032612327</v>
      </c>
      <c r="R63" s="57">
        <f>Boosters_And!N63/B63</f>
        <v>4.66409546940746</v>
      </c>
      <c r="S63" s="54">
        <v>6.88822947576656</v>
      </c>
      <c r="T63" s="58">
        <v>0.398019801980198</v>
      </c>
      <c r="U63" s="60">
        <v>1085.8396039604</v>
      </c>
      <c r="V63" s="59">
        <v>531785</v>
      </c>
    </row>
    <row r="64" spans="1:22" s="168" customFormat="1" ht="22.500000" customHeight="1">
      <c r="A64" s="34">
        <v>62</v>
      </c>
      <c r="B64" s="49">
        <v>1022</v>
      </c>
      <c r="C64" s="49">
        <v>986</v>
      </c>
      <c r="D64" s="49">
        <v>427</v>
      </c>
      <c r="E64" s="49">
        <v>256</v>
      </c>
      <c r="F64" s="50">
        <f>(C64*100)/B64</f>
        <v>96.4774951076321</v>
      </c>
      <c r="G64" s="156">
        <f>(D64*100)/B64</f>
        <v>41.7808219178082</v>
      </c>
      <c r="H64" s="152">
        <f>((B64-B65)/B64)*100</f>
        <v>3.91389432485323</v>
      </c>
      <c r="I64" s="152">
        <f>((B64-C64)/B64)*100</f>
        <v>3.52250489236791</v>
      </c>
      <c r="J64" s="152">
        <f>((C64-B65)/C64)*100</f>
        <v>0.405679513184584</v>
      </c>
      <c r="K64" s="161">
        <f>100-(((C3-C65)/C3)*100)</f>
        <v>21.0877042132416</v>
      </c>
      <c r="L64" s="54">
        <v>1.26950354609929</v>
      </c>
      <c r="M64" s="75" t="s">
        <v>30</v>
      </c>
      <c r="N64" s="54">
        <v>15.46</v>
      </c>
      <c r="O64" s="56">
        <f>N64/C64</f>
        <v>0.0156795131845842</v>
      </c>
      <c r="P64" s="57">
        <f>(Boosters_And!B64*100)/Boosters_And!N64</f>
        <v>5.72245127426059</v>
      </c>
      <c r="Q64" s="57">
        <f>Boosters_And!B64/(C64+D64)</f>
        <v>0.163849876955497</v>
      </c>
      <c r="R64" s="57">
        <f>Boosters_And!N64/B64</f>
        <v>3.95872453027041</v>
      </c>
      <c r="S64" s="54">
        <v>4.47213779128672</v>
      </c>
      <c r="T64" s="58">
        <v>0.374239350912779</v>
      </c>
      <c r="U64" s="60">
        <v>1105.88539553753</v>
      </c>
      <c r="V64" s="59">
        <v>491060</v>
      </c>
    </row>
    <row r="65" spans="1:22" s="168" customFormat="1" ht="22.500000" customHeight="1">
      <c r="A65" s="64">
        <v>63</v>
      </c>
      <c r="B65" s="49">
        <v>982</v>
      </c>
      <c r="C65" s="49">
        <v>981</v>
      </c>
      <c r="D65" s="49">
        <v>18</v>
      </c>
      <c r="E65" s="49">
        <v>17</v>
      </c>
      <c r="F65" s="50">
        <f>(C65*100)/B65</f>
        <v>99.89816700611</v>
      </c>
      <c r="G65" s="156">
        <f>(D65*100)/B65</f>
        <v>1.83299389002037</v>
      </c>
      <c r="H65" s="152">
        <f>((B65-B66)/B65)*100</f>
        <v>0</v>
      </c>
      <c r="I65" s="152">
        <f>((B65-C65)/B65)*100</f>
        <v>0.10183299389002</v>
      </c>
      <c r="J65" s="152">
        <f>((C65-B66)/C65)*100</f>
        <v>-0.101936799184506</v>
      </c>
      <c r="K65" s="161">
        <f>100-(((C3-C66)/C3)*100)</f>
        <v>20.786758383491</v>
      </c>
      <c r="L65" s="54">
        <v>1.0020366598778</v>
      </c>
      <c r="M65" s="55" t="s">
        <v>28</v>
      </c>
      <c r="N65" s="54">
        <v>1.99</v>
      </c>
      <c r="O65" s="56">
        <f>N65/C65</f>
        <v>0.00202854230377166</v>
      </c>
      <c r="P65" s="57">
        <f>(Boosters_And!B65*100)/Boosters_And!N65</f>
        <v>0.635305587429221</v>
      </c>
      <c r="Q65" s="57">
        <f>Boosters_And!B65/(C65+D65)</f>
        <v>0.0156676552690808</v>
      </c>
      <c r="R65" s="57">
        <f>Boosters_And!N65/B65</f>
        <v>2.50885367700554</v>
      </c>
      <c r="S65" s="54">
        <v>5.41140529531568</v>
      </c>
      <c r="T65" s="58">
        <v>0.265035677879715</v>
      </c>
      <c r="U65" s="60">
        <v>1171.7003058104</v>
      </c>
      <c r="V65" s="59">
        <v>523840</v>
      </c>
    </row>
    <row r="66" spans="1:22" s="168" customFormat="1" ht="22.500000" customHeight="1">
      <c r="A66" s="64">
        <v>64</v>
      </c>
      <c r="B66" s="49">
        <v>982</v>
      </c>
      <c r="C66" s="49">
        <v>967</v>
      </c>
      <c r="D66" s="49">
        <v>257</v>
      </c>
      <c r="E66" s="49">
        <v>169</v>
      </c>
      <c r="F66" s="50">
        <f>(C66*100)/B66</f>
        <v>98.4725050916497</v>
      </c>
      <c r="G66" s="156">
        <f>(D66*100)/B66</f>
        <v>26.1710794297352</v>
      </c>
      <c r="H66" s="152">
        <f>((B66-B67)/B66)*100</f>
        <v>-25.050916496945</v>
      </c>
      <c r="I66" s="152">
        <f>((B66-C66)/B66)*100</f>
        <v>1.52749490835031</v>
      </c>
      <c r="J66" s="152">
        <f>((C66-B67)/C66)*100</f>
        <v>-26.9906928645295</v>
      </c>
      <c r="K66" s="161">
        <f>100-(((C3-C67)/C3)*100)</f>
        <v>16.5950128976784</v>
      </c>
      <c r="L66" s="54">
        <v>1.16115702479338</v>
      </c>
      <c r="M66" s="69" t="s">
        <v>28</v>
      </c>
      <c r="N66" s="54">
        <v>16.45</v>
      </c>
      <c r="O66" s="56">
        <f>N66/C66</f>
        <v>0.0170113753877973</v>
      </c>
      <c r="P66" s="57">
        <f>(Boosters_And!B66*100)/Boosters_And!N66</f>
        <v>2.5035592339501</v>
      </c>
      <c r="Q66" s="57">
        <f>Boosters_And!B66/(C66+D66)</f>
        <v>0.068271871138193</v>
      </c>
      <c r="R66" s="57">
        <f>Boosters_And!N66/B66</f>
        <v>3.39902113169498</v>
      </c>
      <c r="S66" s="54">
        <v>5.03719008264462</v>
      </c>
      <c r="T66" s="58">
        <v>0.304033092037229</v>
      </c>
      <c r="U66" s="60">
        <v>1187.28335056877</v>
      </c>
      <c r="V66" s="59">
        <v>504230</v>
      </c>
    </row>
    <row r="67" spans="1:22" s="168" customFormat="1" ht="22.500000" customHeight="1">
      <c r="A67" s="76">
        <v>65</v>
      </c>
      <c r="B67" s="49">
        <v>1228</v>
      </c>
      <c r="C67" s="49">
        <v>772</v>
      </c>
      <c r="D67" s="49">
        <v>1203</v>
      </c>
      <c r="E67" s="49">
        <v>974</v>
      </c>
      <c r="F67" s="50">
        <f>(C67*100)/B67</f>
        <v>62.8664495114007</v>
      </c>
      <c r="G67" s="156">
        <f>(D67*100)/B67</f>
        <v>97.9641693811075</v>
      </c>
      <c r="H67" s="152">
        <f>((B67-B68)/B67)*100</f>
        <v>37.3778501628665</v>
      </c>
      <c r="I67" s="152">
        <f>((B67-C67)/B67)*100</f>
        <v>37.1335504885994</v>
      </c>
      <c r="J67" s="152">
        <f>((C67-B68)/C67)*100</f>
        <v>0.38860103626943</v>
      </c>
      <c r="K67" s="161">
        <f>100-(((C3-C68)/C3)*100)</f>
        <v>16.4660361134996</v>
      </c>
      <c r="L67" s="54">
        <v>4.37128072445019</v>
      </c>
      <c r="M67" s="55" t="s">
        <v>28</v>
      </c>
      <c r="N67" s="54">
        <v>293.92</v>
      </c>
      <c r="O67" s="56">
        <f>N67/C67</f>
        <v>0.380725388601036</v>
      </c>
      <c r="P67" s="57">
        <f>(Boosters_And!B67*100)/Boosters_And!N67</f>
        <v>21.2912393239198</v>
      </c>
      <c r="Q67" s="57">
        <f>Boosters_And!B67/(C67+D67)</f>
        <v>1.72762147476677</v>
      </c>
      <c r="R67" s="57">
        <f>Boosters_And!N67/B67</f>
        <v>13.0501764961408</v>
      </c>
      <c r="S67" s="54">
        <v>9.74256144890038</v>
      </c>
      <c r="T67" s="58">
        <v>1.12694300518135</v>
      </c>
      <c r="U67" s="60">
        <v>992.30829015544</v>
      </c>
      <c r="V67" s="59">
        <v>413045</v>
      </c>
    </row>
    <row r="68" spans="1:22" s="168" customFormat="1" ht="22.500000" customHeight="1">
      <c r="A68" s="34">
        <v>66</v>
      </c>
      <c r="B68" s="49">
        <v>769</v>
      </c>
      <c r="C68" s="49">
        <v>766</v>
      </c>
      <c r="D68" s="49">
        <v>9</v>
      </c>
      <c r="E68" s="49">
        <v>5</v>
      </c>
      <c r="F68" s="50">
        <f>(C68*100)/B68</f>
        <v>99.6098829648895</v>
      </c>
      <c r="G68" s="156">
        <f>(D68*100)/B68</f>
        <v>1.1703511053316</v>
      </c>
      <c r="H68" s="152">
        <f>((B68-B69)/B68)*100</f>
        <v>-0.780234070221066</v>
      </c>
      <c r="I68" s="152">
        <f>((B68-C68)/B68)*100</f>
        <v>0.390117035110533</v>
      </c>
      <c r="J68" s="152">
        <f>((C68-B69)/C68)*100</f>
        <v>-1.17493472584856</v>
      </c>
      <c r="K68" s="161">
        <f>100-(((C3-C69)/C3)*100)</f>
        <v>16.3155631986242</v>
      </c>
      <c r="L68" s="54">
        <v>1.00130208333333</v>
      </c>
      <c r="M68" s="69" t="s">
        <v>28</v>
      </c>
      <c r="N68" s="54">
        <v>12.98</v>
      </c>
      <c r="O68" s="56">
        <f>N68/C68</f>
        <v>0.0169451697127937</v>
      </c>
      <c r="P68" s="57">
        <f>(Boosters_And!B68*100)/Boosters_And!N68</f>
        <v>0.662926442425663</v>
      </c>
      <c r="Q68" s="57">
        <f>Boosters_And!B68/(C68+D68)</f>
        <v>0.0156521258358224</v>
      </c>
      <c r="R68" s="57">
        <f>Boosters_And!N68/B68</f>
        <v>2.37948708103859</v>
      </c>
      <c r="S68" s="54">
        <v>7.80859375</v>
      </c>
      <c r="T68" s="58">
        <v>0.283289817232376</v>
      </c>
      <c r="U68" s="60">
        <v>1089.66971279373</v>
      </c>
      <c r="V68" s="59">
        <v>431305</v>
      </c>
    </row>
    <row r="69" spans="1:22" s="168" customFormat="1" ht="22.500000" customHeight="1">
      <c r="A69" s="34">
        <v>67</v>
      </c>
      <c r="B69" s="49">
        <v>775</v>
      </c>
      <c r="C69" s="49">
        <v>759</v>
      </c>
      <c r="D69" s="49">
        <v>193</v>
      </c>
      <c r="E69" s="49">
        <v>106</v>
      </c>
      <c r="F69" s="50">
        <f>(C69*100)/B69</f>
        <v>97.9354838709678</v>
      </c>
      <c r="G69" s="156">
        <f>(D69*100)/B69</f>
        <v>24.9032258064516</v>
      </c>
      <c r="H69" s="152">
        <f>((B69-B70)/B69)*100</f>
        <v>1.29032258064516</v>
      </c>
      <c r="I69" s="152">
        <f>((B69-C69)/B69)*100</f>
        <v>2.06451612903226</v>
      </c>
      <c r="J69" s="152">
        <f>((C69-B70)/C69)*100</f>
        <v>-0.790513833992095</v>
      </c>
      <c r="K69" s="161">
        <f>100-(((C3-C70)/C3)*100)</f>
        <v>16.3370593293207</v>
      </c>
      <c r="L69" s="54">
        <v>1.08815789473684</v>
      </c>
      <c r="M69" s="55" t="s">
        <v>28</v>
      </c>
      <c r="N69" s="54">
        <v>5.97</v>
      </c>
      <c r="O69" s="56">
        <f>N69/C69</f>
        <v>0.00786561264822134</v>
      </c>
      <c r="P69" s="57">
        <f>(Boosters_And!B69*100)/Boosters_And!N69</f>
        <v>5.50198919337951</v>
      </c>
      <c r="Q69" s="57">
        <f>Boosters_And!B69/(C69+D69)</f>
        <v>0.146647006780722</v>
      </c>
      <c r="R69" s="57">
        <f>Boosters_And!N69/B69</f>
        <v>3.27407569478247</v>
      </c>
      <c r="S69" s="54">
        <v>14.3263157894736</v>
      </c>
      <c r="T69" s="58">
        <v>0.346508563899868</v>
      </c>
      <c r="U69" s="60">
        <v>1075.37154150198</v>
      </c>
      <c r="V69" s="59">
        <v>432150</v>
      </c>
    </row>
    <row r="70" spans="1:22" s="168" customFormat="1" ht="22.500000" customHeight="1">
      <c r="A70" s="64">
        <v>68</v>
      </c>
      <c r="B70" s="49">
        <v>765</v>
      </c>
      <c r="C70" s="49">
        <v>760</v>
      </c>
      <c r="D70" s="49">
        <v>193</v>
      </c>
      <c r="E70" s="49">
        <v>110</v>
      </c>
      <c r="F70" s="50">
        <f>(C70*100)/B70</f>
        <v>99.3464052287582</v>
      </c>
      <c r="G70" s="156">
        <f>(D70*100)/B70</f>
        <v>25.2287581699346</v>
      </c>
      <c r="H70" s="152">
        <f>((B70-B71)/B70)*100</f>
        <v>0.392156862745098</v>
      </c>
      <c r="I70" s="152">
        <f>((B70-C70)/B70)*100</f>
        <v>0.65359477124183</v>
      </c>
      <c r="J70" s="152">
        <f>((C70-B71)/C70)*100</f>
        <v>-0.263157894736842</v>
      </c>
      <c r="K70" s="161">
        <f>100-(((C3-C71)/C3)*100)</f>
        <v>16.3155631986242</v>
      </c>
      <c r="L70" s="54">
        <v>1.11563731931668</v>
      </c>
      <c r="M70" s="69" t="s">
        <v>28</v>
      </c>
      <c r="N70" s="54">
        <v>6.98</v>
      </c>
      <c r="O70" s="56">
        <f>N70/C70</f>
        <v>0.00918421052631579</v>
      </c>
      <c r="P70" s="57">
        <f>(Boosters_And!B70*100)/Boosters_And!N70</f>
        <v>2.18359287464272</v>
      </c>
      <c r="Q70" s="57">
        <f>Boosters_And!B70/(C70+D70)</f>
        <v>0.0541993574121844</v>
      </c>
      <c r="R70" s="57">
        <f>Boosters_And!N70/B70</f>
        <v>3.09210287509835</v>
      </c>
      <c r="S70" s="54">
        <v>7.84888304862023</v>
      </c>
      <c r="T70" s="58">
        <v>0.35</v>
      </c>
      <c r="U70" s="60">
        <v>1115.44342105263</v>
      </c>
      <c r="V70" s="59">
        <v>432080</v>
      </c>
    </row>
    <row r="71" spans="1:22" s="168" customFormat="1" ht="22.500000" customHeight="1">
      <c r="A71" s="34">
        <v>69</v>
      </c>
      <c r="B71" s="49">
        <v>762</v>
      </c>
      <c r="C71" s="49">
        <v>759</v>
      </c>
      <c r="D71" s="49">
        <v>120</v>
      </c>
      <c r="E71" s="49">
        <v>67</v>
      </c>
      <c r="F71" s="50">
        <f>(C71*100)/B71</f>
        <v>99.6062992125984</v>
      </c>
      <c r="G71" s="156">
        <f>(D71*100)/B71</f>
        <v>15.748031496063</v>
      </c>
      <c r="H71" s="152">
        <f>((B71-B72)/B71)*100</f>
        <v>0.5249343832021</v>
      </c>
      <c r="I71" s="152">
        <f>((B71-C71)/B71)*100</f>
        <v>0.393700787401575</v>
      </c>
      <c r="J71" s="152">
        <f>((C71-B72)/C71)*100</f>
        <v>0.131752305665349</v>
      </c>
      <c r="K71" s="161">
        <f>100-(((C3-C72)/C3)*100)</f>
        <v>16.2940670679278</v>
      </c>
      <c r="L71" s="54">
        <v>1.06052631578947</v>
      </c>
      <c r="M71" s="55" t="s">
        <v>28</v>
      </c>
      <c r="N71" s="54">
        <v>6.49</v>
      </c>
      <c r="O71" s="56">
        <f>N71/C71</f>
        <v>0.00855072463768116</v>
      </c>
      <c r="P71" s="57">
        <f>(Boosters_And!B71*100)/Boosters_And!N71</f>
        <v>1.86448078771892</v>
      </c>
      <c r="Q71" s="57">
        <f>Boosters_And!B71/(C71+D71)</f>
        <v>0.0445169482625283</v>
      </c>
      <c r="R71" s="57">
        <f>Boosters_And!N71/B71</f>
        <v>2.75423742944473</v>
      </c>
      <c r="S71" s="54">
        <v>4.63026315789473</v>
      </c>
      <c r="T71" s="58">
        <v>0.33596837944664</v>
      </c>
      <c r="U71" s="60">
        <v>1161.78787878788</v>
      </c>
      <c r="V71" s="59">
        <v>439450</v>
      </c>
    </row>
    <row r="72" spans="1:22" s="168" customFormat="1" ht="22.500000" customHeight="1">
      <c r="A72" s="34">
        <v>70</v>
      </c>
      <c r="B72" s="49">
        <v>758</v>
      </c>
      <c r="C72" s="49">
        <v>758</v>
      </c>
      <c r="D72" s="49">
        <v>31</v>
      </c>
      <c r="E72" s="49">
        <v>19</v>
      </c>
      <c r="F72" s="50">
        <f>(C72*100)/B72</f>
        <v>100</v>
      </c>
      <c r="G72" s="156">
        <f>(D72*100)/B72</f>
        <v>4.08970976253298</v>
      </c>
      <c r="H72" s="152">
        <f>((B72-B73)/B72)*100</f>
        <v>0.79155672823219</v>
      </c>
      <c r="I72" s="152">
        <f>((B72-C72)/B72)*100</f>
        <v>0</v>
      </c>
      <c r="J72" s="152">
        <f>((C72-B73)/C72)*100</f>
        <v>0.79155672823219</v>
      </c>
      <c r="K72" s="161">
        <f>100-(((C3-C73)/C3)*100)</f>
        <v>16.1650902837489</v>
      </c>
      <c r="L72" s="54">
        <v>1.01449275362318</v>
      </c>
      <c r="M72" s="69" t="s">
        <v>28</v>
      </c>
      <c r="N72" s="54">
        <v>0.99</v>
      </c>
      <c r="O72" s="56">
        <f>N72/C72</f>
        <v>0.00130606860158311</v>
      </c>
      <c r="P72" s="57">
        <f>(Boosters_And!B72*100)/Boosters_And!N72</f>
        <v>0.738287188298538</v>
      </c>
      <c r="Q72" s="57">
        <f>Boosters_And!B72/(C72+D72)</f>
        <v>0.0180745184353925</v>
      </c>
      <c r="R72" s="57">
        <f>Boosters_And!N72/B72</f>
        <v>2.54829205742197</v>
      </c>
      <c r="S72" s="54">
        <v>7.15810276679841</v>
      </c>
      <c r="T72" s="58">
        <v>0.295514511873351</v>
      </c>
      <c r="U72" s="60">
        <v>1209.50791556728</v>
      </c>
      <c r="V72" s="59">
        <v>469305</v>
      </c>
    </row>
    <row r="73" spans="1:22" s="168" customFormat="1" ht="22.500000" customHeight="1">
      <c r="A73" s="34">
        <v>71</v>
      </c>
      <c r="B73" s="49">
        <v>752</v>
      </c>
      <c r="C73" s="49">
        <v>752</v>
      </c>
      <c r="D73" s="49">
        <v>113</v>
      </c>
      <c r="E73" s="49">
        <v>60</v>
      </c>
      <c r="F73" s="50">
        <f>(C73*100)/B73</f>
        <v>100</v>
      </c>
      <c r="G73" s="156">
        <f>(D73*100)/B73</f>
        <v>15.0265957446809</v>
      </c>
      <c r="H73" s="152">
        <f>((B73-B74)/B73)*100</f>
        <v>0.664893617021277</v>
      </c>
      <c r="I73" s="152">
        <f>((B73-C73)/B73)*100</f>
        <v>0</v>
      </c>
      <c r="J73" s="152">
        <f>((C73-B74)/C73)*100</f>
        <v>0.664893617021277</v>
      </c>
      <c r="K73" s="161">
        <f>100-(((C3-C74)/C3)*100)</f>
        <v>16.0361134995701</v>
      </c>
      <c r="L73" s="54">
        <v>1.05444887118193</v>
      </c>
      <c r="M73" s="55" t="s">
        <v>28</v>
      </c>
      <c r="N73" s="54">
        <v>10.99</v>
      </c>
      <c r="O73" s="56">
        <f>N73/C73</f>
        <v>0.0146143617021277</v>
      </c>
      <c r="P73" s="57">
        <f>(Boosters_And!B73*100)/Boosters_And!N73</f>
        <v>3.97150761479356</v>
      </c>
      <c r="Q73" s="57">
        <f>Boosters_And!B73/(C73+D73)</f>
        <v>0.107011295113466</v>
      </c>
      <c r="R73" s="57">
        <f>Boosters_And!N73/B73</f>
        <v>3.0993633091073</v>
      </c>
      <c r="S73" s="54">
        <v>8.30942895086321</v>
      </c>
      <c r="T73" s="58">
        <v>0.333776595744681</v>
      </c>
      <c r="U73" s="60">
        <v>1258.46010638298</v>
      </c>
      <c r="V73" s="59">
        <v>483600</v>
      </c>
    </row>
    <row r="74" spans="1:22" s="168" customFormat="1" ht="22.500000" customHeight="1">
      <c r="A74" s="34">
        <v>72</v>
      </c>
      <c r="B74" s="49">
        <v>747</v>
      </c>
      <c r="C74" s="49">
        <v>746</v>
      </c>
      <c r="D74" s="49">
        <v>11</v>
      </c>
      <c r="E74" s="49">
        <v>12</v>
      </c>
      <c r="F74" s="50">
        <f>(C74*100)/B74</f>
        <v>99.8661311914324</v>
      </c>
      <c r="G74" s="156">
        <f>(D74*100)/B74</f>
        <v>1.47255689424364</v>
      </c>
      <c r="H74" s="152">
        <f>((B74-B75)/B74)*100</f>
        <v>-1.07095046854083</v>
      </c>
      <c r="I74" s="152">
        <f>((B74-C74)/B74)*100</f>
        <v>0.133868808567604</v>
      </c>
      <c r="J74" s="152">
        <f>((C74-B75)/C74)*100</f>
        <v>-1.20643431635389</v>
      </c>
      <c r="K74" s="161">
        <f>100-(((C3-C75)/C3)*100)</f>
        <v>16.0361134995701</v>
      </c>
      <c r="L74" s="54">
        <v>1.00401606425702</v>
      </c>
      <c r="M74" s="69" t="s">
        <v>28</v>
      </c>
      <c r="N74" s="54">
        <v>0</v>
      </c>
      <c r="O74" s="56">
        <f>N74/C74</f>
        <v>0</v>
      </c>
      <c r="P74" s="57">
        <f>(Boosters_And!B74*100)/Boosters_And!N74</f>
        <v>8.29839432274608</v>
      </c>
      <c r="Q74" s="57">
        <f>Boosters_And!B74/(C74+D74)</f>
        <v>0.19550858652576</v>
      </c>
      <c r="R74" s="57">
        <f>Boosters_And!N74/B74</f>
        <v>2.38752015118137</v>
      </c>
      <c r="S74" s="54">
        <v>6.01740294511378</v>
      </c>
      <c r="T74" s="58">
        <v>0.302949061662198</v>
      </c>
      <c r="U74" s="60">
        <v>1316.29624664879</v>
      </c>
      <c r="V74" s="59">
        <v>498275</v>
      </c>
    </row>
    <row r="75" spans="1:22" s="168" customFormat="1" ht="22.500000" customHeight="1">
      <c r="A75" s="34">
        <v>73</v>
      </c>
      <c r="B75" s="49">
        <v>755</v>
      </c>
      <c r="C75" s="49">
        <v>746</v>
      </c>
      <c r="D75" s="49">
        <v>268</v>
      </c>
      <c r="E75" s="49">
        <v>129</v>
      </c>
      <c r="F75" s="50">
        <f>(C75*100)/B75</f>
        <v>98.8079470198676</v>
      </c>
      <c r="G75" s="156">
        <f>(D75*100)/B75</f>
        <v>35.4966887417219</v>
      </c>
      <c r="H75" s="152">
        <f>((B75-B76)/B75)*100</f>
        <v>2.25165562913907</v>
      </c>
      <c r="I75" s="152">
        <f>((B75-C75)/B75)*100</f>
        <v>1.19205298013245</v>
      </c>
      <c r="J75" s="152">
        <f>((C75-B76)/C75)*100</f>
        <v>1.07238605898123</v>
      </c>
      <c r="K75" s="161">
        <f>100-(((C3-C76)/C3)*100)</f>
        <v>15.8211521926053</v>
      </c>
      <c r="L75" s="54">
        <v>1.15817694369973</v>
      </c>
      <c r="M75" s="55" t="s">
        <v>28</v>
      </c>
      <c r="N75" s="54">
        <v>4.99</v>
      </c>
      <c r="O75" s="56">
        <f>N75/C75</f>
        <v>0.00668900804289544</v>
      </c>
      <c r="P75" s="57">
        <f>(Boosters_And!B75*100)/Boosters_And!N75</f>
        <v>6.52178298376541</v>
      </c>
      <c r="Q75" s="57">
        <f>Boosters_And!B75/(C75+D75)</f>
        <v>0.158476496840149</v>
      </c>
      <c r="R75" s="57">
        <f>Boosters_And!N75/B75</f>
        <v>3.26354437703173</v>
      </c>
      <c r="S75" s="54">
        <v>5.49061662198391</v>
      </c>
      <c r="T75" s="58">
        <v>0.403485254691689</v>
      </c>
      <c r="U75" s="60">
        <v>1284.83512064343</v>
      </c>
      <c r="V75" s="59">
        <v>466185</v>
      </c>
    </row>
    <row r="76" spans="1:22" s="168" customFormat="1" ht="22.500000" customHeight="1">
      <c r="A76" s="64">
        <v>74</v>
      </c>
      <c r="B76" s="49">
        <v>738</v>
      </c>
      <c r="C76" s="49">
        <v>736</v>
      </c>
      <c r="D76" s="49">
        <v>34</v>
      </c>
      <c r="E76" s="49">
        <v>16</v>
      </c>
      <c r="F76" s="50">
        <f>(C76*100)/B76</f>
        <v>99.7289972899729</v>
      </c>
      <c r="G76" s="156">
        <f>(D76*100)/B76</f>
        <v>4.6070460704607</v>
      </c>
      <c r="H76" s="152">
        <f>((B76-B77)/B76)*100</f>
        <v>-8.94308943089431</v>
      </c>
      <c r="I76" s="152">
        <f>((B76-C76)/B76)*100</f>
        <v>0.2710027100271</v>
      </c>
      <c r="J76" s="152">
        <f>((C76-B77)/C76)*100</f>
        <v>-9.23913043478261</v>
      </c>
      <c r="K76" s="161">
        <f>100-(((C3-C77)/C3)*100)</f>
        <v>14.0584694754944</v>
      </c>
      <c r="L76" s="54">
        <v>1.01630434782608</v>
      </c>
      <c r="M76" s="69" t="s">
        <v>28</v>
      </c>
      <c r="N76" s="54">
        <v>4.98</v>
      </c>
      <c r="O76" s="56">
        <f>N76/C76</f>
        <v>0.00676630434782609</v>
      </c>
      <c r="P76" s="57">
        <f>(Boosters_And!B76*100)/Boosters_And!N76</f>
        <v>0.727371110933286</v>
      </c>
      <c r="Q76" s="57">
        <f>Boosters_And!B76/(C76+D76)</f>
        <v>0.0168831168831169</v>
      </c>
      <c r="R76" s="57">
        <f>Boosters_And!N76/B76</f>
        <v>2.42175911126847</v>
      </c>
      <c r="S76" s="54">
        <v>4.81385869565217</v>
      </c>
      <c r="T76" s="58">
        <v>0.293478260869565</v>
      </c>
      <c r="U76" s="60">
        <v>1343.18206521739</v>
      </c>
      <c r="V76" s="59">
        <v>491885</v>
      </c>
    </row>
    <row r="77" spans="1:22" s="168" customFormat="1" ht="22.500000" customHeight="1">
      <c r="A77" s="76">
        <v>75</v>
      </c>
      <c r="B77" s="49">
        <v>804</v>
      </c>
      <c r="C77" s="49">
        <v>654</v>
      </c>
      <c r="D77" s="49">
        <v>803</v>
      </c>
      <c r="E77" s="49">
        <v>477</v>
      </c>
      <c r="F77" s="50">
        <f>(C77*100)/B77</f>
        <v>81.3432835820896</v>
      </c>
      <c r="G77" s="156">
        <f>(D77*100)/B77</f>
        <v>99.8756218905473</v>
      </c>
      <c r="H77" s="152">
        <f>((B77-B78)/B77)*100</f>
        <v>20.273631840796</v>
      </c>
      <c r="I77" s="152">
        <f>((B77-C77)/B77)*100</f>
        <v>18.6567164179105</v>
      </c>
      <c r="J77" s="152">
        <f>((C77-B78)/C77)*100</f>
        <v>1.98776758409786</v>
      </c>
      <c r="K77" s="161">
        <f>100-(((C3-C78)/C3)*100)</f>
        <v>13.8005159071367</v>
      </c>
      <c r="L77" s="54">
        <v>2.40825688073394</v>
      </c>
      <c r="M77" s="55" t="s">
        <v>28</v>
      </c>
      <c r="N77" s="54">
        <v>133.38</v>
      </c>
      <c r="O77" s="56">
        <f>N77/C77</f>
        <v>0.20394495412844</v>
      </c>
      <c r="P77" s="57">
        <f>(Boosters_And!B77*100)/Boosters_And!N77</f>
        <v>19.9734898590694</v>
      </c>
      <c r="Q77" s="57">
        <f>Boosters_And!B77/(C77+D77)</f>
        <v>1.08603533672189</v>
      </c>
      <c r="R77" s="57">
        <f>Boosters_And!N77/B77</f>
        <v>9.85356772471993</v>
      </c>
      <c r="S77" s="54">
        <v>6.20183486238532</v>
      </c>
      <c r="T77" s="58">
        <v>0.992354740061162</v>
      </c>
      <c r="U77" s="60">
        <v>925.10244648318</v>
      </c>
      <c r="V77" s="59">
        <v>415775</v>
      </c>
    </row>
    <row r="78" spans="1:22" s="168" customFormat="1" ht="22.500000" customHeight="1">
      <c r="A78" s="64">
        <v>76</v>
      </c>
      <c r="B78" s="49">
        <v>641</v>
      </c>
      <c r="C78" s="49">
        <v>642</v>
      </c>
      <c r="D78" s="49">
        <v>0</v>
      </c>
      <c r="E78" s="49">
        <v>1</v>
      </c>
      <c r="F78" s="50">
        <f>(C78*100)/B78</f>
        <v>100.15600624025</v>
      </c>
      <c r="G78" s="156">
        <f>(D78*100)/B78</f>
        <v>0</v>
      </c>
      <c r="H78" s="152">
        <f>((B78-B79)/B78)*100</f>
        <v>-0.31201248049922</v>
      </c>
      <c r="I78" s="152">
        <f>((B78-C78)/B78)*100</f>
        <v>-0.15600624024961</v>
      </c>
      <c r="J78" s="152">
        <f>((C78-B79)/C78)*100</f>
        <v>-0.155763239875389</v>
      </c>
      <c r="K78" s="161">
        <f>100-(((C3-C79)/C3)*100)</f>
        <v>13.7575236457438</v>
      </c>
      <c r="L78" s="54">
        <v>1.00155763239875</v>
      </c>
      <c r="M78" s="69" t="s">
        <v>28</v>
      </c>
      <c r="N78" s="54">
        <v>12.98</v>
      </c>
      <c r="O78" s="56">
        <f>N78/C78</f>
        <v>0.0202180685358255</v>
      </c>
      <c r="P78" s="57">
        <f>(Boosters_And!B78*100)/Boosters_And!N78</f>
        <v>0.188797986154814</v>
      </c>
      <c r="Q78" s="57">
        <f>Boosters_And!B78/(C78+D78)</f>
        <v>0.00467289719626168</v>
      </c>
      <c r="R78" s="57">
        <f>Boosters_And!N78/B78</f>
        <v>2.4789391575663</v>
      </c>
      <c r="S78" s="54">
        <v>9.6822429906542</v>
      </c>
      <c r="T78" s="58">
        <v>0.327102803738318</v>
      </c>
      <c r="U78" s="60">
        <v>1028.53115264798</v>
      </c>
      <c r="V78" s="59">
        <v>446085</v>
      </c>
    </row>
    <row r="79" spans="1:22" s="168" customFormat="1" ht="22.500000" customHeight="1">
      <c r="A79" s="64">
        <v>77</v>
      </c>
      <c r="B79" s="49">
        <v>643</v>
      </c>
      <c r="C79" s="49">
        <v>640</v>
      </c>
      <c r="D79" s="49">
        <v>12</v>
      </c>
      <c r="E79" s="49">
        <v>6</v>
      </c>
      <c r="F79" s="50">
        <f>(C79*100)/B79</f>
        <v>99.5334370139969</v>
      </c>
      <c r="G79" s="156">
        <f>(D79*100)/B79</f>
        <v>1.86625194401244</v>
      </c>
      <c r="H79" s="152">
        <f>((B79-B80)/B79)*100</f>
        <v>1.24416796267496</v>
      </c>
      <c r="I79" s="152">
        <f>((B79-C79)/B79)*100</f>
        <v>0.466562986003111</v>
      </c>
      <c r="J79" s="152">
        <f>((C79-B80)/C79)*100</f>
        <v>0.78125</v>
      </c>
      <c r="K79" s="161">
        <f>100-(((C3-C80)/C3)*100)</f>
        <v>13.6285468615649</v>
      </c>
      <c r="L79" s="54">
        <v>1.0078125</v>
      </c>
      <c r="M79" s="55" t="s">
        <v>28</v>
      </c>
      <c r="N79" s="54">
        <v>4.99</v>
      </c>
      <c r="O79" s="56">
        <f>N79/C79</f>
        <v>0.007796875</v>
      </c>
      <c r="P79" s="57">
        <f>(Boosters_And!B79*100)/Boosters_And!N79</f>
        <v>0.365601852368262</v>
      </c>
      <c r="Q79" s="57">
        <f>Boosters_And!B79/(C79+D79)</f>
        <v>0.00920245398773006</v>
      </c>
      <c r="R79" s="57">
        <f>Boosters_And!N79/B79</f>
        <v>2.55230099618398</v>
      </c>
      <c r="S79" s="54">
        <v>5.846875</v>
      </c>
      <c r="T79" s="58">
        <v>0.315625</v>
      </c>
      <c r="U79" s="60">
        <v>1091.33125</v>
      </c>
      <c r="V79" s="59">
        <v>461990</v>
      </c>
    </row>
    <row r="80" spans="1:22" s="168" customFormat="1" ht="22.500000" customHeight="1">
      <c r="A80" s="64">
        <v>78</v>
      </c>
      <c r="B80" s="49">
        <v>635</v>
      </c>
      <c r="C80" s="49">
        <v>634</v>
      </c>
      <c r="D80" s="49">
        <v>11</v>
      </c>
      <c r="E80" s="49">
        <v>8</v>
      </c>
      <c r="F80" s="50">
        <f>(C80*100)/B80</f>
        <v>99.8425196850394</v>
      </c>
      <c r="G80" s="156">
        <f>(D80*100)/B80</f>
        <v>1.73228346456693</v>
      </c>
      <c r="H80" s="152">
        <f>((B80-B81)/B80)*100</f>
        <v>0.31496062992126</v>
      </c>
      <c r="I80" s="152">
        <f>((B80-C80)/B80)*100</f>
        <v>0.15748031496063</v>
      </c>
      <c r="J80" s="152">
        <f>((C80-B81)/C80)*100</f>
        <v>0.157728706624606</v>
      </c>
      <c r="K80" s="161">
        <f>100-(((C3-C81)/C3)*100)</f>
        <v>13.4135855546002</v>
      </c>
      <c r="L80" s="54">
        <v>1.00315457413249</v>
      </c>
      <c r="M80" s="69" t="s">
        <v>28</v>
      </c>
      <c r="N80" s="54">
        <v>0</v>
      </c>
      <c r="O80" s="56">
        <f>N80/C80</f>
        <v>0</v>
      </c>
      <c r="P80" s="57">
        <f>(Boosters_And!B80*100)/Boosters_And!N80</f>
        <v>0.241298887618671</v>
      </c>
      <c r="Q80" s="57">
        <f>Boosters_And!B80/(C80+D80)</f>
        <v>0.0062015503875969</v>
      </c>
      <c r="R80" s="57">
        <f>Boosters_And!N80/B80</f>
        <v>2.61054357133214</v>
      </c>
      <c r="S80" s="54">
        <v>4.6167192429022</v>
      </c>
      <c r="T80" s="58">
        <v>0.299684542586751</v>
      </c>
      <c r="U80" s="60">
        <v>1180.04258675079</v>
      </c>
      <c r="V80" s="59">
        <v>494830</v>
      </c>
    </row>
    <row r="81" spans="1:22" s="168" customFormat="1" ht="22.500000" customHeight="1">
      <c r="A81" s="64">
        <v>79</v>
      </c>
      <c r="B81" s="49">
        <v>633</v>
      </c>
      <c r="C81" s="49">
        <v>624</v>
      </c>
      <c r="D81" s="49">
        <v>172</v>
      </c>
      <c r="E81" s="49">
        <v>90</v>
      </c>
      <c r="F81" s="50">
        <f>(C81*100)/B81</f>
        <v>98.5781990521327</v>
      </c>
      <c r="G81" s="156">
        <f>(D81*100)/B81</f>
        <v>27.172195892575</v>
      </c>
      <c r="H81" s="152">
        <f>((B81-B82)/B81)*100</f>
        <v>-7.74091627172196</v>
      </c>
      <c r="I81" s="152">
        <f>((B81-C81)/B81)*100</f>
        <v>1.4218009478673</v>
      </c>
      <c r="J81" s="152">
        <f>((C81-B82)/C81)*100</f>
        <v>-9.2948717948718</v>
      </c>
      <c r="K81" s="161">
        <f>100-(((C3-C82)/C3)*100)</f>
        <v>12.9621668099742</v>
      </c>
      <c r="L81" s="54">
        <v>1.11538461538461</v>
      </c>
      <c r="M81" s="55" t="s">
        <v>28</v>
      </c>
      <c r="N81" s="54">
        <v>10.99</v>
      </c>
      <c r="O81" s="56">
        <f>N81/C81</f>
        <v>0.0176121794871795</v>
      </c>
      <c r="P81" s="57">
        <f>(Boosters_And!B81*100)/Boosters_And!N81</f>
        <v>3.79248446127094</v>
      </c>
      <c r="Q81" s="57">
        <f>Boosters_And!B81/(C81+D81)</f>
        <v>0.109077343365167</v>
      </c>
      <c r="R81" s="57">
        <f>Boosters_And!N81/B81</f>
        <v>3.61676340345309</v>
      </c>
      <c r="S81" s="54">
        <v>5.07532051282051</v>
      </c>
      <c r="T81" s="58">
        <v>0.378205128205128</v>
      </c>
      <c r="U81" s="60">
        <v>1143.22435897436</v>
      </c>
      <c r="V81" s="59">
        <v>463310</v>
      </c>
    </row>
    <row r="82" spans="1:22" s="168" customFormat="1" ht="22.500000" customHeight="1">
      <c r="A82" s="34">
        <v>80</v>
      </c>
      <c r="B82" s="49">
        <v>682</v>
      </c>
      <c r="C82" s="49">
        <v>603</v>
      </c>
      <c r="D82" s="49">
        <v>564</v>
      </c>
      <c r="E82" s="49">
        <v>341</v>
      </c>
      <c r="F82" s="50">
        <f>(C82*100)/B82</f>
        <v>88.41642228739</v>
      </c>
      <c r="G82" s="156">
        <f>(D82*100)/B82</f>
        <v>82.6979472140763</v>
      </c>
      <c r="H82" s="151">
        <f>((B82-B83)/B82)*100</f>
        <v>8.21114369501466</v>
      </c>
      <c r="I82" s="152">
        <f>((B82-C82)/B82)*100</f>
        <v>11.58357771261</v>
      </c>
      <c r="J82" s="152">
        <f>((C82-B83)/C82)*100</f>
        <v>-3.81426202321725</v>
      </c>
      <c r="K82" s="161">
        <f>100-(((C3-C83)/C3)*100)</f>
        <v>12.9191745485813</v>
      </c>
      <c r="L82" s="54">
        <v>2.46523178807947</v>
      </c>
      <c r="M82" s="69" t="s">
        <v>28</v>
      </c>
      <c r="N82" s="54">
        <v>66.29</v>
      </c>
      <c r="O82" s="56">
        <f>N82/C82</f>
        <v>0.109933665008292</v>
      </c>
      <c r="P82" s="57">
        <f>(Boosters_And!B82*100)/Boosters_And!N82</f>
        <v>10.9643922387118</v>
      </c>
      <c r="Q82" s="57">
        <f>Boosters_And!B82/(C82+D82)</f>
        <v>0.456535035391014</v>
      </c>
      <c r="R82" s="57">
        <f>Boosters_And!N82/B82</f>
        <v>7.12485498835468</v>
      </c>
      <c r="S82" s="54">
        <v>8.07947019867549</v>
      </c>
      <c r="T82" s="58">
        <v>0.752902155887231</v>
      </c>
      <c r="U82" s="77">
        <v>1103.33001658375</v>
      </c>
      <c r="V82" s="59">
        <v>359275</v>
      </c>
    </row>
    <row r="83" spans="1:22" s="168" customFormat="1" ht="22.500000" customHeight="1">
      <c r="A83" s="34">
        <v>81</v>
      </c>
      <c r="B83" s="49">
        <v>626</v>
      </c>
      <c r="C83" s="49">
        <v>601</v>
      </c>
      <c r="D83" s="49">
        <v>339</v>
      </c>
      <c r="E83" s="49">
        <v>180</v>
      </c>
      <c r="F83" s="50">
        <f>(C83*100)/B83</f>
        <v>96.0063897763578</v>
      </c>
      <c r="G83" s="156">
        <f>(D83*100)/B83</f>
        <v>54.1533546325879</v>
      </c>
      <c r="H83" s="152">
        <f>((B83-B84)/B83)*100</f>
        <v>2.87539936102236</v>
      </c>
      <c r="I83" s="152">
        <f>((B83-C83)/B83)*100</f>
        <v>3.99361022364217</v>
      </c>
      <c r="J83" s="152">
        <f>((C83-B84)/C83)*100</f>
        <v>-1.16472545757072</v>
      </c>
      <c r="K83" s="161">
        <f>100-(((C3-C84)/C3)*100)</f>
        <v>12.8331900257954</v>
      </c>
      <c r="L83" s="54">
        <v>1.24046434494195</v>
      </c>
      <c r="M83" s="55" t="s">
        <v>28</v>
      </c>
      <c r="N83" s="54">
        <v>26.44</v>
      </c>
      <c r="O83" s="56">
        <f>N83/C83</f>
        <v>0.0439933444259567</v>
      </c>
      <c r="P83" s="57">
        <f>(Boosters_And!B83*100)/Boosters_And!N83</f>
        <v>6.63696554585508</v>
      </c>
      <c r="Q83" s="57">
        <f>Boosters_And!B83/(C83+D83)</f>
        <v>0.193245883656751</v>
      </c>
      <c r="R83" s="57">
        <f>Boosters_And!N83/B83</f>
        <v>4.3721415001319</v>
      </c>
      <c r="S83" s="54">
        <v>6.30182421227197</v>
      </c>
      <c r="T83" s="58">
        <v>0.517470881863561</v>
      </c>
      <c r="U83" s="60">
        <v>1098.24126455907</v>
      </c>
      <c r="V83" s="59">
        <v>335165</v>
      </c>
    </row>
    <row r="84" spans="1:22" s="168" customFormat="1" ht="22.500000" customHeight="1">
      <c r="A84" s="34">
        <v>82</v>
      </c>
      <c r="B84" s="49">
        <v>608</v>
      </c>
      <c r="C84" s="49">
        <v>597</v>
      </c>
      <c r="D84" s="49">
        <v>159</v>
      </c>
      <c r="E84" s="49">
        <v>83</v>
      </c>
      <c r="F84" s="50">
        <f>(C84*100)/B84</f>
        <v>98.1907894736842</v>
      </c>
      <c r="G84" s="156">
        <f>(D84*100)/B84</f>
        <v>26.1513157894737</v>
      </c>
      <c r="H84" s="152">
        <f>((B84-B85)/B84)*100</f>
        <v>1.97368421052632</v>
      </c>
      <c r="I84" s="152">
        <f>((B84-C84)/B84)*100</f>
        <v>1.80921052631579</v>
      </c>
      <c r="J84" s="152">
        <f>((C84-B85)/C84)*100</f>
        <v>0.16750418760469</v>
      </c>
      <c r="K84" s="161">
        <f>100-(((C3-C85)/C3)*100)</f>
        <v>12.7901977644024</v>
      </c>
      <c r="L84" s="54">
        <v>1.11872909698996</v>
      </c>
      <c r="M84" s="69" t="s">
        <v>28</v>
      </c>
      <c r="N84" s="54">
        <v>1.99</v>
      </c>
      <c r="O84" s="56">
        <f>N84/C84</f>
        <v>0.00333333333333333</v>
      </c>
      <c r="P84" s="57">
        <f>(Boosters_And!B84*100)/Boosters_And!N84</f>
        <v>3.83859998708863</v>
      </c>
      <c r="Q84" s="57">
        <f>Boosters_And!B84/(C84+D84)</f>
        <v>0.107026356723374</v>
      </c>
      <c r="R84" s="57">
        <f>Boosters_And!N84/B84</f>
        <v>3.46685837503046</v>
      </c>
      <c r="S84" s="54">
        <v>4.5</v>
      </c>
      <c r="T84" s="58">
        <v>0.395309882747069</v>
      </c>
      <c r="U84" s="60">
        <v>1119.64489112228</v>
      </c>
      <c r="V84" s="59">
        <v>349320</v>
      </c>
    </row>
    <row r="85" spans="1:22" s="168" customFormat="1" ht="22.500000" customHeight="1">
      <c r="A85" s="34">
        <v>83</v>
      </c>
      <c r="B85" s="49">
        <v>596</v>
      </c>
      <c r="C85" s="49">
        <v>595</v>
      </c>
      <c r="D85" s="49">
        <v>2</v>
      </c>
      <c r="E85" s="49">
        <v>2</v>
      </c>
      <c r="F85" s="50">
        <f>(C85*100)/B85</f>
        <v>99.8322147651007</v>
      </c>
      <c r="G85" s="156">
        <f>(D85*100)/B85</f>
        <v>0.335570469798658</v>
      </c>
      <c r="H85" s="152">
        <f>((B85-B86)/B85)*100</f>
        <v>-0.838926174496644</v>
      </c>
      <c r="I85" s="152">
        <f>((B85-C85)/B85)*100</f>
        <v>0.167785234899329</v>
      </c>
      <c r="J85" s="152">
        <f>((C85-B86)/C85)*100</f>
        <v>-1.00840336134454</v>
      </c>
      <c r="K85" s="161">
        <f>100-(((C3-C86)/C3)*100)</f>
        <v>12.4892519346518</v>
      </c>
      <c r="L85" s="54">
        <v>1.00503355704698</v>
      </c>
      <c r="M85" s="62" t="s">
        <v>28</v>
      </c>
      <c r="N85" s="54">
        <v>1.99</v>
      </c>
      <c r="O85" s="56">
        <f>N85/C85</f>
        <v>0.00334453781512605</v>
      </c>
      <c r="P85" s="57">
        <f>(Boosters_And!B85*100)/Boosters_And!N85</f>
        <v>0.450123025770097</v>
      </c>
      <c r="Q85" s="57">
        <f>Boosters_And!B85/(C85+D85)</f>
        <v>0.0117252931323283</v>
      </c>
      <c r="R85" s="57">
        <f>Boosters_And!N85/B85</f>
        <v>2.60927919047443</v>
      </c>
      <c r="S85" s="54">
        <v>4.59563758389261</v>
      </c>
      <c r="T85" s="58">
        <v>0.321008403361345</v>
      </c>
      <c r="U85" s="60">
        <v>1183.34957983193</v>
      </c>
      <c r="V85" s="59">
        <v>373595</v>
      </c>
    </row>
    <row r="86" spans="1:22" s="168" customFormat="1" ht="22.500000" customHeight="1">
      <c r="A86" s="34">
        <v>84</v>
      </c>
      <c r="B86" s="49">
        <v>601</v>
      </c>
      <c r="C86" s="49">
        <v>581</v>
      </c>
      <c r="D86" s="49">
        <v>369</v>
      </c>
      <c r="E86" s="49">
        <v>199</v>
      </c>
      <c r="F86" s="50">
        <f>(C86*100)/B86</f>
        <v>96.6722129783694</v>
      </c>
      <c r="G86" s="156">
        <f>(D86*100)/B86</f>
        <v>61.3976705490849</v>
      </c>
      <c r="H86" s="152">
        <f>((B86-B87)/B86)*100</f>
        <v>-1.83028286189684</v>
      </c>
      <c r="I86" s="152">
        <f>((B86-C86)/B86)*100</f>
        <v>3.32778702163062</v>
      </c>
      <c r="J86" s="152">
        <f>((C86-B87)/C86)*100</f>
        <v>-5.33562822719449</v>
      </c>
      <c r="K86" s="161">
        <f>100-(((C3-C87)/C3)*100)</f>
        <v>12.1883061049011</v>
      </c>
      <c r="L86" s="54">
        <v>1.29209621993127</v>
      </c>
      <c r="M86" s="69" t="s">
        <v>28</v>
      </c>
      <c r="N86" s="54">
        <v>30.44</v>
      </c>
      <c r="O86" s="56">
        <f>N86/C86</f>
        <v>0.0523924268502582</v>
      </c>
      <c r="P86" s="57">
        <f>(Boosters_And!B86*100)/Boosters_And!N86</f>
        <v>6.89221908359567</v>
      </c>
      <c r="Q86" s="57">
        <f>Boosters_And!B86/(C86+D86)</f>
        <v>0.188875580864198</v>
      </c>
      <c r="R86" s="57">
        <f>Boosters_And!N86/B86</f>
        <v>4.33177481827935</v>
      </c>
      <c r="S86" s="54">
        <v>6.84707903780068</v>
      </c>
      <c r="T86" s="58">
        <v>0.46815834767642</v>
      </c>
      <c r="U86" s="60">
        <v>1166.40791738382</v>
      </c>
      <c r="V86" s="59">
        <v>360355</v>
      </c>
    </row>
    <row r="87" spans="1:22" s="168" customFormat="1" ht="22.500000" customHeight="1">
      <c r="A87" s="76">
        <v>85</v>
      </c>
      <c r="B87" s="49">
        <v>612</v>
      </c>
      <c r="C87" s="49">
        <v>567</v>
      </c>
      <c r="D87" s="49">
        <v>493</v>
      </c>
      <c r="E87" s="49">
        <v>270</v>
      </c>
      <c r="F87" s="50">
        <f>(C87*100)/B87</f>
        <v>92.6470588235294</v>
      </c>
      <c r="G87" s="156">
        <f>(D87*100)/B87</f>
        <v>80.5555555555556</v>
      </c>
      <c r="H87" s="152">
        <f>((B87-B88)/B87)*100</f>
        <v>8.82352941176471</v>
      </c>
      <c r="I87" s="152">
        <f>((B87-C87)/B87)*100</f>
        <v>7.35294117647059</v>
      </c>
      <c r="J87" s="152">
        <f>((C87-B88)/C87)*100</f>
        <v>1.58730158730159</v>
      </c>
      <c r="K87" s="161">
        <f>100-(((C3-C88)/C3)*100)</f>
        <v>11.9948409286328</v>
      </c>
      <c r="L87" s="54">
        <v>1.68253968253968</v>
      </c>
      <c r="M87" s="55" t="s">
        <v>28</v>
      </c>
      <c r="N87" s="54">
        <v>41.89</v>
      </c>
      <c r="O87" s="56">
        <f>N87/C87</f>
        <v>0.0738800705467372</v>
      </c>
      <c r="P87" s="57">
        <f>(Boosters_And!B87*100)/Boosters_And!N87</f>
        <v>7.55182282175656</v>
      </c>
      <c r="Q87" s="57">
        <f>Boosters_And!B87/(C87+D87)</f>
        <v>0.271860248822575</v>
      </c>
      <c r="R87" s="57">
        <f>Boosters_And!N87/B87</f>
        <v>6.23517089227288</v>
      </c>
      <c r="S87" s="54">
        <v>4.9347442680776</v>
      </c>
      <c r="T87" s="58">
        <v>0.712522045855379</v>
      </c>
      <c r="U87" s="60">
        <v>1134.00881834215</v>
      </c>
      <c r="V87" s="59">
        <v>334740</v>
      </c>
    </row>
    <row r="88" spans="1:22" s="168" customFormat="1" ht="22.500000" customHeight="1">
      <c r="A88" s="34">
        <v>86</v>
      </c>
      <c r="B88" s="49">
        <v>558</v>
      </c>
      <c r="C88" s="49">
        <v>558</v>
      </c>
      <c r="D88" s="49">
        <v>20</v>
      </c>
      <c r="E88" s="49">
        <v>10</v>
      </c>
      <c r="F88" s="50">
        <f>(C88*100)/B88</f>
        <v>100</v>
      </c>
      <c r="G88" s="156">
        <f>(D88*100)/B88</f>
        <v>3.584229390681</v>
      </c>
      <c r="H88" s="152">
        <f>((B88-B89)/B88)*100</f>
        <v>-6.98924731182796</v>
      </c>
      <c r="I88" s="152">
        <f>((B88-C88)/B88)*100</f>
        <v>0</v>
      </c>
      <c r="J88" s="152">
        <f>((C88-B89)/C88)*100</f>
        <v>-6.98924731182796</v>
      </c>
      <c r="K88" s="161">
        <f>100-(((C3-C89)/C3)*100)</f>
        <v>11.6509028374893</v>
      </c>
      <c r="L88" s="54">
        <v>1.0179211469534</v>
      </c>
      <c r="M88" s="69" t="s">
        <v>28</v>
      </c>
      <c r="N88" s="54">
        <v>6.49</v>
      </c>
      <c r="O88" s="56">
        <f>N88/C88</f>
        <v>0.0116308243727599</v>
      </c>
      <c r="P88" s="57">
        <f>(Boosters_And!B88*100)/Boosters_And!N88</f>
        <v>1.71113575623186</v>
      </c>
      <c r="Q88" s="57">
        <f>Boosters_And!B88/(C88+D88)</f>
        <v>0.04693840401862</v>
      </c>
      <c r="R88" s="57">
        <f>Boosters_And!N88/B88</f>
        <v>2.84143346978157</v>
      </c>
      <c r="S88" s="54">
        <v>4.86379928315412</v>
      </c>
      <c r="T88" s="58">
        <v>0.35663082437276</v>
      </c>
      <c r="U88" s="60">
        <v>1201.71684587814</v>
      </c>
      <c r="V88" s="59">
        <v>342005</v>
      </c>
    </row>
    <row r="89" spans="1:22" s="168" customFormat="1" ht="22.500000" customHeight="1">
      <c r="A89" s="34">
        <v>87</v>
      </c>
      <c r="B89" s="49">
        <v>597</v>
      </c>
      <c r="C89" s="49">
        <v>542</v>
      </c>
      <c r="D89" s="49">
        <v>476</v>
      </c>
      <c r="E89" s="49">
        <v>280</v>
      </c>
      <c r="F89" s="50">
        <f>(C89*100)/B89</f>
        <v>90.7872696817421</v>
      </c>
      <c r="G89" s="156">
        <f>(D89*100)/B89</f>
        <v>79.7319932998325</v>
      </c>
      <c r="H89" s="151">
        <f>((B89-B90)/B89)*100</f>
        <v>9.88274706867672</v>
      </c>
      <c r="I89" s="152">
        <f>((B89-C89)/B89)*100</f>
        <v>9.21273031825796</v>
      </c>
      <c r="J89" s="152">
        <f>((C89-B90)/C89)*100</f>
        <v>0.738007380073801</v>
      </c>
      <c r="K89" s="161">
        <f>100-(((C3-C90)/C3)*100)</f>
        <v>11.5649183147033</v>
      </c>
      <c r="L89" s="54">
        <v>1.63099630996309</v>
      </c>
      <c r="M89" s="73" t="s">
        <v>30</v>
      </c>
      <c r="N89" s="54">
        <v>78.36</v>
      </c>
      <c r="O89" s="56">
        <f>N89/C89</f>
        <v>0.144575645756458</v>
      </c>
      <c r="P89" s="57">
        <f>(Boosters_And!B89*100)/Boosters_And!N89</f>
        <v>12.9757742398029</v>
      </c>
      <c r="Q89" s="57">
        <f>Boosters_And!B89/(C89+D89)</f>
        <v>0.577978158965779</v>
      </c>
      <c r="R89" s="57">
        <f>Boosters_And!N89/B89</f>
        <v>7.59541649422141</v>
      </c>
      <c r="S89" s="54">
        <v>6.17527675276752</v>
      </c>
      <c r="T89" s="58">
        <v>0.706642066420664</v>
      </c>
      <c r="U89" s="60">
        <v>1136.11254612546</v>
      </c>
      <c r="V89" s="59">
        <v>277190</v>
      </c>
    </row>
    <row r="90" spans="1:22" s="168" customFormat="1" ht="22.500000" customHeight="1">
      <c r="A90" s="34">
        <v>88</v>
      </c>
      <c r="B90" s="49">
        <v>538</v>
      </c>
      <c r="C90" s="49">
        <v>538</v>
      </c>
      <c r="D90" s="49">
        <v>104</v>
      </c>
      <c r="E90" s="49">
        <v>43</v>
      </c>
      <c r="F90" s="50">
        <f>(C90*100)/B90</f>
        <v>100</v>
      </c>
      <c r="G90" s="156">
        <f>(D90*100)/B90</f>
        <v>19.3308550185874</v>
      </c>
      <c r="H90" s="152">
        <f>((B90-B91)/B90)*100</f>
        <v>0.371747211895911</v>
      </c>
      <c r="I90" s="152">
        <f>((B90-C90)/B90)*100</f>
        <v>0</v>
      </c>
      <c r="J90" s="152">
        <f>((C90-B91)/C90)*100</f>
        <v>0.371747211895911</v>
      </c>
      <c r="K90" s="161">
        <f>100-(((C3-C91)/C3)*100)</f>
        <v>11.5004299226139</v>
      </c>
      <c r="L90" s="54">
        <v>1.05576208178438</v>
      </c>
      <c r="M90" s="69" t="s">
        <v>28</v>
      </c>
      <c r="N90" s="54">
        <v>0</v>
      </c>
      <c r="O90" s="56">
        <f>N90/C90</f>
        <v>0</v>
      </c>
      <c r="P90" s="57">
        <f>(Boosters_And!B90*100)/Boosters_And!N90</f>
        <v>0.181849020673997</v>
      </c>
      <c r="Q90" s="57">
        <f>Boosters_And!B90/(C90+D90)</f>
        <v>0.00487600860243357</v>
      </c>
      <c r="R90" s="57">
        <f>Boosters_And!N90/B90</f>
        <v>3.19967780662118</v>
      </c>
      <c r="S90" s="54">
        <v>4.86988847583643</v>
      </c>
      <c r="T90" s="58">
        <v>0.41635687732342</v>
      </c>
      <c r="U90" s="60">
        <v>1206.343866171</v>
      </c>
      <c r="V90" s="59">
        <v>283965</v>
      </c>
    </row>
    <row r="91" spans="1:22" s="168" customFormat="1" ht="22.500000" customHeight="1">
      <c r="A91" s="34">
        <v>89</v>
      </c>
      <c r="B91" s="49">
        <v>536</v>
      </c>
      <c r="C91" s="49">
        <v>535</v>
      </c>
      <c r="D91" s="49">
        <v>31</v>
      </c>
      <c r="E91" s="49">
        <v>14</v>
      </c>
      <c r="F91" s="50">
        <f>(C91*100)/B91</f>
        <v>99.8134328358209</v>
      </c>
      <c r="G91" s="156">
        <f>(D91*100)/B91</f>
        <v>5.78358208955224</v>
      </c>
      <c r="H91" s="152">
        <f>((B91-B92)/B91)*100</f>
        <v>-1.30597014925373</v>
      </c>
      <c r="I91" s="152">
        <f>((B91-C91)/B91)*100</f>
        <v>0.186567164179104</v>
      </c>
      <c r="J91" s="152">
        <f>((C91-B92)/C91)*100</f>
        <v>-1.49532710280374</v>
      </c>
      <c r="K91" s="161">
        <f>100-(((C3-C92)/C3)*100)</f>
        <v>10.9630266552021</v>
      </c>
      <c r="L91" s="54">
        <v>1.02242990654205</v>
      </c>
      <c r="M91" s="55" t="s">
        <v>28</v>
      </c>
      <c r="N91" s="54">
        <v>0</v>
      </c>
      <c r="O91" s="56">
        <f>N91/C91</f>
        <v>0</v>
      </c>
      <c r="P91" s="57">
        <f>(Boosters_And!B91*100)/Boosters_And!N91</f>
        <v>0.292048678972841</v>
      </c>
      <c r="Q91" s="57">
        <f>Boosters_And!B91/(C91+D91)</f>
        <v>0.00906430657731864</v>
      </c>
      <c r="R91" s="57">
        <f>Boosters_And!N91/B91</f>
        <v>3.27741156131812</v>
      </c>
      <c r="S91" s="54">
        <v>4.83925233644859</v>
      </c>
      <c r="T91" s="58">
        <v>0.362616822429907</v>
      </c>
      <c r="U91" s="60">
        <v>1262.01495327103</v>
      </c>
      <c r="V91" s="59">
        <v>292230</v>
      </c>
    </row>
    <row r="92" spans="1:22" s="168" customFormat="1" ht="22.500000" customHeight="1">
      <c r="A92" s="34">
        <v>90</v>
      </c>
      <c r="B92" s="49">
        <v>543</v>
      </c>
      <c r="C92" s="49">
        <v>510</v>
      </c>
      <c r="D92" s="49">
        <v>323</v>
      </c>
      <c r="E92" s="49">
        <v>194</v>
      </c>
      <c r="F92" s="50">
        <f>(C92*100)/B92</f>
        <v>93.9226519337017</v>
      </c>
      <c r="G92" s="156">
        <f>(D92*100)/B92</f>
        <v>59.4843462246777</v>
      </c>
      <c r="H92" s="151">
        <f>((B92-B93)/B92)*100</f>
        <v>4.60405156537753</v>
      </c>
      <c r="I92" s="152">
        <f>((B92-C92)/B92)*100</f>
        <v>6.07734806629834</v>
      </c>
      <c r="J92" s="152">
        <f>((C92-B93)/C92)*100</f>
        <v>-1.56862745098039</v>
      </c>
      <c r="K92" s="161">
        <f>100-(((C3-C93)/C3)*100)</f>
        <v>11.1349957007739</v>
      </c>
      <c r="L92" s="54">
        <v>1.33725490196078</v>
      </c>
      <c r="M92" s="69" t="s">
        <v>28</v>
      </c>
      <c r="N92" s="54">
        <v>17.88</v>
      </c>
      <c r="O92" s="56">
        <f>N92/C92</f>
        <v>0.0350588235294118</v>
      </c>
      <c r="P92" s="57">
        <f>(Boosters_And!B92*100)/Boosters_And!N92</f>
        <v>14.8800145113552</v>
      </c>
      <c r="Q92" s="57">
        <f>Boosters_And!B92/(C92+D92)</f>
        <v>0.570950722232876</v>
      </c>
      <c r="R92" s="57">
        <f>Boosters_And!N92/B92</f>
        <v>5.88627358711678</v>
      </c>
      <c r="S92" s="54">
        <v>7</v>
      </c>
      <c r="T92" s="58">
        <v>0.588235294117647</v>
      </c>
      <c r="U92" s="60">
        <v>1203.57450980392</v>
      </c>
      <c r="V92" s="59">
        <v>266030</v>
      </c>
    </row>
    <row r="93" spans="1:22" s="168" customFormat="1" ht="22.500000" customHeight="1">
      <c r="A93" s="34">
        <v>91</v>
      </c>
      <c r="B93" s="49">
        <v>518</v>
      </c>
      <c r="C93" s="49">
        <v>518</v>
      </c>
      <c r="D93" s="49">
        <v>66</v>
      </c>
      <c r="E93" s="49">
        <v>39</v>
      </c>
      <c r="F93" s="50">
        <f>(C93*100)/B93</f>
        <v>100</v>
      </c>
      <c r="G93" s="156">
        <f>(D93*100)/B93</f>
        <v>12.7413127413127</v>
      </c>
      <c r="H93" s="152">
        <f>((B93-B94)/B93)*100</f>
        <v>-1.54440154440154</v>
      </c>
      <c r="I93" s="152">
        <f>((B93-C93)/B93)*100</f>
        <v>0</v>
      </c>
      <c r="J93" s="152">
        <f>((C93-B94)/C93)*100</f>
        <v>-1.54440154440154</v>
      </c>
      <c r="K93" s="161">
        <f>100-(((C3-C94)/C3)*100)</f>
        <v>11.0275150472915</v>
      </c>
      <c r="L93" s="54">
        <v>1.06563706563706</v>
      </c>
      <c r="M93" s="55" t="s">
        <v>28</v>
      </c>
      <c r="N93" s="54">
        <v>3.98</v>
      </c>
      <c r="O93" s="56">
        <f>N93/C93</f>
        <v>0.00768339768339768</v>
      </c>
      <c r="P93" s="57">
        <f>(Boosters_And!B93*100)/Boosters_And!N93</f>
        <v>12.185157192878</v>
      </c>
      <c r="Q93" s="57">
        <f>Boosters_And!B93/(C93+D93)</f>
        <v>0.342465753424658</v>
      </c>
      <c r="R93" s="57">
        <f>Boosters_And!N93/B93</f>
        <v>3.16861227137927</v>
      </c>
      <c r="S93" s="54">
        <v>8.68339768339768</v>
      </c>
      <c r="T93" s="58">
        <v>0.386100386100386</v>
      </c>
      <c r="U93" s="60">
        <v>1241.09652509653</v>
      </c>
      <c r="V93" s="59">
        <v>282575</v>
      </c>
    </row>
    <row r="94" spans="1:22" s="168" customFormat="1" ht="22.500000" customHeight="1">
      <c r="A94" s="34">
        <v>92</v>
      </c>
      <c r="B94" s="49">
        <v>526</v>
      </c>
      <c r="C94" s="49">
        <v>513</v>
      </c>
      <c r="D94" s="49">
        <v>246</v>
      </c>
      <c r="E94" s="49">
        <v>148</v>
      </c>
      <c r="F94" s="50">
        <f>(C94*100)/B94</f>
        <v>97.5285171102662</v>
      </c>
      <c r="G94" s="156">
        <f>(D94*100)/B94</f>
        <v>46.7680608365019</v>
      </c>
      <c r="H94" s="152">
        <f>((B94-B95)/B94)*100</f>
        <v>2.85171102661597</v>
      </c>
      <c r="I94" s="152">
        <f>((B94-C94)/B94)*100</f>
        <v>2.47148288973384</v>
      </c>
      <c r="J94" s="152">
        <f>((C94-B95)/C94)*100</f>
        <v>0.389863547758285</v>
      </c>
      <c r="K94" s="161">
        <f>100-(((C3-C95)/C3)*100)</f>
        <v>10.9415305245056</v>
      </c>
      <c r="L94" s="54">
        <v>1.270955165692</v>
      </c>
      <c r="M94" s="69" t="s">
        <v>28</v>
      </c>
      <c r="N94" s="54">
        <v>15.96</v>
      </c>
      <c r="O94" s="56">
        <f>N94/C94</f>
        <v>0.0311111111111111</v>
      </c>
      <c r="P94" s="57">
        <f>(Boosters_And!B94*100)/Boosters_And!N94</f>
        <v>7.58264452693148</v>
      </c>
      <c r="Q94" s="57">
        <f>Boosters_And!B94/(C94+D94)</f>
        <v>0.257142301416948</v>
      </c>
      <c r="R94" s="57">
        <f>Boosters_And!N94/B94</f>
        <v>4.89337908536212</v>
      </c>
      <c r="S94" s="54">
        <v>10.6315789473684</v>
      </c>
      <c r="T94" s="58">
        <v>0.49317738791423</v>
      </c>
      <c r="U94" s="60">
        <v>1209.15789473684</v>
      </c>
      <c r="V94" s="59">
        <v>272525</v>
      </c>
    </row>
    <row r="95" spans="1:22" s="168" customFormat="1" ht="22.500000" customHeight="1">
      <c r="A95" s="34">
        <v>93</v>
      </c>
      <c r="B95" s="49">
        <v>511</v>
      </c>
      <c r="C95" s="49">
        <v>509</v>
      </c>
      <c r="D95" s="49">
        <v>3</v>
      </c>
      <c r="E95" s="49">
        <v>3</v>
      </c>
      <c r="F95" s="50">
        <f>(C95*100)/B95</f>
        <v>99.6086105675147</v>
      </c>
      <c r="G95" s="156">
        <f>(D95*100)/B95</f>
        <v>0.587084148727984</v>
      </c>
      <c r="H95" s="152">
        <f>((B95-B96)/B95)*100</f>
        <v>0</v>
      </c>
      <c r="I95" s="152">
        <f>((B95-C95)/B95)*100</f>
        <v>0.391389432485323</v>
      </c>
      <c r="J95" s="152">
        <f>((C95-B96)/C95)*100</f>
        <v>-0.392927308447937</v>
      </c>
      <c r="K95" s="161">
        <f>100-(((C3-C96)/C3)*100)</f>
        <v>11.0275150472915</v>
      </c>
      <c r="L95" s="54">
        <v>1.00196463654223</v>
      </c>
      <c r="M95" s="55" t="s">
        <v>28</v>
      </c>
      <c r="N95" s="54">
        <v>0</v>
      </c>
      <c r="O95" s="56">
        <f>N95/C95</f>
        <v>0</v>
      </c>
      <c r="P95" s="57">
        <f>(Boosters_And!B95*100)/Boosters_And!N95</f>
        <v>0.368719821984471</v>
      </c>
      <c r="Q95" s="57">
        <f>Boosters_And!B95/(C95+D95)</f>
        <v>0.009765625</v>
      </c>
      <c r="R95" s="57">
        <f>Boosters_And!N95/B95</f>
        <v>2.65370485358532</v>
      </c>
      <c r="S95" s="54">
        <v>5.93909626719056</v>
      </c>
      <c r="T95" s="58">
        <v>0.333988212180747</v>
      </c>
      <c r="U95" s="60">
        <v>1269.69155206287</v>
      </c>
      <c r="V95" s="59">
        <v>270440</v>
      </c>
    </row>
    <row r="96" spans="1:22" s="168" customFormat="1" ht="22.500000" customHeight="1">
      <c r="A96" s="34">
        <v>94</v>
      </c>
      <c r="B96" s="49">
        <v>511</v>
      </c>
      <c r="C96" s="49">
        <v>513</v>
      </c>
      <c r="D96" s="49">
        <v>9</v>
      </c>
      <c r="E96" s="49">
        <v>4</v>
      </c>
      <c r="F96" s="50">
        <f>(C96*100)/B96</f>
        <v>100.391389432485</v>
      </c>
      <c r="G96" s="156">
        <f>(D96*100)/B96</f>
        <v>1.76125244618395</v>
      </c>
      <c r="H96" s="152">
        <f>((B96-B97)/B96)*100</f>
        <v>-16.0469667318982</v>
      </c>
      <c r="I96" s="152">
        <f>((B96-C96)/B96)*100</f>
        <v>-0.391389432485323</v>
      </c>
      <c r="J96" s="152">
        <f>((C96-B97)/C96)*100</f>
        <v>-15.5945419103314</v>
      </c>
      <c r="K96" s="161">
        <f>100-(((C3-C97)/C3)*100)</f>
        <v>10.2751504729149</v>
      </c>
      <c r="L96" s="54">
        <v>1.00389863547758</v>
      </c>
      <c r="M96" s="69" t="s">
        <v>28</v>
      </c>
      <c r="N96" s="54">
        <v>0</v>
      </c>
      <c r="O96" s="56">
        <f>N96/C96</f>
        <v>0</v>
      </c>
      <c r="P96" s="57">
        <f>(Boosters_And!B96*100)/Boosters_And!N96</f>
        <v>0.140470989435051</v>
      </c>
      <c r="Q96" s="57">
        <f>Boosters_And!B96/(C96+D96)</f>
        <v>0.00383141762452107</v>
      </c>
      <c r="R96" s="57">
        <f>Boosters_And!N96/B96</f>
        <v>2.78626522144835</v>
      </c>
      <c r="S96" s="54">
        <v>7.18713450292397</v>
      </c>
      <c r="T96" s="58">
        <v>0.339181286549708</v>
      </c>
      <c r="U96" s="60">
        <v>1330.39571150098</v>
      </c>
      <c r="V96" s="59">
        <v>281835</v>
      </c>
    </row>
    <row r="97" spans="1:22" s="168" customFormat="1" ht="22.500000" customHeight="1">
      <c r="A97" s="76">
        <v>95</v>
      </c>
      <c r="B97" s="49">
        <v>593</v>
      </c>
      <c r="C97" s="49">
        <v>478</v>
      </c>
      <c r="D97" s="49">
        <v>600</v>
      </c>
      <c r="E97" s="49">
        <v>394</v>
      </c>
      <c r="F97" s="50">
        <f>(C97*100)/B97</f>
        <v>80.6070826306914</v>
      </c>
      <c r="G97" s="156">
        <f>(D97*100)/B97</f>
        <v>101.180438448567</v>
      </c>
      <c r="H97" s="152">
        <f>((B97-B98)/B97)*100</f>
        <v>18.043844856661</v>
      </c>
      <c r="I97" s="152">
        <f>((B97-C97)/B97)*100</f>
        <v>19.3929173693086</v>
      </c>
      <c r="J97" s="152">
        <f>((C97-B98)/C97)*100</f>
        <v>-1.67364016736402</v>
      </c>
      <c r="K97" s="161">
        <f>100-(((C3-C98)/C3)*100)</f>
        <v>10.3396388650043</v>
      </c>
      <c r="L97" s="54">
        <v>2.61506276150627</v>
      </c>
      <c r="M97" s="55" t="s">
        <v>28</v>
      </c>
      <c r="N97" s="54">
        <v>164.78</v>
      </c>
      <c r="O97" s="56">
        <f>N97/C97</f>
        <v>0.344728033472803</v>
      </c>
      <c r="P97" s="57">
        <f>(Boosters_And!B97*100)/Boosters_And!N97</f>
        <v>16.2460298677211</v>
      </c>
      <c r="Q97" s="57">
        <f>Boosters_And!B97/(C97+D97)</f>
        <v>1.20486208001286</v>
      </c>
      <c r="R97" s="57">
        <f>Boosters_And!N97/B97</f>
        <v>13.4819948351271</v>
      </c>
      <c r="S97" s="54">
        <v>8.57531380753138</v>
      </c>
      <c r="T97" s="58">
        <v>1.02719665271967</v>
      </c>
      <c r="U97" s="60">
        <v>1116.02928870293</v>
      </c>
      <c r="V97" s="59">
        <v>230495</v>
      </c>
    </row>
    <row r="98" spans="1:22" s="168" customFormat="1" ht="22.500000" customHeight="1">
      <c r="A98" s="34">
        <v>96</v>
      </c>
      <c r="B98" s="49">
        <v>486</v>
      </c>
      <c r="C98" s="49">
        <v>481</v>
      </c>
      <c r="D98" s="49">
        <v>156</v>
      </c>
      <c r="E98" s="49">
        <v>56</v>
      </c>
      <c r="F98" s="50">
        <f>(C98*100)/B98</f>
        <v>98.9711934156379</v>
      </c>
      <c r="G98" s="156">
        <f>(D98*100)/B98</f>
        <v>32.0987654320988</v>
      </c>
      <c r="H98" s="152">
        <f>((B98-B99)/B98)*100</f>
        <v>-0.823045267489712</v>
      </c>
      <c r="I98" s="152">
        <f>((B98-C98)/B98)*100</f>
        <v>1.02880658436214</v>
      </c>
      <c r="J98" s="152">
        <f>((C98-B99)/C98)*100</f>
        <v>-1.87110187110187</v>
      </c>
      <c r="K98" s="161">
        <f>100-(((C3-C99)/C3)*100)</f>
        <v>10.189165950129</v>
      </c>
      <c r="L98" s="54">
        <v>1.08108108108108</v>
      </c>
      <c r="M98" s="69" t="s">
        <v>28</v>
      </c>
      <c r="N98" s="54">
        <v>29.93</v>
      </c>
      <c r="O98" s="56">
        <f>N98/C98</f>
        <v>0.0622245322245322</v>
      </c>
      <c r="P98" s="57">
        <f>(Boosters_And!B98*100)/Boosters_And!N98</f>
        <v>6.98257692079592</v>
      </c>
      <c r="Q98" s="57">
        <f>Boosters_And!B98/(C98+D98)</f>
        <v>0.18496949029619</v>
      </c>
      <c r="R98" s="57">
        <f>Boosters_And!N98/B98</f>
        <v>3.47206250016433</v>
      </c>
      <c r="S98" s="54">
        <v>7.55925155925155</v>
      </c>
      <c r="T98" s="58">
        <v>0.498960498960499</v>
      </c>
      <c r="U98" s="60">
        <v>1153.34095634096</v>
      </c>
      <c r="V98" s="59">
        <v>222220</v>
      </c>
    </row>
    <row r="99" spans="1:22" s="168" customFormat="1" ht="22.500000" customHeight="1">
      <c r="A99" s="34">
        <v>97</v>
      </c>
      <c r="B99" s="49">
        <v>490</v>
      </c>
      <c r="C99" s="49">
        <v>474</v>
      </c>
      <c r="D99" s="49">
        <v>343</v>
      </c>
      <c r="E99" s="49">
        <v>143</v>
      </c>
      <c r="F99" s="50">
        <f>(C99*100)/B99</f>
        <v>96.734693877551</v>
      </c>
      <c r="G99" s="156">
        <f>(D99*100)/B99</f>
        <v>70</v>
      </c>
      <c r="H99" s="152">
        <f>((B99-B100)/B99)*100</f>
        <v>2.44897959183673</v>
      </c>
      <c r="I99" s="152">
        <f>((B99-C99)/B99)*100</f>
        <v>3.26530612244898</v>
      </c>
      <c r="J99" s="152">
        <f>((C99-B100)/C99)*100</f>
        <v>-0.843881856540084</v>
      </c>
      <c r="K99" s="161">
        <f>100-(((C3-C100)/C3)*100)</f>
        <v>10.2751504729149</v>
      </c>
      <c r="L99" s="54">
        <v>1.32067510548523</v>
      </c>
      <c r="M99" s="55" t="s">
        <v>28</v>
      </c>
      <c r="N99" s="54">
        <v>16.49</v>
      </c>
      <c r="O99" s="56">
        <f>N99/C99</f>
        <v>0.034789029535865</v>
      </c>
      <c r="P99" s="57">
        <f>(Boosters_And!B99*100)/Boosters_And!N99</f>
        <v>8.28391696217114</v>
      </c>
      <c r="Q99" s="57">
        <f>Boosters_And!B99/(C99+D99)</f>
        <v>0.25602536196866</v>
      </c>
      <c r="R99" s="57">
        <f>Boosters_And!N99/B99</f>
        <v>5.15315527034756</v>
      </c>
      <c r="S99" s="54">
        <v>7.12447257383966</v>
      </c>
      <c r="T99" s="58">
        <v>0.658227848101266</v>
      </c>
      <c r="U99" s="60">
        <v>1171.94514767932</v>
      </c>
      <c r="V99" s="59">
        <v>182907</v>
      </c>
    </row>
    <row r="100" spans="1:22" s="168" customFormat="1" ht="22.500000" customHeight="1">
      <c r="A100" s="34">
        <v>98</v>
      </c>
      <c r="B100" s="49">
        <v>478</v>
      </c>
      <c r="C100" s="49">
        <v>478</v>
      </c>
      <c r="D100" s="49">
        <v>17</v>
      </c>
      <c r="E100" s="49">
        <v>9</v>
      </c>
      <c r="F100" s="50">
        <f>(C100*100)/B100</f>
        <v>100</v>
      </c>
      <c r="G100" s="156">
        <f>(D100*100)/B100</f>
        <v>3.55648535564854</v>
      </c>
      <c r="H100" s="152">
        <f>((B100-B101)/B100)*100</f>
        <v>-0.627615062761506</v>
      </c>
      <c r="I100" s="152">
        <f>((B100-C100)/B100)*100</f>
        <v>0</v>
      </c>
      <c r="J100" s="152">
        <f>((C100-B101)/C100)*100</f>
        <v>-0.627615062761506</v>
      </c>
      <c r="K100" s="161">
        <f>100-(((C3-C101)/C3)*100)</f>
        <v>10.2966466036114</v>
      </c>
      <c r="L100" s="54">
        <v>1.01255230125523</v>
      </c>
      <c r="M100" s="69" t="s">
        <v>28</v>
      </c>
      <c r="N100" s="54">
        <v>0</v>
      </c>
      <c r="O100" s="56">
        <f>N100/C100</f>
        <v>0</v>
      </c>
      <c r="P100" s="57">
        <f>(Boosters_And!B100*100)/Boosters_And!N100</f>
        <v>0.365021941482022</v>
      </c>
      <c r="Q100" s="57">
        <f>Boosters_And!B100/(C100+D100)</f>
        <v>0.0101010101010101</v>
      </c>
      <c r="R100" s="57">
        <f>Boosters_And!N100/B100</f>
        <v>2.86564993971473</v>
      </c>
      <c r="S100" s="54">
        <v>6.64016736401673</v>
      </c>
      <c r="T100" s="58">
        <v>0.382845188284519</v>
      </c>
      <c r="U100" s="60">
        <v>1220.34937238494</v>
      </c>
      <c r="V100" s="59">
        <v>195002</v>
      </c>
    </row>
    <row r="101" spans="1:22" s="168" customFormat="1" ht="22.500000" customHeight="1">
      <c r="A101" s="34">
        <v>99</v>
      </c>
      <c r="B101" s="49">
        <v>481</v>
      </c>
      <c r="C101" s="49">
        <v>479</v>
      </c>
      <c r="D101" s="49">
        <v>78</v>
      </c>
      <c r="E101" s="49">
        <v>23</v>
      </c>
      <c r="F101" s="50">
        <f>(C101*100)/B101</f>
        <v>99.5841995841996</v>
      </c>
      <c r="G101" s="156">
        <f>(D101*100)/B101</f>
        <v>16.2162162162162</v>
      </c>
      <c r="H101" s="152">
        <f>((B101-B102)/B101)*100</f>
        <v>-0.207900207900208</v>
      </c>
      <c r="I101" s="152">
        <f>((B101-C101)/B101)*100</f>
        <v>0.415800415800416</v>
      </c>
      <c r="J101" s="152">
        <f>((C101-B102)/C101)*100</f>
        <v>-0.626304801670146</v>
      </c>
      <c r="K101" s="161">
        <f>100-(((C3-C102)/C3)*100)</f>
        <v>10.3611349957008</v>
      </c>
      <c r="L101" s="54">
        <v>1.03340292275574</v>
      </c>
      <c r="M101" s="55" t="s">
        <v>28</v>
      </c>
      <c r="N101" s="54">
        <v>0</v>
      </c>
      <c r="O101" s="56">
        <f>N101/C101</f>
        <v>0</v>
      </c>
      <c r="P101" s="57">
        <f>(Boosters_And!B101*100)/Boosters_And!N101</f>
        <v>3.18369219101154</v>
      </c>
      <c r="Q101" s="57">
        <f>Boosters_And!B101/(C101+D101)</f>
        <v>0.0900007136853902</v>
      </c>
      <c r="R101" s="57">
        <f>Boosters_And!N101/B101</f>
        <v>3.27359538605112</v>
      </c>
      <c r="S101" s="54">
        <v>5.58455114822546</v>
      </c>
      <c r="T101" s="58">
        <v>0.409185803757829</v>
      </c>
      <c r="U101" s="60">
        <v>1226.88308977035</v>
      </c>
      <c r="V101" s="59">
        <v>197197</v>
      </c>
    </row>
    <row r="102" spans="1:22" s="168" customFormat="1" ht="22.500000" customHeight="1">
      <c r="A102" s="34">
        <v>100</v>
      </c>
      <c r="B102" s="49">
        <v>482</v>
      </c>
      <c r="C102" s="49">
        <v>482</v>
      </c>
      <c r="D102" s="49">
        <v>2</v>
      </c>
      <c r="E102" s="49">
        <v>2</v>
      </c>
      <c r="F102" s="50">
        <f>(C102*100)/B102</f>
        <v>100</v>
      </c>
      <c r="G102" s="156">
        <f>(D102*100)/B102</f>
        <v>0.4149377593361</v>
      </c>
      <c r="H102" s="152">
        <f>((B102-B103)/B102)*100</f>
        <v>3.11203319502075</v>
      </c>
      <c r="I102" s="152">
        <f>((B102-C102)/B102)*100</f>
        <v>0</v>
      </c>
      <c r="J102" s="152">
        <f>((C102-B103)/C102)*100</f>
        <v>3.11203319502075</v>
      </c>
      <c r="K102" s="161">
        <f>100-(((C3-C103)/C3)*100)</f>
        <v>10.0386930352537</v>
      </c>
      <c r="L102" s="54">
        <v>1</v>
      </c>
      <c r="M102" s="69" t="s">
        <v>28</v>
      </c>
      <c r="N102" s="54">
        <v>0</v>
      </c>
      <c r="O102" s="56">
        <f>N102/C102</f>
        <v>0</v>
      </c>
      <c r="P102" s="57">
        <f>(Boosters_And!B102*100)/Boosters_And!N102</f>
        <v>0.227400072166662</v>
      </c>
      <c r="Q102" s="57">
        <f>Boosters_And!B102/(C102+D102)</f>
        <v>0.00619834710743802</v>
      </c>
      <c r="R102" s="57">
        <f>Boosters_And!N102/B102</f>
        <v>2.73705559138076</v>
      </c>
      <c r="S102" s="54">
        <v>5.82987551867219</v>
      </c>
      <c r="T102" s="58">
        <v>0.354771784232365</v>
      </c>
      <c r="U102" s="60">
        <v>1278.13692946058</v>
      </c>
      <c r="V102" s="59">
        <v>210902</v>
      </c>
    </row>
    <row r="103" spans="1:22" s="168" customFormat="1" ht="22.500000" customHeight="1">
      <c r="A103" s="34">
        <v>101</v>
      </c>
      <c r="B103" s="49">
        <v>467</v>
      </c>
      <c r="C103" s="49">
        <v>467</v>
      </c>
      <c r="D103" s="49">
        <v>0</v>
      </c>
      <c r="E103" s="49">
        <v>1</v>
      </c>
      <c r="F103" s="50">
        <f>(C103*100)/B103</f>
        <v>100</v>
      </c>
      <c r="G103" s="156">
        <f>(D103*100)/B103</f>
        <v>0</v>
      </c>
      <c r="H103" s="152">
        <f>((B103-B104)/B103)*100</f>
        <v>1.2847965738758</v>
      </c>
      <c r="I103" s="152">
        <f>((B103-C103)/B103)*100</f>
        <v>0</v>
      </c>
      <c r="J103" s="152">
        <f>((C103-B104)/C103)*100</f>
        <v>1.2847965738758</v>
      </c>
      <c r="K103" s="161"/>
      <c r="L103" s="54">
        <v>1</v>
      </c>
      <c r="M103" s="55" t="s">
        <v>28</v>
      </c>
      <c r="N103" s="54">
        <v>0</v>
      </c>
      <c r="O103" s="56">
        <f>N103/C103</f>
        <v>0</v>
      </c>
      <c r="P103" s="57">
        <f>(Boosters_And!B103*100)/Boosters_And!N103</f>
        <v>0</v>
      </c>
      <c r="Q103" s="57">
        <f>Boosters_And!B103/(C103+D103)</f>
        <v>0</v>
      </c>
      <c r="R103" s="57">
        <f>Boosters_And!N103/B103</f>
        <v>2.76017130620985</v>
      </c>
      <c r="S103" s="54">
        <v>6.88865096359743</v>
      </c>
      <c r="T103" s="58">
        <v>0.374732334047109</v>
      </c>
      <c r="U103" s="60">
        <v>1351.95289079229</v>
      </c>
      <c r="V103" s="59">
        <v>227147</v>
      </c>
    </row>
    <row r="104" spans="1:22" s="168" customFormat="1" ht="22.500000" customHeight="1">
      <c r="A104" s="34">
        <v>102</v>
      </c>
      <c r="B104" s="49">
        <v>461</v>
      </c>
      <c r="C104" s="49">
        <v>461</v>
      </c>
      <c r="D104" s="49">
        <v>24</v>
      </c>
      <c r="E104" s="49">
        <v>10</v>
      </c>
      <c r="F104" s="50">
        <f>(C104*100)/B104</f>
        <v>100</v>
      </c>
      <c r="G104" s="156">
        <f>(D104*100)/B104</f>
        <v>5.2060737527115</v>
      </c>
      <c r="H104" s="152">
        <f>((B104-B105)/B104)*100</f>
        <v>-0.433839479392625</v>
      </c>
      <c r="I104" s="152">
        <f>((B104-C104)/B104)*100</f>
        <v>0</v>
      </c>
      <c r="J104" s="152">
        <f>((C104-B105)/C104)*100</f>
        <v>-0.433839479392625</v>
      </c>
      <c r="K104" s="161"/>
      <c r="L104" s="54">
        <v>1.02169197396963</v>
      </c>
      <c r="M104" s="69" t="s">
        <v>28</v>
      </c>
      <c r="N104" s="54">
        <v>1.99</v>
      </c>
      <c r="O104" s="56">
        <f>N104/C104</f>
        <v>0.00431670281995662</v>
      </c>
      <c r="P104" s="57">
        <f>(Boosters_And!B104*100)/Boosters_And!N104</f>
        <v>0</v>
      </c>
      <c r="Q104" s="57">
        <f>Boosters_And!B104/(C104+D104)</f>
        <v>0</v>
      </c>
      <c r="R104" s="57">
        <f>Boosters_And!N104/B104</f>
        <v>2.94934983440538</v>
      </c>
      <c r="S104" s="54">
        <v>4.587852494577</v>
      </c>
      <c r="T104" s="58">
        <v>0.370932754880694</v>
      </c>
      <c r="U104" s="60">
        <v>1471.284164859</v>
      </c>
      <c r="V104" s="59">
        <v>248873</v>
      </c>
    </row>
    <row r="105" spans="1:22" s="168" customFormat="1" ht="22.500000" customHeight="1">
      <c r="A105" s="34">
        <v>103</v>
      </c>
      <c r="B105" s="49">
        <v>463</v>
      </c>
      <c r="C105" s="49">
        <v>464</v>
      </c>
      <c r="D105" s="49">
        <v>3</v>
      </c>
      <c r="E105" s="49">
        <v>2</v>
      </c>
      <c r="F105" s="50">
        <f>(C105*100)/B105</f>
        <v>100.215982721382</v>
      </c>
      <c r="G105" s="156">
        <f>(D105*100)/B105</f>
        <v>0.647948164146868</v>
      </c>
      <c r="H105" s="152">
        <f>((B105-B106)/B105)*100</f>
        <v>-1.9438444924406</v>
      </c>
      <c r="I105" s="152">
        <f>((B105-C105)/B105)*100</f>
        <v>-0.215982721382289</v>
      </c>
      <c r="J105" s="152">
        <f>((C105-B106)/C105)*100</f>
        <v>-1.72413793103448</v>
      </c>
      <c r="K105" s="161"/>
      <c r="L105" s="54">
        <v>1</v>
      </c>
      <c r="M105" s="62" t="s">
        <v>28</v>
      </c>
      <c r="N105" s="54">
        <v>0</v>
      </c>
      <c r="O105" s="56">
        <f>N105/C105</f>
        <v>0</v>
      </c>
      <c r="P105" s="57">
        <f>(Boosters_And!B105*100)/Boosters_And!N105</f>
        <v>0.0748990992732307</v>
      </c>
      <c r="Q105" s="57">
        <f>Boosters_And!B105/(C105+D105)</f>
        <v>0.00214132762312634</v>
      </c>
      <c r="R105" s="57">
        <f>Boosters_And!N105/B105</f>
        <v>2.88364911565075</v>
      </c>
      <c r="S105" s="54">
        <v>4.375</v>
      </c>
      <c r="T105" s="58">
        <v>0.325431034482759</v>
      </c>
      <c r="U105" s="60">
        <v>1536.27586206897</v>
      </c>
      <c r="V105" s="59">
        <v>262933</v>
      </c>
    </row>
    <row r="106" spans="1:22" s="168" customFormat="1" ht="22.500000" customHeight="1">
      <c r="A106" s="34">
        <v>104</v>
      </c>
      <c r="B106" s="49">
        <v>472</v>
      </c>
      <c r="C106" s="49">
        <v>451</v>
      </c>
      <c r="D106" s="49">
        <v>196</v>
      </c>
      <c r="E106" s="49">
        <v>126</v>
      </c>
      <c r="F106" s="50">
        <f>(C106*100)/B106</f>
        <v>95.5508474576271</v>
      </c>
      <c r="G106" s="156">
        <f>(D106*100)/B106</f>
        <v>41.5254237288136</v>
      </c>
      <c r="H106" s="152">
        <f>((B106-B107)/B106)*100</f>
        <v>2.96610169491525</v>
      </c>
      <c r="I106" s="152">
        <f>((B106-C106)/B106)*100</f>
        <v>4.44915254237288</v>
      </c>
      <c r="J106" s="152">
        <f>((C106-B107)/C106)*100</f>
        <v>-1.55210643015521</v>
      </c>
      <c r="K106" s="161"/>
      <c r="L106" s="54">
        <v>1.23725055432372</v>
      </c>
      <c r="M106" s="69" t="s">
        <v>28</v>
      </c>
      <c r="N106" s="54">
        <v>30.45</v>
      </c>
      <c r="O106" s="56">
        <f>N106/C106</f>
        <v>0.0675166297117517</v>
      </c>
      <c r="P106" s="57">
        <f>(Boosters_And!B106*100)/Boosters_And!N106</f>
        <v>10.3097304844386</v>
      </c>
      <c r="Q106" s="57">
        <f>Boosters_And!B106/(C106+D106)</f>
        <v>0.359043901542853</v>
      </c>
      <c r="R106" s="57">
        <f>Boosters_And!N106/B106</f>
        <v>4.77378136024144</v>
      </c>
      <c r="S106" s="54">
        <v>7.55875831485587</v>
      </c>
      <c r="T106" s="58">
        <v>0.46119733924612</v>
      </c>
      <c r="U106" s="60">
        <v>1549.76053215078</v>
      </c>
      <c r="V106" s="59">
        <v>245453</v>
      </c>
    </row>
    <row r="107" spans="1:22" s="168" customFormat="1" ht="22.500000" customHeight="1">
      <c r="A107" s="34">
        <v>105</v>
      </c>
      <c r="B107" s="49">
        <v>458</v>
      </c>
      <c r="C107" s="49">
        <v>443</v>
      </c>
      <c r="D107" s="49">
        <v>281</v>
      </c>
      <c r="E107" s="49">
        <v>126</v>
      </c>
      <c r="F107" s="50">
        <f>(C107*100)/B107</f>
        <v>96.7248908296943</v>
      </c>
      <c r="G107" s="156">
        <f>(D107*100)/B107</f>
        <v>61.353711790393</v>
      </c>
      <c r="H107" s="152">
        <f>((B107-B108)/B107)*100</f>
        <v>2.18340611353712</v>
      </c>
      <c r="I107" s="152">
        <f>((B107-C107)/B107)*100</f>
        <v>3.27510917030568</v>
      </c>
      <c r="J107" s="152">
        <f>((C107-B108)/C107)*100</f>
        <v>-1.12866817155756</v>
      </c>
      <c r="K107" s="161"/>
      <c r="L107" s="54">
        <v>1.25282167042889</v>
      </c>
      <c r="M107" s="55" t="s">
        <v>28</v>
      </c>
      <c r="N107" s="54">
        <v>13.47</v>
      </c>
      <c r="O107" s="56">
        <f>N107/C107</f>
        <v>0.0304063205417607</v>
      </c>
      <c r="P107" s="57">
        <f>(Boosters_And!B107*100)/Boosters_And!N107</f>
        <v>8.64056852129766</v>
      </c>
      <c r="Q107" s="57">
        <f>Boosters_And!B107/(C107+D107)</f>
        <v>0.264650681600527</v>
      </c>
      <c r="R107" s="57">
        <f>Boosters_And!N107/B107</f>
        <v>4.84176588921743</v>
      </c>
      <c r="S107" s="54">
        <v>15.5665914221218</v>
      </c>
      <c r="T107" s="58">
        <v>0.582392776523702</v>
      </c>
      <c r="U107" s="60">
        <v>1445.89616252822</v>
      </c>
      <c r="V107" s="59">
        <v>203522</v>
      </c>
    </row>
    <row r="108" spans="1:22" s="168" customFormat="1" ht="22.500000" customHeight="1">
      <c r="A108" s="34">
        <v>106</v>
      </c>
      <c r="B108" s="49">
        <v>448</v>
      </c>
      <c r="C108" s="49">
        <v>429</v>
      </c>
      <c r="D108" s="49">
        <v>187</v>
      </c>
      <c r="E108" s="49">
        <v>87</v>
      </c>
      <c r="F108" s="50">
        <f>(C108*100)/B108</f>
        <v>95.7589285714286</v>
      </c>
      <c r="G108" s="156">
        <f>(D108*100)/B108</f>
        <v>41.7410714285714</v>
      </c>
      <c r="H108" s="152">
        <f>((B108-B109)/B108)*100</f>
        <v>2.00892857142857</v>
      </c>
      <c r="I108" s="152">
        <f>((B108-C108)/B108)*100</f>
        <v>4.24107142857143</v>
      </c>
      <c r="J108" s="152">
        <f>((C108-B109)/C108)*100</f>
        <v>-2.33100233100233</v>
      </c>
      <c r="K108" s="161"/>
      <c r="L108" s="54">
        <v>1.12354312354312</v>
      </c>
      <c r="M108" s="69" t="s">
        <v>28</v>
      </c>
      <c r="N108" s="54">
        <v>1.99</v>
      </c>
      <c r="O108" s="56">
        <f>N108/C108</f>
        <v>0.00463869463869464</v>
      </c>
      <c r="P108" s="57">
        <f>(Boosters_And!B108*100)/Boosters_And!N108</f>
        <v>8.04671606519267</v>
      </c>
      <c r="Q108" s="57">
        <f>Boosters_And!B108/(C108+D108)</f>
        <v>0.202920686726517</v>
      </c>
      <c r="R108" s="57">
        <f>Boosters_And!N108/B108</f>
        <v>3.46745109419093</v>
      </c>
      <c r="S108" s="54">
        <v>8.52913752913752</v>
      </c>
      <c r="T108" s="58">
        <v>0.498834498834499</v>
      </c>
      <c r="U108" s="60">
        <v>1445.24242424242</v>
      </c>
      <c r="V108" s="59">
        <v>196267</v>
      </c>
    </row>
    <row r="109" spans="1:22" s="168" customFormat="1" ht="22.500000" customHeight="1">
      <c r="A109" s="34">
        <v>107</v>
      </c>
      <c r="B109" s="49">
        <v>439</v>
      </c>
      <c r="C109" s="49">
        <v>411</v>
      </c>
      <c r="D109" s="49">
        <v>326</v>
      </c>
      <c r="E109" s="49">
        <v>161</v>
      </c>
      <c r="F109" s="50">
        <f>(C109*100)/B109</f>
        <v>93.621867881549</v>
      </c>
      <c r="G109" s="156">
        <f>(D109*100)/B109</f>
        <v>74.2596810933941</v>
      </c>
      <c r="H109" s="152">
        <f>((B109-B110)/B109)*100</f>
        <v>4.78359908883827</v>
      </c>
      <c r="I109" s="152">
        <f>((B109-C109)/B109)*100</f>
        <v>6.37813211845103</v>
      </c>
      <c r="J109" s="152">
        <f>((C109-B110)/C109)*100</f>
        <v>-1.70316301703163</v>
      </c>
      <c r="K109" s="161"/>
      <c r="L109" s="54">
        <v>1.30656934306569</v>
      </c>
      <c r="M109" s="70" t="s">
        <v>29</v>
      </c>
      <c r="N109" s="54">
        <v>12.94</v>
      </c>
      <c r="O109" s="56">
        <f>N109/C109</f>
        <v>0.0314841849148418</v>
      </c>
      <c r="P109" s="57">
        <f>(Boosters_And!B109*100)/Boosters_And!N109</f>
        <v>23.7690129447288</v>
      </c>
      <c r="Q109" s="57">
        <f>Boosters_And!B109/(C109+D109)</f>
        <v>0.709622022028958</v>
      </c>
      <c r="R109" s="57">
        <f>Boosters_And!N109/B109</f>
        <v>5.01209051137197</v>
      </c>
      <c r="S109" s="54">
        <v>7.82968369829683</v>
      </c>
      <c r="T109" s="58">
        <v>0.710462287104623</v>
      </c>
      <c r="U109" s="60">
        <v>1338.90267639903</v>
      </c>
      <c r="V109" s="59">
        <v>182137</v>
      </c>
    </row>
    <row r="110" spans="1:22" s="168" customFormat="1" ht="22.500000" customHeight="1">
      <c r="A110" s="34">
        <v>108</v>
      </c>
      <c r="B110" s="49">
        <v>418</v>
      </c>
      <c r="C110" s="49">
        <v>407</v>
      </c>
      <c r="D110" s="49">
        <v>182</v>
      </c>
      <c r="E110" s="49">
        <v>102</v>
      </c>
      <c r="F110" s="50">
        <f>(C110*100)/B110</f>
        <v>97.3684210526316</v>
      </c>
      <c r="G110" s="156">
        <f>(D110*100)/B110</f>
        <v>43.5406698564593</v>
      </c>
      <c r="H110" s="152">
        <f>((B110-B111)/B110)*100</f>
        <v>2.63157894736842</v>
      </c>
      <c r="I110" s="152">
        <f>((B110-C110)/B110)*100</f>
        <v>2.63157894736842</v>
      </c>
      <c r="J110" s="152">
        <f>((C110-B111)/C110)*100</f>
        <v>0</v>
      </c>
      <c r="K110" s="161"/>
      <c r="L110" s="54">
        <v>1.2063882063882</v>
      </c>
      <c r="M110" s="69" t="s">
        <v>28</v>
      </c>
      <c r="N110" s="54">
        <v>19.24</v>
      </c>
      <c r="O110" s="56">
        <f>N110/C110</f>
        <v>0.0472727272727273</v>
      </c>
      <c r="P110" s="57">
        <f>(Boosters_And!B110*100)/Boosters_And!N110</f>
        <v>11.3038951762873</v>
      </c>
      <c r="Q110" s="57">
        <f>Boosters_And!B110/(C110+D110)</f>
        <v>0.3285566657693</v>
      </c>
      <c r="R110" s="57">
        <f>Boosters_And!N110/B110</f>
        <v>4.09563432459926</v>
      </c>
      <c r="S110" s="54">
        <v>8.76904176904176</v>
      </c>
      <c r="T110" s="58">
        <v>0.533169533169533</v>
      </c>
      <c r="U110" s="60">
        <v>1376.92628992629</v>
      </c>
      <c r="V110" s="59">
        <v>183567</v>
      </c>
    </row>
    <row r="111" spans="1:22" s="168" customFormat="1" ht="22.500000" customHeight="1">
      <c r="A111" s="34">
        <v>109</v>
      </c>
      <c r="B111" s="49">
        <v>407</v>
      </c>
      <c r="C111" s="49">
        <v>406</v>
      </c>
      <c r="D111" s="49">
        <v>68</v>
      </c>
      <c r="E111" s="49">
        <v>39</v>
      </c>
      <c r="F111" s="50">
        <f>(C111*100)/B111</f>
        <v>99.7542997542998</v>
      </c>
      <c r="G111" s="156">
        <f>(D111*100)/B111</f>
        <v>16.7076167076167</v>
      </c>
      <c r="H111" s="152">
        <f>((B111-B112)/B111)*100</f>
        <v>-1.22850122850123</v>
      </c>
      <c r="I111" s="152">
        <f>((B111-C111)/B111)*100</f>
        <v>0.245700245700246</v>
      </c>
      <c r="J111" s="152">
        <f>((C111-B112)/C111)*100</f>
        <v>-1.47783251231527</v>
      </c>
      <c r="K111" s="161"/>
      <c r="L111" s="54">
        <v>1.08374384236453</v>
      </c>
      <c r="M111" s="55" t="s">
        <v>28</v>
      </c>
      <c r="N111" s="54">
        <v>0</v>
      </c>
      <c r="O111" s="56">
        <f>N111/C111</f>
        <v>0</v>
      </c>
      <c r="P111" s="57">
        <f>(Boosters_And!B111*100)/Boosters_And!N111</f>
        <v>0.435674419541303</v>
      </c>
      <c r="Q111" s="57">
        <f>Boosters_And!B111/(C111+D111)</f>
        <v>0.0105485232067511</v>
      </c>
      <c r="R111" s="57">
        <f>Boosters_And!N111/B111</f>
        <v>2.81976901419791</v>
      </c>
      <c r="S111" s="54">
        <v>9.16502463054187</v>
      </c>
      <c r="T111" s="58">
        <v>0.411330049261084</v>
      </c>
      <c r="U111" s="60">
        <v>1425.36699507389</v>
      </c>
      <c r="V111" s="59">
        <v>202777</v>
      </c>
    </row>
    <row r="112" spans="1:22" s="168" customFormat="1" ht="22.500000" customHeight="1">
      <c r="A112" s="34">
        <v>110</v>
      </c>
      <c r="B112" s="49">
        <v>412</v>
      </c>
      <c r="C112" s="49">
        <v>406</v>
      </c>
      <c r="D112" s="49">
        <v>184</v>
      </c>
      <c r="E112" s="49">
        <v>77</v>
      </c>
      <c r="F112" s="50">
        <f>(C112*100)/B112</f>
        <v>98.5436893203884</v>
      </c>
      <c r="G112" s="156">
        <f>(D112*100)/B112</f>
        <v>44.6601941747573</v>
      </c>
      <c r="H112" s="152">
        <f>((B112-B113)/B112)*100</f>
        <v>-1.21359223300971</v>
      </c>
      <c r="I112" s="152">
        <f>((B112-C112)/B112)*100</f>
        <v>1.45631067961165</v>
      </c>
      <c r="J112" s="152">
        <f>((C112-B113)/C112)*100</f>
        <v>-2.70935960591133</v>
      </c>
      <c r="K112" s="161"/>
      <c r="L112" s="54">
        <v>1.18226600985221</v>
      </c>
      <c r="M112" s="69" t="s">
        <v>28</v>
      </c>
      <c r="N112" s="54">
        <v>14.46</v>
      </c>
      <c r="O112" s="56">
        <f>N112/C112</f>
        <v>0.035615763546798</v>
      </c>
      <c r="P112" s="57">
        <f>(Boosters_And!B112*100)/Boosters_And!N112</f>
        <v>4.66273809435374</v>
      </c>
      <c r="Q112" s="57">
        <f>Boosters_And!B112/(C112+D112)</f>
        <v>0.122549110555294</v>
      </c>
      <c r="R112" s="57">
        <f>Boosters_And!N112/B112</f>
        <v>3.76377746192636</v>
      </c>
      <c r="S112" s="54">
        <v>8.5615763546798</v>
      </c>
      <c r="T112" s="58">
        <v>0.54679802955665</v>
      </c>
      <c r="U112" s="60">
        <v>1405.56403940887</v>
      </c>
      <c r="V112" s="59">
        <v>195687</v>
      </c>
    </row>
    <row r="113" spans="1:22" s="168" customFormat="1" ht="22.500000" customHeight="1">
      <c r="A113" s="34">
        <v>111</v>
      </c>
      <c r="B113" s="49">
        <v>417</v>
      </c>
      <c r="C113" s="49">
        <v>407</v>
      </c>
      <c r="D113" s="49">
        <v>215</v>
      </c>
      <c r="E113" s="49">
        <v>110</v>
      </c>
      <c r="F113" s="50">
        <f>(C113*100)/B113</f>
        <v>97.6019184652278</v>
      </c>
      <c r="G113" s="156">
        <f>(D113*100)/B113</f>
        <v>51.5587529976019</v>
      </c>
      <c r="H113" s="152">
        <f>((B113-B114)/B113)*100</f>
        <v>-3.35731414868106</v>
      </c>
      <c r="I113" s="152">
        <f>((B113-C113)/B113)*100</f>
        <v>2.39808153477218</v>
      </c>
      <c r="J113" s="152">
        <f>((C113-B114)/C113)*100</f>
        <v>-5.8968058968059</v>
      </c>
      <c r="K113" s="161"/>
      <c r="L113" s="54">
        <v>1.23095823095823</v>
      </c>
      <c r="M113" s="55" t="s">
        <v>28</v>
      </c>
      <c r="N113" s="54">
        <v>11.46</v>
      </c>
      <c r="O113" s="56">
        <f>N113/C113</f>
        <v>0.0281572481572482</v>
      </c>
      <c r="P113" s="57">
        <f>(Boosters_And!B113*100)/Boosters_And!N113</f>
        <v>16.5591617763121</v>
      </c>
      <c r="Q113" s="57">
        <f>Boosters_And!B113/(C113+D113)</f>
        <v>0.459033792864392</v>
      </c>
      <c r="R113" s="57">
        <f>Boosters_And!N113/B113</f>
        <v>4.13485837584656</v>
      </c>
      <c r="S113" s="54">
        <v>8.23341523341523</v>
      </c>
      <c r="T113" s="58">
        <v>0.597051597051597</v>
      </c>
      <c r="U113" s="60">
        <v>1390.59950859951</v>
      </c>
      <c r="V113" s="59">
        <v>185297</v>
      </c>
    </row>
    <row r="114" spans="1:22" s="168" customFormat="1" ht="22.500000" customHeight="1">
      <c r="A114" s="34">
        <v>112</v>
      </c>
      <c r="B114" s="49">
        <v>431</v>
      </c>
      <c r="C114" s="49">
        <v>402</v>
      </c>
      <c r="D114" s="49">
        <v>348</v>
      </c>
      <c r="E114" s="49">
        <v>215</v>
      </c>
      <c r="F114" s="50">
        <f>(C114*100)/B114</f>
        <v>93.2714617169374</v>
      </c>
      <c r="G114" s="156">
        <f>(D114*100)/B114</f>
        <v>80.7424593967517</v>
      </c>
      <c r="H114" s="152">
        <f>((B114-B115)/B114)*100</f>
        <v>5.33642691415313</v>
      </c>
      <c r="I114" s="152">
        <f>((B114-C114)/B114)*100</f>
        <v>6.72853828306265</v>
      </c>
      <c r="J114" s="152">
        <f>((C114-B115)/C114)*100</f>
        <v>-1.49253731343284</v>
      </c>
      <c r="K114" s="161"/>
      <c r="L114" s="54">
        <v>1.57462686567164</v>
      </c>
      <c r="M114" s="69" t="s">
        <v>28</v>
      </c>
      <c r="N114" s="54">
        <v>13.97</v>
      </c>
      <c r="O114" s="56">
        <f>N114/C114</f>
        <v>0.0347512437810945</v>
      </c>
      <c r="P114" s="57">
        <f>(Boosters_And!B114*100)/Boosters_And!N114</f>
        <v>13.1684251531995</v>
      </c>
      <c r="Q114" s="57">
        <f>Boosters_And!B114/(C114+D114)</f>
        <v>0.488572307855454</v>
      </c>
      <c r="R114" s="57">
        <f>Boosters_And!N114/B114</f>
        <v>6.45623011471764</v>
      </c>
      <c r="S114" s="54">
        <v>20.1592039800995</v>
      </c>
      <c r="T114" s="58">
        <v>0.718905472636816</v>
      </c>
      <c r="U114" s="60">
        <v>1276.73383084577</v>
      </c>
      <c r="V114" s="59">
        <v>171882</v>
      </c>
    </row>
    <row r="115" spans="1:22" s="168" customFormat="1" ht="22.500000" customHeight="1">
      <c r="A115" s="34">
        <v>113</v>
      </c>
      <c r="B115" s="49">
        <v>408</v>
      </c>
      <c r="C115" s="49">
        <v>407</v>
      </c>
      <c r="D115" s="49">
        <v>1</v>
      </c>
      <c r="E115" s="49">
        <v>1</v>
      </c>
      <c r="F115" s="50">
        <f>(C115*100)/B115</f>
        <v>99.7549019607843</v>
      </c>
      <c r="G115" s="156">
        <f>(D115*100)/B115</f>
        <v>0.245098039215686</v>
      </c>
      <c r="H115" s="152">
        <f>((B115-B116)/B115)*100</f>
        <v>-0.980392156862745</v>
      </c>
      <c r="I115" s="152">
        <f>((B115-C115)/B115)*100</f>
        <v>0.245098039215686</v>
      </c>
      <c r="J115" s="152">
        <f>((C115-B116)/C115)*100</f>
        <v>-1.22850122850123</v>
      </c>
      <c r="K115" s="161"/>
      <c r="L115" s="54">
        <v>1</v>
      </c>
      <c r="M115" s="55" t="s">
        <v>28</v>
      </c>
      <c r="N115" s="54">
        <v>9.99</v>
      </c>
      <c r="O115" s="56">
        <f>N115/C115</f>
        <v>0.0245454545454545</v>
      </c>
      <c r="P115" s="57">
        <f>(Boosters_And!B115*100)/Boosters_And!N115</f>
        <v>0.409307323109556</v>
      </c>
      <c r="Q115" s="57">
        <f>Boosters_And!B115/(C115+D115)</f>
        <v>0.00980392156862745</v>
      </c>
      <c r="R115" s="57">
        <f>Boosters_And!N115/B115</f>
        <v>2.39524704668021</v>
      </c>
      <c r="S115" s="54">
        <v>5.6044226044226</v>
      </c>
      <c r="T115" s="58">
        <v>0.398034398034398</v>
      </c>
      <c r="U115" s="60">
        <v>1331.51597051597</v>
      </c>
      <c r="V115" s="59">
        <v>190462</v>
      </c>
    </row>
    <row r="116" spans="1:22" s="168" customFormat="1" ht="22.500000" customHeight="1">
      <c r="A116" s="34">
        <v>114</v>
      </c>
      <c r="B116" s="49">
        <v>412</v>
      </c>
      <c r="C116" s="49">
        <v>407</v>
      </c>
      <c r="D116" s="49">
        <v>118</v>
      </c>
      <c r="E116" s="49">
        <v>48</v>
      </c>
      <c r="F116" s="50">
        <f>(C116*100)/B116</f>
        <v>98.7864077669903</v>
      </c>
      <c r="G116" s="156">
        <f>(D116*100)/B116</f>
        <v>28.6407766990291</v>
      </c>
      <c r="H116" s="152">
        <f>((B116-B117)/B116)*100</f>
        <v>-4.12621359223301</v>
      </c>
      <c r="I116" s="152">
        <f>((B116-C116)/B116)*100</f>
        <v>1.21359223300971</v>
      </c>
      <c r="J116" s="152">
        <f>((C116-B117)/C116)*100</f>
        <v>-5.40540540540541</v>
      </c>
      <c r="K116" s="161"/>
      <c r="L116" s="54">
        <v>1.1081081081081</v>
      </c>
      <c r="M116" s="69" t="s">
        <v>28</v>
      </c>
      <c r="N116" s="54">
        <v>1.99</v>
      </c>
      <c r="O116" s="56">
        <f>N116/C116</f>
        <v>0.00488943488943489</v>
      </c>
      <c r="P116" s="57">
        <f>(Boosters_And!B116*100)/Boosters_And!N116</f>
        <v>3.10740253583159</v>
      </c>
      <c r="Q116" s="57">
        <f>Boosters_And!B116/(C116+D116)</f>
        <v>0.0822353861044975</v>
      </c>
      <c r="R116" s="57">
        <f>Boosters_And!N116/B116</f>
        <v>3.37227751922646</v>
      </c>
      <c r="S116" s="54">
        <v>5.57248157248157</v>
      </c>
      <c r="T116" s="58">
        <v>0.466830466830467</v>
      </c>
      <c r="U116" s="60">
        <v>1349.15724815725</v>
      </c>
      <c r="V116" s="59">
        <v>182952</v>
      </c>
    </row>
    <row r="117" spans="1:22" s="168" customFormat="1" ht="22.500000" customHeight="1">
      <c r="A117" s="34">
        <v>115</v>
      </c>
      <c r="B117" s="49">
        <v>429</v>
      </c>
      <c r="C117" s="49">
        <v>390</v>
      </c>
      <c r="D117" s="49">
        <v>411</v>
      </c>
      <c r="E117" s="49">
        <v>210</v>
      </c>
      <c r="F117" s="50">
        <f>(C117*100)/B117</f>
        <v>90.9090909090909</v>
      </c>
      <c r="G117" s="156">
        <f>(D117*100)/B117</f>
        <v>95.8041958041958</v>
      </c>
      <c r="H117" s="152">
        <f>((B117-B118)/B117)*100</f>
        <v>8.85780885780886</v>
      </c>
      <c r="I117" s="152">
        <f>((B117-C117)/B117)*100</f>
        <v>9.09090909090909</v>
      </c>
      <c r="J117" s="152">
        <f>((C117-B118)/C117)*100</f>
        <v>-0.256410256410256</v>
      </c>
      <c r="K117" s="161"/>
      <c r="L117" s="54">
        <v>2.15384615384615</v>
      </c>
      <c r="M117" s="73" t="s">
        <v>30</v>
      </c>
      <c r="N117" s="54">
        <v>72.86</v>
      </c>
      <c r="O117" s="56">
        <f>N117/C117</f>
        <v>0.186820512820513</v>
      </c>
      <c r="P117" s="57">
        <f>(Boosters_And!B117*100)/Boosters_And!N117</f>
        <v>10.158517926042</v>
      </c>
      <c r="Q117" s="57">
        <f>Boosters_And!B117/(C117+D117)</f>
        <v>0.426142696127336</v>
      </c>
      <c r="R117" s="57">
        <f>Boosters_And!N117/B117</f>
        <v>7.83249131242091</v>
      </c>
      <c r="S117" s="54">
        <v>6.26666666666666</v>
      </c>
      <c r="T117" s="58">
        <v>0.851282051282051</v>
      </c>
      <c r="U117" s="60">
        <v>1262.3641025641</v>
      </c>
      <c r="V117" s="59">
        <v>125810</v>
      </c>
    </row>
    <row r="118" spans="1:22" s="168" customFormat="1" ht="22.500000" customHeight="1">
      <c r="A118" s="34">
        <v>116</v>
      </c>
      <c r="B118" s="49">
        <v>391</v>
      </c>
      <c r="C118" s="49">
        <v>389</v>
      </c>
      <c r="D118" s="49">
        <v>104</v>
      </c>
      <c r="E118" s="49">
        <v>51</v>
      </c>
      <c r="F118" s="50">
        <f>(C118*100)/B118</f>
        <v>99.4884910485934</v>
      </c>
      <c r="G118" s="156">
        <f>(D118*100)/B118</f>
        <v>26.5984654731458</v>
      </c>
      <c r="H118" s="152">
        <f>((B118-B119)/B118)*100</f>
        <v>0</v>
      </c>
      <c r="I118" s="152">
        <f>((B118-C118)/B118)*100</f>
        <v>0.51150895140665</v>
      </c>
      <c r="J118" s="152">
        <f>((C118-B119)/C118)*100</f>
        <v>-0.51413881748072</v>
      </c>
      <c r="K118" s="161"/>
      <c r="L118" s="54">
        <v>1.10539845758354</v>
      </c>
      <c r="M118" s="69" t="s">
        <v>28</v>
      </c>
      <c r="N118" s="54">
        <v>4.35</v>
      </c>
      <c r="O118" s="56">
        <f>N118/C118</f>
        <v>0.0111825192802057</v>
      </c>
      <c r="P118" s="57">
        <f>(Boosters_And!B118*100)/Boosters_And!N118</f>
        <v>3.57030959349228</v>
      </c>
      <c r="Q118" s="57">
        <f>Boosters_And!B118/(C118+D118)</f>
        <v>0.0984210752353944</v>
      </c>
      <c r="R118" s="57">
        <f>Boosters_And!N118/B118</f>
        <v>3.47578088372151</v>
      </c>
      <c r="S118" s="54">
        <v>49.5604113110539</v>
      </c>
      <c r="T118" s="58">
        <v>0.483290488431877</v>
      </c>
      <c r="U118" s="60">
        <v>1314.46529562982</v>
      </c>
      <c r="V118" s="59">
        <v>142920</v>
      </c>
    </row>
    <row r="119" spans="1:22" s="168" customFormat="1" ht="22.500000" customHeight="1">
      <c r="A119" s="34">
        <v>117</v>
      </c>
      <c r="B119" s="49">
        <v>391</v>
      </c>
      <c r="C119" s="49">
        <v>387</v>
      </c>
      <c r="D119" s="49">
        <v>80</v>
      </c>
      <c r="E119" s="49">
        <v>67</v>
      </c>
      <c r="F119" s="50">
        <f>(C119*100)/B119</f>
        <v>98.9769820971867</v>
      </c>
      <c r="G119" s="156">
        <f>(D119*100)/B119</f>
        <v>20.460358056266</v>
      </c>
      <c r="H119" s="152">
        <f>((B119-B120)/B119)*100</f>
        <v>-0.767263427109974</v>
      </c>
      <c r="I119" s="152">
        <f>((B119-C119)/B119)*100</f>
        <v>1.0230179028133</v>
      </c>
      <c r="J119" s="152">
        <f>((C119-B120)/C119)*100</f>
        <v>-1.80878552971576</v>
      </c>
      <c r="K119" s="161"/>
      <c r="L119" s="54">
        <v>1.11627906976744</v>
      </c>
      <c r="M119" s="70" t="s">
        <v>29</v>
      </c>
      <c r="N119" s="54">
        <v>0</v>
      </c>
      <c r="O119" s="56">
        <f>N119/C119</f>
        <v>0</v>
      </c>
      <c r="P119" s="57">
        <f>(Boosters_And!B119*100)/Boosters_And!N119</f>
        <v>12.2798743248946</v>
      </c>
      <c r="Q119" s="57">
        <f>Boosters_And!B119/(C119+D119)</f>
        <v>0.296059824559013</v>
      </c>
      <c r="R119" s="57">
        <f>Boosters_And!N119/B119</f>
        <v>2.87955699187743</v>
      </c>
      <c r="S119" s="54">
        <v>10.4470284237726</v>
      </c>
      <c r="T119" s="58">
        <v>0.441860465116279</v>
      </c>
      <c r="U119" s="60">
        <v>1377.5503875969</v>
      </c>
      <c r="V119" s="59">
        <v>160875</v>
      </c>
    </row>
    <row r="120" spans="1:22" s="168" customFormat="1" ht="22.500000" customHeight="1">
      <c r="A120" s="34">
        <v>118</v>
      </c>
      <c r="B120" s="49">
        <v>394</v>
      </c>
      <c r="C120" s="49">
        <v>383</v>
      </c>
      <c r="D120" s="49">
        <v>154</v>
      </c>
      <c r="E120" s="49">
        <v>95</v>
      </c>
      <c r="F120" s="50">
        <f>(C120*100)/B120</f>
        <v>97.2081218274112</v>
      </c>
      <c r="G120" s="156">
        <f>(D120*100)/B120</f>
        <v>39.0862944162437</v>
      </c>
      <c r="H120" s="152">
        <f>((B120-B121)/B120)*100</f>
        <v>2.28426395939086</v>
      </c>
      <c r="I120" s="152">
        <f>((B120-C120)/B120)*100</f>
        <v>2.79187817258883</v>
      </c>
      <c r="J120" s="152">
        <f>((C120-B121)/C120)*100</f>
        <v>-0.522193211488251</v>
      </c>
      <c r="K120" s="161"/>
      <c r="L120" s="54">
        <v>1.33159268929503</v>
      </c>
      <c r="M120" s="69" t="s">
        <v>28</v>
      </c>
      <c r="N120" s="54">
        <v>5.97</v>
      </c>
      <c r="O120" s="56">
        <f>N120/C120</f>
        <v>0.0155874673629243</v>
      </c>
      <c r="P120" s="57">
        <f>(Boosters_And!B120*100)/Boosters_And!N120</f>
        <v>21.953676141209</v>
      </c>
      <c r="Q120" s="57">
        <f>Boosters_And!B120/(C120+D120)</f>
        <v>0.555012041395097</v>
      </c>
      <c r="R120" s="57">
        <f>Boosters_And!N120/B120</f>
        <v>3.44566630679914</v>
      </c>
      <c r="S120" s="54">
        <v>7.97127937336814</v>
      </c>
      <c r="T120" s="58">
        <v>0.56135770234987</v>
      </c>
      <c r="U120" s="60">
        <v>1379.43080939948</v>
      </c>
      <c r="V120" s="59">
        <v>162670</v>
      </c>
    </row>
    <row r="121" spans="1:22" s="168" customFormat="1" ht="22.500000" customHeight="1">
      <c r="A121" s="34">
        <v>119</v>
      </c>
      <c r="B121" s="49">
        <v>385</v>
      </c>
      <c r="C121" s="49">
        <v>380</v>
      </c>
      <c r="D121" s="49">
        <v>197</v>
      </c>
      <c r="E121" s="49">
        <v>90</v>
      </c>
      <c r="F121" s="50">
        <f>(C121*100)/B121</f>
        <v>98.7012987012987</v>
      </c>
      <c r="G121" s="156">
        <f>(D121*100)/B121</f>
        <v>51.1688311688312</v>
      </c>
      <c r="H121" s="152">
        <f>((B121-B122)/B121)*100</f>
        <v>-5.45454545454545</v>
      </c>
      <c r="I121" s="152">
        <f>((B121-C121)/B121)*100</f>
        <v>1.2987012987013</v>
      </c>
      <c r="J121" s="152">
        <f>((C121-B122)/C121)*100</f>
        <v>-6.8421052631579</v>
      </c>
      <c r="K121" s="161"/>
      <c r="L121" s="54">
        <v>1.2578947368421</v>
      </c>
      <c r="M121" s="55" t="s">
        <v>28</v>
      </c>
      <c r="N121" s="54">
        <v>4.99</v>
      </c>
      <c r="O121" s="56">
        <f>N121/C121</f>
        <v>0.0131315789473684</v>
      </c>
      <c r="P121" s="57">
        <f>(Boosters_And!B121*100)/Boosters_And!N121</f>
        <v>2.60067706692133</v>
      </c>
      <c r="Q121" s="57">
        <f>Boosters_And!B121/(C121+D121)</f>
        <v>0.0620893679699704</v>
      </c>
      <c r="R121" s="57">
        <f>Boosters_And!N121/B121</f>
        <v>3.57804579413982</v>
      </c>
      <c r="S121" s="54">
        <v>6.36578947368421</v>
      </c>
      <c r="T121" s="58">
        <v>0.502631578947368</v>
      </c>
      <c r="U121" s="60">
        <v>1348.29473684211</v>
      </c>
      <c r="V121" s="59">
        <v>164720</v>
      </c>
    </row>
    <row r="122" spans="1:22" s="168" customFormat="1" ht="22.500000" customHeight="1">
      <c r="A122" s="34">
        <v>120</v>
      </c>
      <c r="B122" s="49">
        <v>406</v>
      </c>
      <c r="C122" s="49">
        <v>355</v>
      </c>
      <c r="D122" s="49">
        <v>402</v>
      </c>
      <c r="E122" s="49">
        <v>209</v>
      </c>
      <c r="F122" s="50">
        <f>(C122*100)/B122</f>
        <v>87.4384236453202</v>
      </c>
      <c r="G122" s="156">
        <f>(D122*100)/B122</f>
        <v>99.0147783251232</v>
      </c>
      <c r="H122" s="152">
        <f>((B122-B123)/B122)*100</f>
        <v>13.5467980295567</v>
      </c>
      <c r="I122" s="152">
        <f>((B122-C122)/B122)*100</f>
        <v>12.5615763546798</v>
      </c>
      <c r="J122" s="152">
        <f>((C122-B123)/C122)*100</f>
        <v>1.12676056338028</v>
      </c>
      <c r="K122" s="161"/>
      <c r="L122" s="54">
        <v>1.85070422535211</v>
      </c>
      <c r="M122" s="68" t="s">
        <v>29</v>
      </c>
      <c r="N122" s="54">
        <v>50.81</v>
      </c>
      <c r="O122" s="56">
        <f>N122/C122</f>
        <v>0.14312676056338</v>
      </c>
      <c r="P122" s="57">
        <f>(Boosters_And!B122*100)/Boosters_And!N122</f>
        <v>27.1821987598475</v>
      </c>
      <c r="Q122" s="57">
        <f>Boosters_And!B122/(C122+D122)</f>
        <v>0.967988057543183</v>
      </c>
      <c r="R122" s="57">
        <f>Boosters_And!N122/B122</f>
        <v>6.63980402735781</v>
      </c>
      <c r="S122" s="54">
        <v>6.67605633802816</v>
      </c>
      <c r="T122" s="58">
        <v>0.96056338028169</v>
      </c>
      <c r="U122" s="60">
        <v>1272.04788732394</v>
      </c>
      <c r="V122" s="59">
        <v>130045</v>
      </c>
    </row>
    <row r="123" spans="1:22" s="168" customFormat="1" ht="22.500000" customHeight="1">
      <c r="A123" s="34">
        <v>121</v>
      </c>
      <c r="B123" s="49">
        <v>351</v>
      </c>
      <c r="C123" s="49">
        <v>342</v>
      </c>
      <c r="D123" s="49">
        <v>172</v>
      </c>
      <c r="E123" s="49">
        <v>72</v>
      </c>
      <c r="F123" s="50">
        <f>(C123*100)/B123</f>
        <v>97.4358974358974</v>
      </c>
      <c r="G123" s="156">
        <f>(D123*100)/B123</f>
        <v>49.002849002849</v>
      </c>
      <c r="H123" s="152">
        <f>((B123-B124)/B123)*100</f>
        <v>0.854700854700855</v>
      </c>
      <c r="I123" s="152">
        <f>((B123-C123)/B123)*100</f>
        <v>2.56410256410256</v>
      </c>
      <c r="J123" s="152">
        <f>((C123-B124)/C123)*100</f>
        <v>-1.75438596491228</v>
      </c>
      <c r="K123" s="161"/>
      <c r="L123" s="54">
        <v>1.25438596491228</v>
      </c>
      <c r="M123" s="55" t="s">
        <v>28</v>
      </c>
      <c r="N123" s="54">
        <v>17.46</v>
      </c>
      <c r="O123" s="56">
        <f>N123/C123</f>
        <v>0.0510526315789474</v>
      </c>
      <c r="P123" s="57">
        <f>(Boosters_And!B123*100)/Boosters_And!N123</f>
        <v>17.0479879280264</v>
      </c>
      <c r="Q123" s="57">
        <f>Boosters_And!B123/(C123+D123)</f>
        <v>0.372017038690584</v>
      </c>
      <c r="R123" s="57">
        <f>Boosters_And!N123/B123</f>
        <v>3.19555064384717</v>
      </c>
      <c r="S123" s="54">
        <v>8.51754385964912</v>
      </c>
      <c r="T123" s="58">
        <v>0.675438596491228</v>
      </c>
      <c r="U123" s="60">
        <v>1357.87134502924</v>
      </c>
      <c r="V123" s="59">
        <v>135940</v>
      </c>
    </row>
    <row r="124" spans="1:22" s="168" customFormat="1" ht="22.500000" customHeight="1">
      <c r="A124" s="34">
        <v>122</v>
      </c>
      <c r="B124" s="49">
        <v>348</v>
      </c>
      <c r="C124" s="49">
        <v>346</v>
      </c>
      <c r="D124" s="49">
        <v>8</v>
      </c>
      <c r="E124" s="49">
        <v>6</v>
      </c>
      <c r="F124" s="50">
        <f>(C124*100)/B124</f>
        <v>99.4252873563219</v>
      </c>
      <c r="G124" s="156">
        <f>(D124*100)/B124</f>
        <v>2.29885057471264</v>
      </c>
      <c r="H124" s="152">
        <f>((B124-B125)/B124)*100</f>
        <v>0</v>
      </c>
      <c r="I124" s="152">
        <f>((B124-C124)/B124)*100</f>
        <v>0.574712643678161</v>
      </c>
      <c r="J124" s="152">
        <f>((C124-B125)/C124)*100</f>
        <v>-0.578034682080925</v>
      </c>
      <c r="K124" s="161"/>
      <c r="L124" s="54">
        <v>1.0057803468208</v>
      </c>
      <c r="M124" s="68" t="s">
        <v>29</v>
      </c>
      <c r="N124" s="54">
        <v>0</v>
      </c>
      <c r="O124" s="56">
        <f>N124/C124</f>
        <v>0</v>
      </c>
      <c r="P124" s="57">
        <f>(Boosters_And!B124*100)/Boosters_And!N124</f>
        <v>2.75267957080841</v>
      </c>
      <c r="Q124" s="57">
        <f>Boosters_And!B124/(C124+D124)</f>
        <v>0.0564971751412429</v>
      </c>
      <c r="R124" s="57">
        <f>Boosters_And!N124/B124</f>
        <v>2.08782979963548</v>
      </c>
      <c r="S124" s="54">
        <v>6.34682080924855</v>
      </c>
      <c r="T124" s="58">
        <v>0.395953757225434</v>
      </c>
      <c r="U124" s="60">
        <v>1435.45375722543</v>
      </c>
      <c r="V124" s="59">
        <v>155135</v>
      </c>
    </row>
    <row r="125" spans="1:22" s="168" customFormat="1" ht="22.500000" customHeight="1">
      <c r="A125" s="34">
        <v>123</v>
      </c>
      <c r="B125" s="49">
        <v>348</v>
      </c>
      <c r="C125" s="49">
        <v>348</v>
      </c>
      <c r="D125" s="49">
        <v>2</v>
      </c>
      <c r="E125" s="49">
        <v>1</v>
      </c>
      <c r="F125" s="50">
        <f>(C125*100)/B125</f>
        <v>100</v>
      </c>
      <c r="G125" s="156">
        <f>(D125*100)/B125</f>
        <v>0.574712643678161</v>
      </c>
      <c r="H125" s="152">
        <f>((B125-B126)/B125)*100</f>
        <v>-7.75862068965517</v>
      </c>
      <c r="I125" s="152">
        <f>((B125-C125)/B125)*100</f>
        <v>0</v>
      </c>
      <c r="J125" s="152">
        <f>((C125-B126)/C125)*100</f>
        <v>-7.75862068965517</v>
      </c>
      <c r="K125" s="161"/>
      <c r="L125" s="54">
        <v>1</v>
      </c>
      <c r="M125" s="55" t="s">
        <v>28</v>
      </c>
      <c r="N125" s="54">
        <v>0</v>
      </c>
      <c r="O125" s="56">
        <f>N125/C125</f>
        <v>0</v>
      </c>
      <c r="P125" s="57">
        <f>(Boosters_And!B125*100)/Boosters_And!N125</f>
        <v>0.789745577009319</v>
      </c>
      <c r="Q125" s="57">
        <f>Boosters_And!B125/(C125+D125)</f>
        <v>0.0171428571428571</v>
      </c>
      <c r="R125" s="57">
        <f>Boosters_And!N125/B125</f>
        <v>2.1831561723506</v>
      </c>
      <c r="S125" s="54">
        <v>4.88793103448275</v>
      </c>
      <c r="T125" s="58">
        <v>0.387931034482759</v>
      </c>
      <c r="U125" s="60">
        <v>1492.30459770115</v>
      </c>
      <c r="V125" s="59">
        <v>167955</v>
      </c>
    </row>
    <row r="126" spans="1:22" s="168" customFormat="1" ht="22.500000" customHeight="1">
      <c r="A126" s="34">
        <v>124</v>
      </c>
      <c r="B126" s="49">
        <v>375</v>
      </c>
      <c r="C126" s="49">
        <v>331</v>
      </c>
      <c r="D126" s="49">
        <v>345</v>
      </c>
      <c r="E126" s="49">
        <v>186</v>
      </c>
      <c r="F126" s="50">
        <f>(C126*100)/B126</f>
        <v>88.2666666666667</v>
      </c>
      <c r="G126" s="156">
        <f>(D126*100)/B126</f>
        <v>92</v>
      </c>
      <c r="H126" s="152">
        <f>((B126-B127)/B126)*100</f>
        <v>10.4</v>
      </c>
      <c r="I126" s="152">
        <f>((B126-C126)/B126)*100</f>
        <v>11.7333333333333</v>
      </c>
      <c r="J126" s="152">
        <f>((C126-B127)/C126)*100</f>
        <v>-1.51057401812689</v>
      </c>
      <c r="K126" s="161"/>
      <c r="L126" s="54">
        <v>1.55589123867069</v>
      </c>
      <c r="M126" s="69" t="s">
        <v>28</v>
      </c>
      <c r="N126" s="54">
        <v>88.67</v>
      </c>
      <c r="O126" s="56">
        <f>N126/C126</f>
        <v>0.267885196374622</v>
      </c>
      <c r="P126" s="57">
        <f>(Boosters_And!B126*100)/Boosters_And!N126</f>
        <v>44.2039756681267</v>
      </c>
      <c r="Q126" s="57">
        <f>Boosters_And!B126/(C126+D126)</f>
        <v>1.72905267500138</v>
      </c>
      <c r="R126" s="57">
        <f>Boosters_And!N126/B126</f>
        <v>7.05118843955764</v>
      </c>
      <c r="S126" s="54">
        <v>10.0694864048338</v>
      </c>
      <c r="T126" s="58">
        <v>0.945619335347432</v>
      </c>
      <c r="U126" s="60">
        <v>1253.49546827795</v>
      </c>
      <c r="V126" s="59">
        <v>115295</v>
      </c>
    </row>
    <row r="127" spans="1:22" s="168" customFormat="1" ht="22.500000" customHeight="1">
      <c r="A127" s="34">
        <v>125</v>
      </c>
      <c r="B127" s="49">
        <v>336</v>
      </c>
      <c r="C127" s="49">
        <v>336</v>
      </c>
      <c r="D127" s="49">
        <v>5</v>
      </c>
      <c r="E127" s="49">
        <v>5</v>
      </c>
      <c r="F127" s="50">
        <f>(C127*100)/B127</f>
        <v>100</v>
      </c>
      <c r="G127" s="156">
        <f>(D127*100)/B127</f>
        <v>1.48809523809524</v>
      </c>
      <c r="H127" s="152">
        <f>((B127-B128)/B127)*100</f>
        <v>-0.297619047619048</v>
      </c>
      <c r="I127" s="152">
        <f>((B127-C127)/B127)*100</f>
        <v>0</v>
      </c>
      <c r="J127" s="152">
        <f>((C127-B128)/C127)*100</f>
        <v>-0.297619047619048</v>
      </c>
      <c r="K127" s="161"/>
      <c r="L127" s="54">
        <v>1</v>
      </c>
      <c r="M127" s="55" t="s">
        <v>28</v>
      </c>
      <c r="N127" s="54">
        <v>0.99</v>
      </c>
      <c r="O127" s="56">
        <f>N127/C127</f>
        <v>0.00294642857142857</v>
      </c>
      <c r="P127" s="57">
        <f>(Boosters_And!B127*100)/Boosters_And!N127</f>
        <v>1.84579392666335</v>
      </c>
      <c r="Q127" s="57">
        <f>Boosters_And!B127/(C127+D127)</f>
        <v>0.0381231671554252</v>
      </c>
      <c r="R127" s="57">
        <f>Boosters_And!N127/B127</f>
        <v>2.09614278341555</v>
      </c>
      <c r="S127" s="54">
        <v>5.00297619047619</v>
      </c>
      <c r="T127" s="58">
        <v>0.416666666666667</v>
      </c>
      <c r="U127" s="60">
        <v>1333.41369047619</v>
      </c>
      <c r="V127" s="59">
        <v>140070</v>
      </c>
    </row>
    <row r="128" spans="1:22" s="168" customFormat="1" ht="22.500000" customHeight="1">
      <c r="A128" s="34">
        <v>126</v>
      </c>
      <c r="B128" s="49">
        <v>337</v>
      </c>
      <c r="C128" s="49">
        <v>337</v>
      </c>
      <c r="D128" s="49">
        <v>0</v>
      </c>
      <c r="E128" s="49">
        <v>1</v>
      </c>
      <c r="F128" s="50">
        <f>(C128*100)/B128</f>
        <v>100</v>
      </c>
      <c r="G128" s="156">
        <f>(D128*100)/B128</f>
        <v>0</v>
      </c>
      <c r="H128" s="152">
        <f>((B128-B129)/B128)*100</f>
        <v>0.890207715133531</v>
      </c>
      <c r="I128" s="152">
        <f>((B128-C128)/B128)*100</f>
        <v>0</v>
      </c>
      <c r="J128" s="152">
        <f>((C128-B129)/C128)*100</f>
        <v>0.890207715133531</v>
      </c>
      <c r="K128" s="161"/>
      <c r="L128" s="54">
        <v>1</v>
      </c>
      <c r="M128" s="69" t="s">
        <v>28</v>
      </c>
      <c r="N128" s="54">
        <v>0</v>
      </c>
      <c r="O128" s="56">
        <f>N128/C128</f>
        <v>0</v>
      </c>
      <c r="P128" s="57">
        <f>(Boosters_And!B128*100)/Boosters_And!N128</f>
        <v>0</v>
      </c>
      <c r="Q128" s="57">
        <f>Boosters_And!B128/(C128+D128)</f>
        <v>0</v>
      </c>
      <c r="R128" s="57">
        <f>Boosters_And!N128/B128</f>
        <v>2.11572700296736</v>
      </c>
      <c r="S128" s="54">
        <v>7.59643916913946</v>
      </c>
      <c r="T128" s="58">
        <v>0.391691394658754</v>
      </c>
      <c r="U128" s="60">
        <v>1100.32047477745</v>
      </c>
      <c r="V128" s="59">
        <v>147870</v>
      </c>
    </row>
    <row r="129" spans="1:22" s="168" customFormat="1" ht="22.500000" customHeight="1">
      <c r="A129" s="34">
        <v>127</v>
      </c>
      <c r="B129" s="49">
        <v>334</v>
      </c>
      <c r="C129" s="49">
        <v>334</v>
      </c>
      <c r="D129" s="49">
        <v>36</v>
      </c>
      <c r="E129" s="49">
        <v>22</v>
      </c>
      <c r="F129" s="50">
        <f>(C129*100)/B129</f>
        <v>100</v>
      </c>
      <c r="G129" s="156">
        <f>(D129*100)/B129</f>
        <v>10.7784431137725</v>
      </c>
      <c r="H129" s="152">
        <f>((B129-B130)/B129)*100</f>
        <v>-2.39520958083832</v>
      </c>
      <c r="I129" s="152">
        <f>((B129-C129)/B129)*100</f>
        <v>0</v>
      </c>
      <c r="J129" s="152">
        <f>((C129-B130)/C129)*100</f>
        <v>-2.39520958083832</v>
      </c>
      <c r="K129" s="161"/>
      <c r="L129" s="54">
        <v>1.04191616766467</v>
      </c>
      <c r="M129" s="55" t="s">
        <v>28</v>
      </c>
      <c r="N129" s="54">
        <v>8.26</v>
      </c>
      <c r="O129" s="56">
        <f>N129/C129</f>
        <v>0.0247305389221557</v>
      </c>
      <c r="P129" s="57">
        <f>(Boosters_And!B129*100)/Boosters_And!N129</f>
        <v>5.95446401744204</v>
      </c>
      <c r="Q129" s="57">
        <f>Boosters_And!B129/(C129+D129)</f>
        <v>0.131844284152903</v>
      </c>
      <c r="R129" s="57">
        <f>Boosters_And!N129/B129</f>
        <v>2.45286636868162</v>
      </c>
      <c r="S129" s="54">
        <v>7.562874251497</v>
      </c>
      <c r="T129" s="58">
        <v>0.437125748502994</v>
      </c>
      <c r="U129" s="60">
        <v>1094.5</v>
      </c>
      <c r="V129" s="59">
        <v>157710</v>
      </c>
    </row>
    <row r="130" spans="1:22" s="168" customFormat="1" ht="22.500000" customHeight="1">
      <c r="A130" s="34">
        <v>128</v>
      </c>
      <c r="B130" s="49">
        <v>342</v>
      </c>
      <c r="C130" s="49">
        <v>331</v>
      </c>
      <c r="D130" s="49">
        <v>251</v>
      </c>
      <c r="E130" s="49">
        <v>145</v>
      </c>
      <c r="F130" s="50">
        <f>(C130*100)/B130</f>
        <v>96.7836257309942</v>
      </c>
      <c r="G130" s="156">
        <f>(D130*100)/B130</f>
        <v>73.3918128654971</v>
      </c>
      <c r="H130" s="152">
        <f>((B130-B131)/B130)*100</f>
        <v>3.21637426900585</v>
      </c>
      <c r="I130" s="152">
        <f>((B130-C130)/B130)*100</f>
        <v>3.21637426900585</v>
      </c>
      <c r="J130" s="152">
        <f>((C130-B131)/C130)*100</f>
        <v>0</v>
      </c>
      <c r="K130" s="161"/>
      <c r="L130" s="54">
        <v>1.35951661631419</v>
      </c>
      <c r="M130" s="69" t="s">
        <v>28</v>
      </c>
      <c r="N130" s="54">
        <v>10.97</v>
      </c>
      <c r="O130" s="56">
        <f>N130/C130</f>
        <v>0.0331419939577039</v>
      </c>
      <c r="P130" s="57">
        <f>(Boosters_And!B130*100)/Boosters_And!N130</f>
        <v>9.23304999621457</v>
      </c>
      <c r="Q130" s="57">
        <f>Boosters_And!B130/(C130+D130)</f>
        <v>0.296574289522879</v>
      </c>
      <c r="R130" s="57">
        <f>Boosters_And!N130/B130</f>
        <v>5.46619587424422</v>
      </c>
      <c r="S130" s="54">
        <v>7.03323262839879</v>
      </c>
      <c r="T130" s="58">
        <v>0.676737160120846</v>
      </c>
      <c r="U130" s="60">
        <v>1058.39274924471</v>
      </c>
      <c r="V130" s="59">
        <v>125490</v>
      </c>
    </row>
    <row r="131" spans="1:22" s="168" customFormat="1" ht="22.500000" customHeight="1">
      <c r="A131" s="34">
        <v>129</v>
      </c>
      <c r="B131" s="49">
        <v>331</v>
      </c>
      <c r="C131" s="49">
        <v>324</v>
      </c>
      <c r="D131" s="49">
        <v>135</v>
      </c>
      <c r="E131" s="49">
        <v>55</v>
      </c>
      <c r="F131" s="50">
        <f>(C131*100)/B131</f>
        <v>97.8851963746224</v>
      </c>
      <c r="G131" s="156">
        <f>(D131*100)/B131</f>
        <v>40.785498489426</v>
      </c>
      <c r="H131" s="152">
        <f>((B131-B132)/B131)*100</f>
        <v>2.41691842900302</v>
      </c>
      <c r="I131" s="152">
        <f>((B131-C131)/B131)*100</f>
        <v>2.11480362537764</v>
      </c>
      <c r="J131" s="152">
        <f>((C131-B132)/C131)*100</f>
        <v>0.308641975308642</v>
      </c>
      <c r="K131" s="161"/>
      <c r="L131" s="54">
        <v>1.12307692307692</v>
      </c>
      <c r="M131" s="55" t="s">
        <v>28</v>
      </c>
      <c r="N131" s="54">
        <v>9.47</v>
      </c>
      <c r="O131" s="56">
        <f>N131/C131</f>
        <v>0.0292283950617284</v>
      </c>
      <c r="P131" s="57">
        <f>(Boosters_And!B131*100)/Boosters_And!N131</f>
        <v>7.94114541835374</v>
      </c>
      <c r="Q131" s="57">
        <f>Boosters_And!B131/(C131+D131)</f>
        <v>0.170690970391552</v>
      </c>
      <c r="R131" s="57">
        <f>Boosters_And!N131/B131</f>
        <v>2.98065760343703</v>
      </c>
      <c r="S131" s="54">
        <v>6.3876923076923</v>
      </c>
      <c r="T131" s="58">
        <v>0.555555555555556</v>
      </c>
      <c r="U131" s="60">
        <v>1412.86111111111</v>
      </c>
      <c r="V131" s="59">
        <v>125300</v>
      </c>
    </row>
    <row r="132" spans="1:22" s="168" customFormat="1" ht="22.500000" customHeight="1">
      <c r="A132" s="34">
        <v>130</v>
      </c>
      <c r="B132" s="49">
        <v>323</v>
      </c>
      <c r="C132" s="49">
        <v>323</v>
      </c>
      <c r="D132" s="49">
        <v>129</v>
      </c>
      <c r="E132" s="49">
        <v>45</v>
      </c>
      <c r="F132" s="50">
        <f>(C132*100)/B132</f>
        <v>100</v>
      </c>
      <c r="G132" s="156">
        <f>(D132*100)/B132</f>
        <v>39.938080495356</v>
      </c>
      <c r="H132" s="152">
        <f>((B132-B133)/B132)*100</f>
        <v>0</v>
      </c>
      <c r="I132" s="152">
        <f>((B132-C132)/B132)*100</f>
        <v>0</v>
      </c>
      <c r="J132" s="152">
        <f>((C132-B133)/C132)*100</f>
        <v>0</v>
      </c>
      <c r="K132" s="161"/>
      <c r="L132" s="54">
        <v>1.04938271604938</v>
      </c>
      <c r="M132" s="69" t="s">
        <v>28</v>
      </c>
      <c r="N132" s="54">
        <v>7.48</v>
      </c>
      <c r="O132" s="56">
        <f>N132/C132</f>
        <v>0.0231578947368421</v>
      </c>
      <c r="P132" s="57">
        <f>(Boosters_And!B132*100)/Boosters_And!N132</f>
        <v>7.32003895122901</v>
      </c>
      <c r="Q132" s="57">
        <f>Boosters_And!B132/(C132+D132)</f>
        <v>0.164677815819438</v>
      </c>
      <c r="R132" s="57">
        <f>Boosters_And!N132/B132</f>
        <v>3.14816595915392</v>
      </c>
      <c r="S132" s="54">
        <v>6.89197530864197</v>
      </c>
      <c r="T132" s="58">
        <v>0.554179566563467</v>
      </c>
      <c r="U132" s="60">
        <v>1401.38390092879</v>
      </c>
      <c r="V132" s="59">
        <v>123750</v>
      </c>
    </row>
    <row r="133" spans="1:22" s="168" customFormat="1" ht="22.500000" customHeight="1">
      <c r="A133" s="34">
        <v>131</v>
      </c>
      <c r="B133" s="49">
        <v>323</v>
      </c>
      <c r="C133" s="49">
        <v>321</v>
      </c>
      <c r="D133" s="49">
        <v>26</v>
      </c>
      <c r="E133" s="49">
        <v>16</v>
      </c>
      <c r="F133" s="50">
        <f>(C133*100)/B133</f>
        <v>99.3808049535604</v>
      </c>
      <c r="G133" s="156">
        <f>(D133*100)/B133</f>
        <v>8.04953560371517</v>
      </c>
      <c r="H133" s="152">
        <f>((B133-B134)/B133)*100</f>
        <v>-2.78637770897833</v>
      </c>
      <c r="I133" s="152">
        <f>((B133-C133)/B133)*100</f>
        <v>0.619195046439629</v>
      </c>
      <c r="J133" s="152">
        <f>((C133-B134)/C133)*100</f>
        <v>-3.42679127725857</v>
      </c>
      <c r="K133" s="161"/>
      <c r="L133" s="54">
        <v>1.027950310559</v>
      </c>
      <c r="M133" s="55" t="s">
        <v>28</v>
      </c>
      <c r="N133" s="54">
        <v>7.97</v>
      </c>
      <c r="O133" s="56">
        <f>N133/C133</f>
        <v>0.0248286604361371</v>
      </c>
      <c r="P133" s="57">
        <f>(Boosters_And!B133*100)/Boosters_And!N133</f>
        <v>7.91685940959186</v>
      </c>
      <c r="Q133" s="57">
        <f>Boosters_And!B133/(C133+D133)</f>
        <v>0.161759070670785</v>
      </c>
      <c r="R133" s="57">
        <f>Boosters_And!N133/B133</f>
        <v>2.19504113327266</v>
      </c>
      <c r="S133" s="54">
        <v>7.67080745341614</v>
      </c>
      <c r="T133" s="58">
        <v>0.429906542056075</v>
      </c>
      <c r="U133" s="60">
        <v>1198.70093457944</v>
      </c>
      <c r="V133" s="59">
        <v>129230</v>
      </c>
    </row>
    <row r="134" spans="1:22" s="168" customFormat="1" ht="22.500000" customHeight="1">
      <c r="A134" s="34">
        <v>132</v>
      </c>
      <c r="B134" s="49">
        <v>332</v>
      </c>
      <c r="C134" s="49">
        <v>323</v>
      </c>
      <c r="D134" s="49">
        <v>175</v>
      </c>
      <c r="E134" s="49">
        <v>72</v>
      </c>
      <c r="F134" s="50">
        <f>(C134*100)/B134</f>
        <v>97.289156626506</v>
      </c>
      <c r="G134" s="156">
        <f>(D134*100)/B134</f>
        <v>52.710843373494</v>
      </c>
      <c r="H134" s="152">
        <f>((B134-B135)/B134)*100</f>
        <v>-1.80722891566265</v>
      </c>
      <c r="I134" s="152">
        <f>((B134-C134)/B134)*100</f>
        <v>2.71084337349398</v>
      </c>
      <c r="J134" s="152">
        <f>((C134-B135)/C134)*100</f>
        <v>-4.64396284829721</v>
      </c>
      <c r="K134" s="161"/>
      <c r="L134" s="54">
        <v>1.1640866873065</v>
      </c>
      <c r="M134" s="69" t="s">
        <v>28</v>
      </c>
      <c r="N134" s="54">
        <v>22.45</v>
      </c>
      <c r="O134" s="56">
        <f>N134/C134</f>
        <v>0.0695046439628483</v>
      </c>
      <c r="P134" s="57">
        <f>(Boosters_And!B134*100)/Boosters_And!N134</f>
        <v>14.4498759499556</v>
      </c>
      <c r="Q134" s="57">
        <f>Boosters_And!B134/(C134+D134)</f>
        <v>0.315082467281937</v>
      </c>
      <c r="R134" s="57">
        <f>Boosters_And!N134/B134</f>
        <v>3.27078033444543</v>
      </c>
      <c r="S134" s="54">
        <v>5.4984520123839</v>
      </c>
      <c r="T134" s="58">
        <v>0.625386996904025</v>
      </c>
      <c r="U134" s="60">
        <v>1161.9907120743</v>
      </c>
      <c r="V134" s="59">
        <v>118240</v>
      </c>
    </row>
    <row r="135" spans="1:22" s="168" customFormat="1" ht="22.500000" customHeight="1">
      <c r="A135" s="34">
        <v>133</v>
      </c>
      <c r="B135" s="49">
        <v>338</v>
      </c>
      <c r="C135" s="49">
        <v>322</v>
      </c>
      <c r="D135" s="49">
        <v>216</v>
      </c>
      <c r="E135" s="49">
        <v>126</v>
      </c>
      <c r="F135" s="50">
        <f>(C135*100)/B135</f>
        <v>95.2662721893491</v>
      </c>
      <c r="G135" s="156">
        <f>(D135*100)/B135</f>
        <v>63.905325443787</v>
      </c>
      <c r="H135" s="152">
        <f>((B135-B136)/B135)*100</f>
        <v>4.14201183431953</v>
      </c>
      <c r="I135" s="152">
        <f>((B135-C135)/B135)*100</f>
        <v>4.73372781065089</v>
      </c>
      <c r="J135" s="152">
        <f>((C135-B136)/C135)*100</f>
        <v>-0.62111801242236</v>
      </c>
      <c r="K135" s="161"/>
      <c r="L135" s="54">
        <v>1.60869565217391</v>
      </c>
      <c r="M135" s="70" t="s">
        <v>29</v>
      </c>
      <c r="N135" s="54">
        <v>23.91</v>
      </c>
      <c r="O135" s="56">
        <f>N135/C135</f>
        <v>0.0742546583850932</v>
      </c>
      <c r="P135" s="57">
        <f>(Boosters_And!B135*100)/Boosters_And!N135</f>
        <v>25.7943489868239</v>
      </c>
      <c r="Q135" s="57">
        <f>Boosters_And!B135/(C135+D135)</f>
        <v>0.7113229365986</v>
      </c>
      <c r="R135" s="57">
        <f>Boosters_And!N135/B135</f>
        <v>4.38942685893443</v>
      </c>
      <c r="S135" s="54">
        <v>6.10248447204969</v>
      </c>
      <c r="T135" s="58">
        <v>0.81055900621118</v>
      </c>
      <c r="U135" s="60">
        <v>1118.95341614907</v>
      </c>
      <c r="V135" s="59">
        <v>114450</v>
      </c>
    </row>
    <row r="136" spans="1:22" s="168" customFormat="1" ht="22.500000" customHeight="1">
      <c r="A136" s="34">
        <v>134</v>
      </c>
      <c r="B136" s="49">
        <v>324</v>
      </c>
      <c r="C136" s="49">
        <v>324</v>
      </c>
      <c r="D136" s="49">
        <v>3</v>
      </c>
      <c r="E136" s="49">
        <v>4</v>
      </c>
      <c r="F136" s="50">
        <f>(C136*100)/B136</f>
        <v>100</v>
      </c>
      <c r="G136" s="156">
        <f>(D136*100)/B136</f>
        <v>0.925925925925926</v>
      </c>
      <c r="H136" s="152">
        <f>((B136-B137)/B136)*100</f>
        <v>-2.46913580246914</v>
      </c>
      <c r="I136" s="152">
        <f>((B136-C136)/B136)*100</f>
        <v>0</v>
      </c>
      <c r="J136" s="152">
        <f>((C136-B137)/C136)*100</f>
        <v>-2.46913580246914</v>
      </c>
      <c r="K136" s="161"/>
      <c r="L136" s="54">
        <v>1</v>
      </c>
      <c r="M136" s="69" t="s">
        <v>28</v>
      </c>
      <c r="N136" s="54">
        <v>1.99</v>
      </c>
      <c r="O136" s="56">
        <f>N136/C136</f>
        <v>0.00614197530864198</v>
      </c>
      <c r="P136" s="57">
        <f>(Boosters_And!B136*100)/Boosters_And!N136</f>
        <v>1.79892952940264</v>
      </c>
      <c r="Q136" s="57">
        <f>Boosters_And!B136/(C136+D136)</f>
        <v>0.0397553516819572</v>
      </c>
      <c r="R136" s="57">
        <f>Boosters_And!N136/B136</f>
        <v>2.23040736917843</v>
      </c>
      <c r="S136" s="54">
        <v>6.79320987654321</v>
      </c>
      <c r="T136" s="58">
        <v>0.42283950617284</v>
      </c>
      <c r="U136" s="60">
        <v>1200.62654320988</v>
      </c>
      <c r="V136" s="59">
        <v>127905</v>
      </c>
    </row>
    <row r="137" spans="1:22" s="168" customFormat="1" ht="22.500000" customHeight="1">
      <c r="A137" s="34">
        <v>135</v>
      </c>
      <c r="B137" s="49">
        <v>332</v>
      </c>
      <c r="C137" s="49">
        <v>325</v>
      </c>
      <c r="D137" s="49">
        <v>232</v>
      </c>
      <c r="E137" s="49">
        <v>127</v>
      </c>
      <c r="F137" s="50">
        <f>(C137*100)/B137</f>
        <v>97.8915662650602</v>
      </c>
      <c r="G137" s="156">
        <f>(D137*100)/B137</f>
        <v>69.8795180722892</v>
      </c>
      <c r="H137" s="152">
        <f>((B137-B138)/B137)*100</f>
        <v>-5.42168674698795</v>
      </c>
      <c r="I137" s="152">
        <f>((B137-C137)/B137)*100</f>
        <v>2.10843373493976</v>
      </c>
      <c r="J137" s="152">
        <f>((C137-B138)/C137)*100</f>
        <v>-7.69230769230769</v>
      </c>
      <c r="K137" s="161"/>
      <c r="L137" s="54">
        <v>1.44307692307692</v>
      </c>
      <c r="M137" s="55" t="s">
        <v>28</v>
      </c>
      <c r="N137" s="54">
        <v>9.98</v>
      </c>
      <c r="O137" s="56">
        <f>N137/C137</f>
        <v>0.0307076923076923</v>
      </c>
      <c r="P137" s="57">
        <f>(Boosters_And!B137*100)/Boosters_And!N137</f>
        <v>10.2946662325258</v>
      </c>
      <c r="Q137" s="57">
        <f>Boosters_And!B137/(C137+D137)</f>
        <v>0.290529099357643</v>
      </c>
      <c r="R137" s="57">
        <f>Boosters_And!N137/B137</f>
        <v>4.73472193559657</v>
      </c>
      <c r="S137" s="54">
        <v>6.04307692307692</v>
      </c>
      <c r="T137" s="58">
        <v>0.667692307692308</v>
      </c>
      <c r="U137" s="60">
        <v>1087.33230769231</v>
      </c>
      <c r="V137" s="59">
        <v>106580</v>
      </c>
    </row>
    <row r="138" spans="1:22" s="168" customFormat="1" ht="22.500000" customHeight="1">
      <c r="A138" s="34">
        <v>136</v>
      </c>
      <c r="B138" s="49">
        <v>350</v>
      </c>
      <c r="C138" s="49">
        <v>326</v>
      </c>
      <c r="D138" s="49">
        <v>312</v>
      </c>
      <c r="E138" s="49">
        <v>175</v>
      </c>
      <c r="F138" s="50">
        <f>(C138*100)/B138</f>
        <v>93.1428571428571</v>
      </c>
      <c r="G138" s="156">
        <f>(D138*100)/B138</f>
        <v>89.1428571428571</v>
      </c>
      <c r="H138" s="152">
        <f>((B138-B139)/B138)*100</f>
        <v>2.57142857142857</v>
      </c>
      <c r="I138" s="152">
        <f>((B138-C138)/B138)*100</f>
        <v>6.85714285714286</v>
      </c>
      <c r="J138" s="152">
        <f>((C138-B139)/C138)*100</f>
        <v>-4.60122699386503</v>
      </c>
      <c r="K138" s="161"/>
      <c r="L138" s="54">
        <v>1.6963190184049</v>
      </c>
      <c r="M138" s="68" t="s">
        <v>29</v>
      </c>
      <c r="N138" s="54">
        <v>51.01</v>
      </c>
      <c r="O138" s="56">
        <f>N138/C138</f>
        <v>0.156472392638037</v>
      </c>
      <c r="P138" s="57">
        <f>(Boosters_And!B138*100)/Boosters_And!N138</f>
        <v>16.8646820759419</v>
      </c>
      <c r="Q138" s="57">
        <f>Boosters_And!B138/(C138+D138)</f>
        <v>0.797382097513089</v>
      </c>
      <c r="R138" s="57">
        <f>Boosters_And!N138/B138</f>
        <v>8.61868397810851</v>
      </c>
      <c r="S138" s="54">
        <v>6.53374233128834</v>
      </c>
      <c r="T138" s="58">
        <v>0.834355828220859</v>
      </c>
      <c r="U138" s="60">
        <v>1062.83128834356</v>
      </c>
      <c r="V138" s="59">
        <v>102345</v>
      </c>
    </row>
    <row r="139" spans="1:22" s="168" customFormat="1" ht="22.500000" customHeight="1">
      <c r="A139" s="34">
        <v>137</v>
      </c>
      <c r="B139" s="49">
        <v>341</v>
      </c>
      <c r="C139" s="49">
        <v>319</v>
      </c>
      <c r="D139" s="49">
        <v>297</v>
      </c>
      <c r="E139" s="49">
        <v>139</v>
      </c>
      <c r="F139" s="50">
        <f>(C139*100)/B139</f>
        <v>93.5483870967742</v>
      </c>
      <c r="G139" s="156">
        <f>(D139*100)/B139</f>
        <v>87.0967741935484</v>
      </c>
      <c r="H139" s="152">
        <f>((B139-B140)/B139)*100</f>
        <v>6.74486803519062</v>
      </c>
      <c r="I139" s="152">
        <f>((B139-C139)/B139)*100</f>
        <v>6.45161290322581</v>
      </c>
      <c r="J139" s="152">
        <f>((C139-B140)/C139)*100</f>
        <v>0.313479623824451</v>
      </c>
      <c r="K139" s="161"/>
      <c r="L139" s="54">
        <v>1.6551724137931</v>
      </c>
      <c r="M139" s="73" t="s">
        <v>30</v>
      </c>
      <c r="N139" s="54">
        <v>38.37</v>
      </c>
      <c r="O139" s="56">
        <f>N139/C139</f>
        <v>0.120282131661442</v>
      </c>
      <c r="P139" s="57">
        <f>(Boosters_And!B139*100)/Boosters_And!N139</f>
        <v>23.1355384034862</v>
      </c>
      <c r="Q139" s="57">
        <f>Boosters_And!B139/(C139+D139)</f>
        <v>1.08637136398772</v>
      </c>
      <c r="R139" s="57">
        <f>Boosters_And!N139/B139</f>
        <v>8.48252272526231</v>
      </c>
      <c r="S139" s="54">
        <v>5.6269592476489</v>
      </c>
      <c r="T139" s="58">
        <v>0.905956112852665</v>
      </c>
      <c r="U139" s="60">
        <v>993.677115987461</v>
      </c>
      <c r="V139" s="59">
        <v>101763</v>
      </c>
    </row>
    <row r="140" spans="1:22" s="168" customFormat="1" ht="22.500000" customHeight="1">
      <c r="A140" s="34">
        <v>138</v>
      </c>
      <c r="B140" s="49">
        <v>318</v>
      </c>
      <c r="C140" s="49">
        <v>317</v>
      </c>
      <c r="D140" s="49">
        <v>7</v>
      </c>
      <c r="E140" s="49">
        <v>4</v>
      </c>
      <c r="F140" s="50">
        <f>(C140*100)/B140</f>
        <v>99.685534591195</v>
      </c>
      <c r="G140" s="156">
        <f>(D140*100)/B140</f>
        <v>2.20125786163522</v>
      </c>
      <c r="H140" s="152">
        <f>((B140-B141)/B140)*100</f>
        <v>-0.628930817610063</v>
      </c>
      <c r="I140" s="152">
        <f>((B140-C140)/B140)*100</f>
        <v>0.314465408805032</v>
      </c>
      <c r="J140" s="152">
        <f>((C140-B141)/C140)*100</f>
        <v>-0.946372239747634</v>
      </c>
      <c r="K140" s="161"/>
      <c r="L140" s="54">
        <v>1.00946372239747</v>
      </c>
      <c r="M140" s="69" t="s">
        <v>28</v>
      </c>
      <c r="N140" s="54">
        <v>0</v>
      </c>
      <c r="O140" s="56">
        <f>N140/C140</f>
        <v>0</v>
      </c>
      <c r="P140" s="57">
        <f>(Boosters_And!B140*100)/Boosters_And!N140</f>
        <v>2.31627333108526</v>
      </c>
      <c r="Q140" s="57">
        <f>Boosters_And!B140/(C140+D140)</f>
        <v>0.0590444367986492</v>
      </c>
      <c r="R140" s="57">
        <f>Boosters_And!N140/B140</f>
        <v>2.59721000836269</v>
      </c>
      <c r="S140" s="54">
        <v>7.64984227129337</v>
      </c>
      <c r="T140" s="58">
        <v>0.43217665615142</v>
      </c>
      <c r="U140" s="60">
        <v>1089.29968454259</v>
      </c>
      <c r="V140" s="59">
        <v>121928</v>
      </c>
    </row>
    <row r="141" spans="1:22" s="168" customFormat="1" ht="22.500000" customHeight="1">
      <c r="A141" s="34">
        <v>139</v>
      </c>
      <c r="B141" s="49">
        <v>320</v>
      </c>
      <c r="C141" s="49">
        <v>313</v>
      </c>
      <c r="D141" s="49">
        <v>107</v>
      </c>
      <c r="E141" s="49">
        <v>43</v>
      </c>
      <c r="F141" s="50">
        <f>(C141*100)/B141</f>
        <v>97.8125</v>
      </c>
      <c r="G141" s="156">
        <f>(D141*100)/B141</f>
        <v>33.4375</v>
      </c>
      <c r="H141" s="152">
        <f>((B141-B142)/B141)*100</f>
        <v>-6.25</v>
      </c>
      <c r="I141" s="152">
        <f>((B141-C141)/B141)*100</f>
        <v>2.1875</v>
      </c>
      <c r="J141" s="152">
        <f>((C141-B142)/C141)*100</f>
        <v>-8.62619808306709</v>
      </c>
      <c r="K141" s="161"/>
      <c r="L141" s="54">
        <v>1.03514376996805</v>
      </c>
      <c r="M141" s="55" t="s">
        <v>28</v>
      </c>
      <c r="N141" s="54">
        <v>8.81</v>
      </c>
      <c r="O141" s="56">
        <f>N141/C141</f>
        <v>0.02814696485623</v>
      </c>
      <c r="P141" s="57">
        <f>(Boosters_And!B141*100)/Boosters_And!N141</f>
        <v>13.4310562868612</v>
      </c>
      <c r="Q141" s="57">
        <f>Boosters_And!B141/(C141+D141)</f>
        <v>0.339540698759003</v>
      </c>
      <c r="R141" s="57">
        <f>Boosters_And!N141/B141</f>
        <v>3.31803513888287</v>
      </c>
      <c r="S141" s="54">
        <v>7.28753993610223</v>
      </c>
      <c r="T141" s="58">
        <v>0.549520766773163</v>
      </c>
      <c r="U141" s="60">
        <v>1100.28115015974</v>
      </c>
      <c r="V141" s="59">
        <v>111833</v>
      </c>
    </row>
    <row r="142" spans="1:22" s="168" customFormat="1" ht="22.500000" customHeight="1">
      <c r="A142" s="34">
        <v>140</v>
      </c>
      <c r="B142" s="49">
        <v>340</v>
      </c>
      <c r="C142" s="49">
        <v>306</v>
      </c>
      <c r="D142" s="49">
        <v>295</v>
      </c>
      <c r="E142" s="49">
        <v>144</v>
      </c>
      <c r="F142" s="50">
        <f>(C142*100)/B142</f>
        <v>90</v>
      </c>
      <c r="G142" s="156">
        <f>(D142*100)/B142</f>
        <v>86.7647058823529</v>
      </c>
      <c r="H142" s="152">
        <f>((B142-B143)/B142)*100</f>
        <v>9.70588235294118</v>
      </c>
      <c r="I142" s="152">
        <f>((B142-C142)/B142)*100</f>
        <v>10</v>
      </c>
      <c r="J142" s="152">
        <f>((C142-B143)/C142)*100</f>
        <v>-0.326797385620915</v>
      </c>
      <c r="K142" s="161"/>
      <c r="L142" s="54">
        <v>1.9673202614379</v>
      </c>
      <c r="M142" s="69" t="s">
        <v>28</v>
      </c>
      <c r="N142" s="54">
        <v>90.53</v>
      </c>
      <c r="O142" s="56">
        <f>N142/C142</f>
        <v>0.295849673202614</v>
      </c>
      <c r="P142" s="57">
        <f>(Boosters_And!B142*100)/Boosters_And!N142</f>
        <v>21.4080419877789</v>
      </c>
      <c r="Q142" s="57">
        <f>Boosters_And!B142/(C142+D142)</f>
        <v>0.944639042030648</v>
      </c>
      <c r="R142" s="57">
        <f>Boosters_And!N142/B142</f>
        <v>7.79981852263077</v>
      </c>
      <c r="S142" s="54">
        <v>7.53921568627451</v>
      </c>
      <c r="T142" s="58">
        <v>0.934640522875817</v>
      </c>
      <c r="U142" s="60">
        <v>1083.40849673203</v>
      </c>
      <c r="V142" s="59">
        <v>95408</v>
      </c>
    </row>
    <row r="143" spans="1:22" s="168" customFormat="1" ht="22.500000" customHeight="1">
      <c r="A143" s="34">
        <v>141</v>
      </c>
      <c r="B143" s="49">
        <v>307</v>
      </c>
      <c r="C143" s="49">
        <v>306</v>
      </c>
      <c r="D143" s="49">
        <v>125</v>
      </c>
      <c r="E143" s="49">
        <v>43</v>
      </c>
      <c r="F143" s="50">
        <f>(C143*100)/B143</f>
        <v>99.6742671009772</v>
      </c>
      <c r="G143" s="156">
        <f>(D143*100)/B143</f>
        <v>40.7166123778502</v>
      </c>
      <c r="H143" s="152">
        <f>((B143-B144)/B143)*100</f>
        <v>0</v>
      </c>
      <c r="I143" s="152">
        <f>((B143-C143)/B143)*100</f>
        <v>0.325732899022801</v>
      </c>
      <c r="J143" s="152">
        <f>((C143-B144)/C143)*100</f>
        <v>-0.326797385620915</v>
      </c>
      <c r="K143" s="161"/>
      <c r="L143" s="54">
        <v>1.10130718954248</v>
      </c>
      <c r="M143" s="55" t="s">
        <v>28</v>
      </c>
      <c r="N143" s="54">
        <v>19.47</v>
      </c>
      <c r="O143" s="56">
        <f>N143/C143</f>
        <v>0.0636274509803922</v>
      </c>
      <c r="P143" s="57">
        <f>(Boosters_And!B143*100)/Boosters_And!N143</f>
        <v>7.60045980945434</v>
      </c>
      <c r="Q143" s="57">
        <f>Boosters_And!B143/(C143+D143)</f>
        <v>0.228486201699501</v>
      </c>
      <c r="R143" s="57">
        <f>Boosters_And!N143/B143</f>
        <v>4.22045239492854</v>
      </c>
      <c r="S143" s="54">
        <v>6.8235294117647</v>
      </c>
      <c r="T143" s="58">
        <v>0.57843137254902</v>
      </c>
      <c r="U143" s="60">
        <v>1105.56535947712</v>
      </c>
      <c r="V143" s="59">
        <v>112223</v>
      </c>
    </row>
    <row r="144" spans="1:22" s="168" customFormat="1" ht="22.500000" customHeight="1">
      <c r="A144" s="34">
        <v>142</v>
      </c>
      <c r="B144" s="49">
        <v>307</v>
      </c>
      <c r="C144" s="49">
        <v>303</v>
      </c>
      <c r="D144" s="49">
        <v>84</v>
      </c>
      <c r="E144" s="49">
        <v>33</v>
      </c>
      <c r="F144" s="50">
        <f>(C144*100)/B144</f>
        <v>98.6970684039088</v>
      </c>
      <c r="G144" s="156">
        <f>(D144*100)/B144</f>
        <v>27.3615635179153</v>
      </c>
      <c r="H144" s="152">
        <f>((B144-B145)/B144)*100</f>
        <v>0.651465798045603</v>
      </c>
      <c r="I144" s="152">
        <f>((B144-C144)/B144)*100</f>
        <v>1.30293159609121</v>
      </c>
      <c r="J144" s="152">
        <f>((C144-B145)/C144)*100</f>
        <v>-0.66006600660066</v>
      </c>
      <c r="K144" s="161"/>
      <c r="L144" s="54">
        <v>1.06270627062706</v>
      </c>
      <c r="M144" s="69" t="s">
        <v>28</v>
      </c>
      <c r="N144" s="54">
        <v>0</v>
      </c>
      <c r="O144" s="56">
        <f>N144/C144</f>
        <v>0</v>
      </c>
      <c r="P144" s="57">
        <f>(Boosters_And!B144*100)/Boosters_And!N144</f>
        <v>10.3050313510835</v>
      </c>
      <c r="Q144" s="57">
        <f>Boosters_And!B144/(C144+D144)</f>
        <v>0.267609225512011</v>
      </c>
      <c r="R144" s="57">
        <f>Boosters_And!N144/B144</f>
        <v>3.27359051209058</v>
      </c>
      <c r="S144" s="54">
        <v>7.3069306930693</v>
      </c>
      <c r="T144" s="58">
        <v>0.521452145214521</v>
      </c>
      <c r="U144" s="60">
        <v>1153.22772277228</v>
      </c>
      <c r="V144" s="59">
        <v>117728</v>
      </c>
    </row>
    <row r="145" spans="1:22" s="168" customFormat="1" ht="22.500000" customHeight="1">
      <c r="A145" s="34">
        <v>143</v>
      </c>
      <c r="B145" s="49">
        <v>305</v>
      </c>
      <c r="C145" s="49">
        <v>304</v>
      </c>
      <c r="D145" s="49">
        <v>72</v>
      </c>
      <c r="E145" s="49">
        <v>61</v>
      </c>
      <c r="F145" s="50">
        <f>(C145*100)/B145</f>
        <v>99.672131147541</v>
      </c>
      <c r="G145" s="156">
        <f>(D145*100)/B145</f>
        <v>23.6065573770492</v>
      </c>
      <c r="H145" s="152">
        <f>((B145-B146)/B145)*100</f>
        <v>-0.327868852459016</v>
      </c>
      <c r="I145" s="152">
        <f>((B145-C145)/B145)*100</f>
        <v>0.327868852459016</v>
      </c>
      <c r="J145" s="152">
        <f>((C145-B146)/C145)*100</f>
        <v>-0.657894736842105</v>
      </c>
      <c r="K145" s="161"/>
      <c r="L145" s="54">
        <v>1.125</v>
      </c>
      <c r="M145" s="55" t="s">
        <v>28</v>
      </c>
      <c r="N145" s="54">
        <v>2.99</v>
      </c>
      <c r="O145" s="56">
        <f>N145/C145</f>
        <v>0.00983552631578948</v>
      </c>
      <c r="P145" s="57">
        <f>(Boosters_And!B145*100)/Boosters_And!N145</f>
        <v>8.88156546049487</v>
      </c>
      <c r="Q145" s="57">
        <f>Boosters_And!B145/(C145+D145)</f>
        <v>0.212302035422003</v>
      </c>
      <c r="R145" s="57">
        <f>Boosters_And!N145/B145</f>
        <v>2.94681344345654</v>
      </c>
      <c r="S145" s="54">
        <v>6.06578947368421</v>
      </c>
      <c r="T145" s="58">
        <v>0.480263157894737</v>
      </c>
      <c r="U145" s="60">
        <v>1200.38815789474</v>
      </c>
      <c r="V145" s="59">
        <v>119018</v>
      </c>
    </row>
    <row r="146" spans="1:22" s="168" customFormat="1" ht="22.500000" customHeight="1">
      <c r="A146" s="34">
        <v>144</v>
      </c>
      <c r="B146" s="49">
        <v>306</v>
      </c>
      <c r="C146" s="49">
        <v>306</v>
      </c>
      <c r="D146" s="49">
        <v>1</v>
      </c>
      <c r="E146" s="49">
        <v>2</v>
      </c>
      <c r="F146" s="50">
        <f>(C146*100)/B146</f>
        <v>100</v>
      </c>
      <c r="G146" s="156">
        <f>(D146*100)/B146</f>
        <v>0.326797385620915</v>
      </c>
      <c r="H146" s="152">
        <f>((B146-B147)/B146)*100</f>
        <v>-1.63398692810458</v>
      </c>
      <c r="I146" s="152">
        <f>((B146-C146)/B146)*100</f>
        <v>0</v>
      </c>
      <c r="J146" s="152">
        <f>((C146-B147)/C146)*100</f>
        <v>-1.63398692810458</v>
      </c>
      <c r="K146" s="161"/>
      <c r="L146" s="54">
        <v>1</v>
      </c>
      <c r="M146" s="69" t="s">
        <v>28</v>
      </c>
      <c r="N146" s="54">
        <v>0</v>
      </c>
      <c r="O146" s="56">
        <f>N146/C146</f>
        <v>0</v>
      </c>
      <c r="P146" s="57">
        <f>(Boosters_And!B146*100)/Boosters_And!N146</f>
        <v>2.72373540856031</v>
      </c>
      <c r="Q146" s="57">
        <f>Boosters_And!B146/(C146+D146)</f>
        <v>0.0684039087947883</v>
      </c>
      <c r="R146" s="57">
        <f>Boosters_And!N146/B146</f>
        <v>2.51960784313725</v>
      </c>
      <c r="S146" s="54">
        <v>7.24509803921568</v>
      </c>
      <c r="T146" s="58">
        <v>0.401960784313726</v>
      </c>
      <c r="U146" s="60">
        <v>1268.9477124183</v>
      </c>
      <c r="V146" s="59">
        <v>126788</v>
      </c>
    </row>
    <row r="147" spans="1:22" s="168" customFormat="1" ht="22.500000" customHeight="1">
      <c r="A147" s="34">
        <v>145</v>
      </c>
      <c r="B147" s="49">
        <v>311</v>
      </c>
      <c r="C147" s="49">
        <v>308</v>
      </c>
      <c r="D147" s="49">
        <v>145</v>
      </c>
      <c r="E147" s="49">
        <v>57</v>
      </c>
      <c r="F147" s="50">
        <f>(C147*100)/B147</f>
        <v>99.0353697749196</v>
      </c>
      <c r="G147" s="156">
        <f>(D147*100)/B147</f>
        <v>46.6237942122187</v>
      </c>
      <c r="H147" s="152">
        <f>((B147-B148)/B147)*100</f>
        <v>1.28617363344051</v>
      </c>
      <c r="I147" s="152">
        <f>((B147-C147)/B147)*100</f>
        <v>0.964630225080386</v>
      </c>
      <c r="J147" s="152">
        <f>((C147-B148)/C147)*100</f>
        <v>0.324675324675325</v>
      </c>
      <c r="K147" s="161"/>
      <c r="L147" s="54">
        <v>1.15584415584415</v>
      </c>
      <c r="M147" s="73" t="s">
        <v>30</v>
      </c>
      <c r="N147" s="54">
        <v>9.27</v>
      </c>
      <c r="O147" s="56">
        <f>N147/C147</f>
        <v>0.0300974025974026</v>
      </c>
      <c r="P147" s="57">
        <f>(Boosters_And!B147*100)/Boosters_And!N147</f>
        <v>10.8856487364647</v>
      </c>
      <c r="Q147" s="57">
        <f>Boosters_And!B147/(C147+D147)</f>
        <v>0.317015343168316</v>
      </c>
      <c r="R147" s="57">
        <f>Boosters_And!N147/B147</f>
        <v>4.24193274786756</v>
      </c>
      <c r="S147" s="54">
        <v>4.94155844155844</v>
      </c>
      <c r="T147" s="58">
        <v>0.626623376623377</v>
      </c>
      <c r="U147" s="60">
        <v>1221.61688311688</v>
      </c>
      <c r="V147" s="59">
        <v>135118</v>
      </c>
    </row>
    <row r="148" spans="1:22" s="168" customFormat="1" ht="22.500000" customHeight="1">
      <c r="A148" s="34">
        <v>146</v>
      </c>
      <c r="B148" s="49">
        <v>307</v>
      </c>
      <c r="C148" s="49">
        <v>306</v>
      </c>
      <c r="D148" s="49">
        <v>0</v>
      </c>
      <c r="E148" s="49">
        <v>0</v>
      </c>
      <c r="F148" s="50">
        <f>(C148*100)/B148</f>
        <v>99.6742671009772</v>
      </c>
      <c r="G148" s="156">
        <f>(D148*100)/B148</f>
        <v>0</v>
      </c>
      <c r="H148" s="152">
        <f>((B148-B149)/B148)*100</f>
        <v>-5.86319218241042</v>
      </c>
      <c r="I148" s="152">
        <f>((B148-C148)/B148)*100</f>
        <v>0.325732899022801</v>
      </c>
      <c r="J148" s="152">
        <f>((C148-B149)/C148)*100</f>
        <v>-6.20915032679739</v>
      </c>
      <c r="K148" s="161"/>
      <c r="L148" s="54">
        <v>1</v>
      </c>
      <c r="M148" s="69" t="s">
        <v>28</v>
      </c>
      <c r="N148" s="54">
        <v>0</v>
      </c>
      <c r="O148" s="56">
        <f>N148/C148</f>
        <v>0</v>
      </c>
      <c r="P148" s="57">
        <f>(Boosters_And!B148*100)/Boosters_And!N148</f>
        <v>2.91666666666667</v>
      </c>
      <c r="Q148" s="57">
        <f>Boosters_And!B148/(C148+D148)</f>
        <v>0.0686274509803922</v>
      </c>
      <c r="R148" s="57">
        <f>Boosters_And!N148/B148</f>
        <v>2.34527687296417</v>
      </c>
      <c r="S148" s="54">
        <v>4.7875816993464</v>
      </c>
      <c r="T148" s="58">
        <v>0.42483660130719</v>
      </c>
      <c r="U148" s="60">
        <v>1302.64052287582</v>
      </c>
      <c r="V148" s="59">
        <v>146113</v>
      </c>
    </row>
    <row r="149" spans="1:22" s="168" customFormat="1" ht="22.500000" customHeight="1">
      <c r="A149" s="34">
        <v>147</v>
      </c>
      <c r="B149" s="49">
        <v>325</v>
      </c>
      <c r="C149" s="49">
        <v>304</v>
      </c>
      <c r="D149" s="49">
        <v>318</v>
      </c>
      <c r="E149" s="49">
        <v>150</v>
      </c>
      <c r="F149" s="50">
        <f>(C149*100)/B149</f>
        <v>93.5384615384615</v>
      </c>
      <c r="G149" s="156">
        <f>(D149*100)/B149</f>
        <v>97.8461538461538</v>
      </c>
      <c r="H149" s="152">
        <f>((B149-B150)/B149)*100</f>
        <v>6.15384615384615</v>
      </c>
      <c r="I149" s="152">
        <f>((B149-C149)/B149)*100</f>
        <v>6.46153846153846</v>
      </c>
      <c r="J149" s="152">
        <f>((C149-B150)/C149)*100</f>
        <v>-0.328947368421053</v>
      </c>
      <c r="K149" s="161"/>
      <c r="L149" s="54">
        <v>2.28947368421052</v>
      </c>
      <c r="M149" s="73" t="s">
        <v>30</v>
      </c>
      <c r="N149" s="54">
        <v>83.82</v>
      </c>
      <c r="O149" s="56">
        <f>N149/C149</f>
        <v>0.275723684210526</v>
      </c>
      <c r="P149" s="57">
        <f>(Boosters_And!B149*100)/Boosters_And!N149</f>
        <v>12.5096075126488</v>
      </c>
      <c r="Q149" s="57">
        <f>Boosters_And!B149/(C149+D149)</f>
        <v>0.593374031472677</v>
      </c>
      <c r="R149" s="57">
        <f>Boosters_And!N149/B149</f>
        <v>9.07803547615626</v>
      </c>
      <c r="S149" s="54">
        <v>7.35526315789473</v>
      </c>
      <c r="T149" s="58">
        <v>0.901315789473684</v>
      </c>
      <c r="U149" s="60">
        <v>1095.0427631579</v>
      </c>
      <c r="V149" s="59">
        <v>121710</v>
      </c>
    </row>
    <row r="150" spans="1:22" s="168" customFormat="1" ht="22.500000" customHeight="1">
      <c r="A150" s="34">
        <v>148</v>
      </c>
      <c r="B150" s="49">
        <v>305</v>
      </c>
      <c r="C150" s="49">
        <v>305</v>
      </c>
      <c r="D150" s="49">
        <v>15</v>
      </c>
      <c r="E150" s="49">
        <v>3</v>
      </c>
      <c r="F150" s="50">
        <f>(C150*100)/B150</f>
        <v>100</v>
      </c>
      <c r="G150" s="156">
        <f>(D150*100)/B150</f>
        <v>4.91803278688525</v>
      </c>
      <c r="H150" s="152">
        <f>((B150-B151)/B150)*100</f>
        <v>0.327868852459016</v>
      </c>
      <c r="I150" s="152">
        <f>((B150-C150)/B150)*100</f>
        <v>0</v>
      </c>
      <c r="J150" s="152">
        <f>((C150-B151)/C150)*100</f>
        <v>0.327868852459016</v>
      </c>
      <c r="K150" s="161"/>
      <c r="L150" s="54">
        <v>1.00327868852459</v>
      </c>
      <c r="M150" s="69" t="s">
        <v>28</v>
      </c>
      <c r="N150" s="54">
        <v>0</v>
      </c>
      <c r="O150" s="56">
        <f>N150/C150</f>
        <v>0</v>
      </c>
      <c r="P150" s="57">
        <f>(Boosters_And!B150*100)/Boosters_And!N150</f>
        <v>2.15772215718061</v>
      </c>
      <c r="Q150" s="57">
        <f>Boosters_And!B150/(C150+D150)</f>
        <v>0.053125</v>
      </c>
      <c r="R150" s="57">
        <f>Boosters_And!N150/B150</f>
        <v>2.58317340499772</v>
      </c>
      <c r="S150" s="54">
        <v>9.35409836065573</v>
      </c>
      <c r="T150" s="58">
        <v>0.442622950819672</v>
      </c>
      <c r="U150" s="60">
        <v>1166.55081967213</v>
      </c>
      <c r="V150" s="59">
        <v>132100</v>
      </c>
    </row>
    <row r="151" spans="1:22" s="168" customFormat="1" ht="22.500000" customHeight="1">
      <c r="A151" s="34">
        <v>149</v>
      </c>
      <c r="B151" s="49">
        <v>304</v>
      </c>
      <c r="C151" s="49">
        <v>304</v>
      </c>
      <c r="D151" s="49">
        <v>68</v>
      </c>
      <c r="E151" s="49">
        <v>31</v>
      </c>
      <c r="F151" s="50">
        <f>(C151*100)/B151</f>
        <v>100</v>
      </c>
      <c r="G151" s="156">
        <f>(D151*100)/B151</f>
        <v>22.3684210526316</v>
      </c>
      <c r="H151" s="152">
        <f>((B151-B152)/B151)*100</f>
        <v>-0.986842105263158</v>
      </c>
      <c r="I151" s="152">
        <f>((B151-C151)/B151)*100</f>
        <v>0</v>
      </c>
      <c r="J151" s="152">
        <f>((C151-B152)/C151)*100</f>
        <v>-0.986842105263158</v>
      </c>
      <c r="K151" s="161"/>
      <c r="L151" s="54">
        <v>1.05921052631578</v>
      </c>
      <c r="M151" s="55" t="s">
        <v>28</v>
      </c>
      <c r="N151" s="54">
        <v>0</v>
      </c>
      <c r="O151" s="56">
        <f>N151/C151</f>
        <v>0</v>
      </c>
      <c r="P151" s="57">
        <f>(Boosters_And!B151*100)/Boosters_And!N151</f>
        <v>10.3624075408213</v>
      </c>
      <c r="Q151" s="57">
        <f>Boosters_And!B151/(C151+D151)</f>
        <v>0.250350530975168</v>
      </c>
      <c r="R151" s="57">
        <f>Boosters_And!N151/B151</f>
        <v>2.95635923065531</v>
      </c>
      <c r="S151" s="54">
        <v>32.0427631578947</v>
      </c>
      <c r="T151" s="58">
        <v>0.503289473684211</v>
      </c>
      <c r="U151" s="60">
        <v>1196.34210526316</v>
      </c>
      <c r="V151" s="59">
        <v>137920</v>
      </c>
    </row>
    <row r="152" spans="1:22" s="168" customFormat="1" ht="22.500000" customHeight="1">
      <c r="A152" s="34">
        <v>150</v>
      </c>
      <c r="B152" s="49">
        <v>307</v>
      </c>
      <c r="C152" s="49">
        <v>304</v>
      </c>
      <c r="D152" s="49">
        <v>157</v>
      </c>
      <c r="E152" s="49">
        <v>50</v>
      </c>
      <c r="F152" s="50">
        <f>(C152*100)/B152</f>
        <v>99.0228013029316</v>
      </c>
      <c r="G152" s="156">
        <f>(D152*100)/B152</f>
        <v>51.1400651465798</v>
      </c>
      <c r="H152" s="152">
        <f>((B152-B153)/B152)*100</f>
        <v>1.95439739413681</v>
      </c>
      <c r="I152" s="152">
        <f>((B152-C152)/B152)*100</f>
        <v>0.977198697068404</v>
      </c>
      <c r="J152" s="152">
        <f>((C152-B153)/C152)*100</f>
        <v>0.986842105263158</v>
      </c>
      <c r="K152" s="161"/>
      <c r="L152" s="54">
        <v>1.15460526315789</v>
      </c>
      <c r="M152" s="69" t="s">
        <v>28</v>
      </c>
      <c r="N152" s="54">
        <v>19.97</v>
      </c>
      <c r="O152" s="56">
        <f>N152/C152</f>
        <v>0.0656907894736842</v>
      </c>
      <c r="P152" s="57">
        <f>(Boosters_And!B152*100)/Boosters_And!N152</f>
        <v>13.735274889108</v>
      </c>
      <c r="Q152" s="57">
        <f>Boosters_And!B152/(C152+D152)</f>
        <v>0.311984182954896</v>
      </c>
      <c r="R152" s="57">
        <f>Boosters_And!N152/B152</f>
        <v>3.41081191149416</v>
      </c>
      <c r="S152" s="54">
        <v>6.75328947368421</v>
      </c>
      <c r="T152" s="58">
        <v>0.608552631578947</v>
      </c>
      <c r="U152" s="60">
        <v>1177.29605263158</v>
      </c>
      <c r="V152" s="59">
        <v>129685</v>
      </c>
    </row>
    <row r="153" spans="1:22" s="168" customFormat="1" ht="22.500000" customHeight="1">
      <c r="A153" s="34">
        <v>151</v>
      </c>
      <c r="B153" s="49">
        <v>301</v>
      </c>
      <c r="C153" s="49">
        <v>288</v>
      </c>
      <c r="D153" s="49">
        <v>234</v>
      </c>
      <c r="E153" s="49">
        <v>92</v>
      </c>
      <c r="F153" s="50">
        <f>(C153*100)/B153</f>
        <v>95.6810631229236</v>
      </c>
      <c r="G153" s="156">
        <f>(D153*100)/B153</f>
        <v>77.7408637873754</v>
      </c>
      <c r="H153" s="152">
        <f>((B153-B154)/B153)*100</f>
        <v>4.98338870431894</v>
      </c>
      <c r="I153" s="152">
        <f>((B153-C153)/B153)*100</f>
        <v>4.31893687707641</v>
      </c>
      <c r="J153" s="152">
        <f>((C153-B154)/C153)*100</f>
        <v>0.694444444444444</v>
      </c>
      <c r="K153" s="161"/>
      <c r="L153" s="54">
        <v>1.38194444444444</v>
      </c>
      <c r="M153" s="55" t="s">
        <v>28</v>
      </c>
      <c r="N153" s="54">
        <v>21.93</v>
      </c>
      <c r="O153" s="56">
        <f>N153/C153</f>
        <v>0.0761458333333333</v>
      </c>
      <c r="P153" s="57">
        <f>(Boosters_And!B153*100)/Boosters_And!N153</f>
        <v>9.74105876024049</v>
      </c>
      <c r="Q153" s="57">
        <f>Boosters_And!B153/(C153+D153)</f>
        <v>0.363395779437765</v>
      </c>
      <c r="R153" s="57">
        <f>Boosters_And!N153/B153</f>
        <v>6.46960436768901</v>
      </c>
      <c r="S153" s="54">
        <v>7.68055555555555</v>
      </c>
      <c r="T153" s="58">
        <v>0.791666666666667</v>
      </c>
      <c r="U153" s="60">
        <v>1487.10763888889</v>
      </c>
      <c r="V153" s="59">
        <v>100330</v>
      </c>
    </row>
    <row r="154" spans="1:22" s="168" customFormat="1" ht="22.500000" customHeight="1">
      <c r="A154" s="34">
        <v>152</v>
      </c>
      <c r="B154" s="49">
        <v>286</v>
      </c>
      <c r="C154" s="49">
        <v>283</v>
      </c>
      <c r="D154" s="49">
        <v>80</v>
      </c>
      <c r="E154" s="49">
        <v>30</v>
      </c>
      <c r="F154" s="50">
        <f>(C154*100)/B154</f>
        <v>98.951048951049</v>
      </c>
      <c r="G154" s="156">
        <f>(D154*100)/B154</f>
        <v>27.972027972028</v>
      </c>
      <c r="H154" s="152">
        <f>((B154-B155)/B154)*100</f>
        <v>0.699300699300699</v>
      </c>
      <c r="I154" s="152">
        <f>((B154-C154)/B154)*100</f>
        <v>1.04895104895105</v>
      </c>
      <c r="J154" s="152">
        <f>((C154-B155)/C154)*100</f>
        <v>-0.353356890459364</v>
      </c>
      <c r="K154" s="161"/>
      <c r="L154" s="54">
        <v>1.07420494699646</v>
      </c>
      <c r="M154" s="69" t="s">
        <v>28</v>
      </c>
      <c r="N154" s="54">
        <v>0</v>
      </c>
      <c r="O154" s="56">
        <f>N154/C154</f>
        <v>0</v>
      </c>
      <c r="P154" s="57">
        <f>(Boosters_And!B154*100)/Boosters_And!N154</f>
        <v>11.2682213874505</v>
      </c>
      <c r="Q154" s="57">
        <f>Boosters_And!B154/(C154+D154)</f>
        <v>0.276918980967078</v>
      </c>
      <c r="R154" s="57">
        <f>Boosters_And!N154/B154</f>
        <v>3.11916210324803</v>
      </c>
      <c r="S154" s="54">
        <v>6.07067137809187</v>
      </c>
      <c r="T154" s="58">
        <v>0.515901060070671</v>
      </c>
      <c r="U154" s="60">
        <v>1534.6890459364</v>
      </c>
      <c r="V154" s="59">
        <v>109255</v>
      </c>
    </row>
    <row r="155" spans="1:22" s="168" customFormat="1" ht="22.500000" customHeight="1">
      <c r="A155" s="34">
        <v>153</v>
      </c>
      <c r="B155" s="49">
        <v>284</v>
      </c>
      <c r="C155" s="49">
        <v>284</v>
      </c>
      <c r="D155" s="49">
        <v>12</v>
      </c>
      <c r="E155" s="49">
        <v>7</v>
      </c>
      <c r="F155" s="50">
        <f>(C155*100)/B155</f>
        <v>100</v>
      </c>
      <c r="G155" s="156">
        <f>(D155*100)/B155</f>
        <v>4.22535211267606</v>
      </c>
      <c r="H155" s="152">
        <f>((B155-B156)/B155)*100</f>
        <v>-2.46478873239437</v>
      </c>
      <c r="I155" s="152">
        <f>((B155-C155)/B155)*100</f>
        <v>0</v>
      </c>
      <c r="J155" s="152">
        <f>((C155-B156)/C155)*100</f>
        <v>-2.46478873239437</v>
      </c>
      <c r="K155" s="161"/>
      <c r="L155" s="54">
        <v>1.00704225352112</v>
      </c>
      <c r="M155" s="55" t="s">
        <v>28</v>
      </c>
      <c r="N155" s="54">
        <v>0</v>
      </c>
      <c r="O155" s="56">
        <f>N155/C155</f>
        <v>0</v>
      </c>
      <c r="P155" s="57">
        <f>(Boosters_And!B155*100)/Boosters_And!N155</f>
        <v>0.411940825408347</v>
      </c>
      <c r="Q155" s="57">
        <f>Boosters_And!B155/(C155+D155)</f>
        <v>0.0101351351351351</v>
      </c>
      <c r="R155" s="57">
        <f>Boosters_And!N155/B155</f>
        <v>2.56429555658119</v>
      </c>
      <c r="S155" s="54">
        <v>6.00352112676056</v>
      </c>
      <c r="T155" s="58">
        <v>0.397887323943662</v>
      </c>
      <c r="U155" s="60">
        <v>1607.96478873239</v>
      </c>
      <c r="V155" s="59">
        <v>121120</v>
      </c>
    </row>
    <row r="156" spans="1:22" s="168" customFormat="1" ht="22.500000" customHeight="1">
      <c r="A156" s="34">
        <v>154</v>
      </c>
      <c r="B156" s="49">
        <v>291</v>
      </c>
      <c r="C156" s="49">
        <v>277</v>
      </c>
      <c r="D156" s="49">
        <v>205</v>
      </c>
      <c r="E156" s="49">
        <v>86</v>
      </c>
      <c r="F156" s="50">
        <f>(C156*100)/B156</f>
        <v>95.1890034364261</v>
      </c>
      <c r="G156" s="156">
        <f>(D156*100)/B156</f>
        <v>70.446735395189</v>
      </c>
      <c r="H156" s="152">
        <f>((B156-B157)/B156)*100</f>
        <v>4.81099656357388</v>
      </c>
      <c r="I156" s="152">
        <f>((B156-C156)/B156)*100</f>
        <v>4.81099656357388</v>
      </c>
      <c r="J156" s="152">
        <f>((C156-B157)/C156)*100</f>
        <v>0</v>
      </c>
      <c r="K156" s="161"/>
      <c r="L156" s="54">
        <v>1.54676258992805</v>
      </c>
      <c r="M156" s="68" t="s">
        <v>29</v>
      </c>
      <c r="N156" s="54">
        <v>13.96</v>
      </c>
      <c r="O156" s="56">
        <f>N156/C156</f>
        <v>0.0503971119133574</v>
      </c>
      <c r="P156" s="57">
        <f>(Boosters_And!B156*100)/Boosters_And!N156</f>
        <v>9.27810809329019</v>
      </c>
      <c r="Q156" s="57">
        <f>Boosters_And!B156/(C156+D156)</f>
        <v>0.299294477321699</v>
      </c>
      <c r="R156" s="57">
        <f>Boosters_And!N156/B156</f>
        <v>5.34310027226918</v>
      </c>
      <c r="S156" s="54">
        <v>8</v>
      </c>
      <c r="T156" s="58">
        <v>0.779783393501805</v>
      </c>
      <c r="U156" s="60">
        <v>1551.28880866426</v>
      </c>
      <c r="V156" s="59">
        <v>115520</v>
      </c>
    </row>
    <row r="157" spans="1:22" s="168" customFormat="1" ht="22.500000" customHeight="1">
      <c r="A157" s="34">
        <v>155</v>
      </c>
      <c r="B157" s="49">
        <v>277</v>
      </c>
      <c r="C157" s="49">
        <v>275</v>
      </c>
      <c r="D157" s="49">
        <v>7</v>
      </c>
      <c r="E157" s="49">
        <v>5</v>
      </c>
      <c r="F157" s="50">
        <f>(C157*100)/B157</f>
        <v>99.2779783393502</v>
      </c>
      <c r="G157" s="156">
        <f>(D157*100)/B157</f>
        <v>2.52707581227437</v>
      </c>
      <c r="H157" s="152">
        <f>((B157-B158)/B157)*100</f>
        <v>-0.72202166064982</v>
      </c>
      <c r="I157" s="152">
        <f>((B157-C157)/B157)*100</f>
        <v>0.72202166064982</v>
      </c>
      <c r="J157" s="152">
        <f>((C157-B158)/C157)*100</f>
        <v>-1.45454545454545</v>
      </c>
      <c r="K157" s="161"/>
      <c r="L157" s="54">
        <v>1.00362318840579</v>
      </c>
      <c r="M157" s="55" t="s">
        <v>28</v>
      </c>
      <c r="N157" s="54">
        <v>9.99</v>
      </c>
      <c r="O157" s="56">
        <f>N157/C157</f>
        <v>0.0363272727272727</v>
      </c>
      <c r="P157" s="57">
        <f>(Boosters_And!B157*100)/Boosters_And!N157</f>
        <v>0.119462476323966</v>
      </c>
      <c r="Q157" s="57">
        <f>Boosters_And!B157/(C157+D157)</f>
        <v>0.00354609929078014</v>
      </c>
      <c r="R157" s="57">
        <f>Boosters_And!N157/B157</f>
        <v>3.02196004497594</v>
      </c>
      <c r="S157" s="54">
        <v>7.05797101449275</v>
      </c>
      <c r="T157" s="58">
        <v>0.396363636363636</v>
      </c>
      <c r="U157" s="60">
        <v>1642.00727272727</v>
      </c>
      <c r="V157" s="59">
        <v>124445</v>
      </c>
    </row>
    <row r="158" spans="1:22" s="168" customFormat="1" ht="22.500000" customHeight="1">
      <c r="A158" s="34">
        <v>156</v>
      </c>
      <c r="B158" s="49">
        <v>279</v>
      </c>
      <c r="C158" s="49">
        <v>276</v>
      </c>
      <c r="D158" s="49">
        <v>46</v>
      </c>
      <c r="E158" s="49">
        <v>18</v>
      </c>
      <c r="F158" s="50">
        <f>(C158*100)/B158</f>
        <v>98.9247311827957</v>
      </c>
      <c r="G158" s="156">
        <f>(D158*100)/B158</f>
        <v>16.4874551971326</v>
      </c>
      <c r="H158" s="152">
        <f>((B158-B159)/B158)*100</f>
        <v>0.716845878136201</v>
      </c>
      <c r="I158" s="152">
        <f>((B158-C158)/B158)*100</f>
        <v>1.0752688172043</v>
      </c>
      <c r="J158" s="152">
        <f>((C158-B159)/C158)*100</f>
        <v>-0.36231884057971</v>
      </c>
      <c r="K158" s="161"/>
      <c r="L158" s="54">
        <v>1.02173913043478</v>
      </c>
      <c r="M158" s="69" t="s">
        <v>28</v>
      </c>
      <c r="N158" s="54">
        <v>0</v>
      </c>
      <c r="O158" s="56">
        <f>N158/C158</f>
        <v>0</v>
      </c>
      <c r="P158" s="57">
        <f>(Boosters_And!B158*100)/Boosters_And!N158</f>
        <v>7.12043162349821</v>
      </c>
      <c r="Q158" s="57">
        <f>Boosters_And!B158/(C158+D158)</f>
        <v>0.177423594791187</v>
      </c>
      <c r="R158" s="57">
        <f>Boosters_And!N158/B158</f>
        <v>2.87578704114812</v>
      </c>
      <c r="S158" s="54">
        <v>4.89855072463768</v>
      </c>
      <c r="T158" s="58">
        <v>0.47463768115942</v>
      </c>
      <c r="U158" s="60">
        <v>1650.71376811594</v>
      </c>
      <c r="V158" s="59">
        <v>128200</v>
      </c>
    </row>
    <row r="159" spans="1:22" s="168" customFormat="1" ht="22.500000" customHeight="1">
      <c r="A159" s="34">
        <v>157</v>
      </c>
      <c r="B159" s="49">
        <v>277</v>
      </c>
      <c r="C159" s="49">
        <v>263</v>
      </c>
      <c r="D159" s="49">
        <v>184</v>
      </c>
      <c r="E159" s="49">
        <v>86</v>
      </c>
      <c r="F159" s="50">
        <f>(C159*100)/B159</f>
        <v>94.9458483754513</v>
      </c>
      <c r="G159" s="156">
        <f>(D159*100)/B159</f>
        <v>66.4259927797834</v>
      </c>
      <c r="H159" s="152">
        <f>((B159-B160)/B159)*100</f>
        <v>4.69314079422383</v>
      </c>
      <c r="I159" s="152">
        <f>((B159-C159)/B159)*100</f>
        <v>5.05415162454874</v>
      </c>
      <c r="J159" s="152">
        <f>((C159-B160)/C159)*100</f>
        <v>-0.380228136882129</v>
      </c>
      <c r="K159" s="161"/>
      <c r="L159" s="54">
        <v>1.41444866920152</v>
      </c>
      <c r="M159" s="55" t="s">
        <v>28</v>
      </c>
      <c r="N159" s="54">
        <v>13.47</v>
      </c>
      <c r="O159" s="56">
        <f>N159/C159</f>
        <v>0.0512167300380228</v>
      </c>
      <c r="P159" s="57">
        <f>(Boosters_And!B159*100)/Boosters_And!N159</f>
        <v>5.72842788570634</v>
      </c>
      <c r="Q159" s="57">
        <f>Boosters_And!B159/(C159+D159)</f>
        <v>0.226530382757479</v>
      </c>
      <c r="R159" s="57">
        <f>Boosters_And!N159/B159</f>
        <v>6.38144106420342</v>
      </c>
      <c r="S159" s="54">
        <v>6.07984790874524</v>
      </c>
      <c r="T159" s="58">
        <v>0.699619771863118</v>
      </c>
      <c r="U159" s="60">
        <v>1602.13688212928</v>
      </c>
      <c r="V159" s="59">
        <v>105445</v>
      </c>
    </row>
    <row r="160" spans="1:22" s="168" customFormat="1" ht="22.500000" customHeight="1">
      <c r="A160" s="34">
        <v>158</v>
      </c>
      <c r="B160" s="49">
        <v>264</v>
      </c>
      <c r="C160" s="49">
        <v>263</v>
      </c>
      <c r="D160" s="49">
        <v>83</v>
      </c>
      <c r="E160" s="49">
        <v>21</v>
      </c>
      <c r="F160" s="50">
        <f>(C160*100)/B160</f>
        <v>99.6212121212121</v>
      </c>
      <c r="G160" s="156">
        <f>(D160*100)/B160</f>
        <v>31.4393939393939</v>
      </c>
      <c r="H160" s="152">
        <f>((B160-B161)/B160)*100</f>
        <v>-10.6060606060606</v>
      </c>
      <c r="I160" s="152">
        <f>((B160-C160)/B160)*100</f>
        <v>0.378787878787879</v>
      </c>
      <c r="J160" s="152">
        <f>((C160-B161)/C160)*100</f>
        <v>-11.0266159695818</v>
      </c>
      <c r="K160" s="161"/>
      <c r="L160" s="54">
        <v>1.03041825095057</v>
      </c>
      <c r="M160" s="69" t="s">
        <v>28</v>
      </c>
      <c r="N160" s="54">
        <v>2.99</v>
      </c>
      <c r="O160" s="56">
        <f>N160/C160</f>
        <v>0.0113688212927757</v>
      </c>
      <c r="P160" s="57">
        <f>(Boosters_And!B160*100)/Boosters_And!N160</f>
        <v>5.29860347420888</v>
      </c>
      <c r="Q160" s="57">
        <f>Boosters_And!B160/(C160+D160)</f>
        <v>0.145387211640531</v>
      </c>
      <c r="R160" s="57">
        <f>Boosters_And!N160/B160</f>
        <v>3.59614305237561</v>
      </c>
      <c r="S160" s="54">
        <v>12.7072243346007</v>
      </c>
      <c r="T160" s="58">
        <v>0.52851711026616</v>
      </c>
      <c r="U160" s="60">
        <v>1601.83269961977</v>
      </c>
      <c r="V160" s="59">
        <v>105870</v>
      </c>
    </row>
    <row r="161" spans="1:22" s="168" customFormat="1" ht="22.500000" customHeight="1">
      <c r="A161" s="34">
        <v>159</v>
      </c>
      <c r="B161" s="49">
        <v>292</v>
      </c>
      <c r="C161" s="49">
        <v>253</v>
      </c>
      <c r="D161" s="49">
        <v>292</v>
      </c>
      <c r="E161" s="49">
        <v>162</v>
      </c>
      <c r="F161" s="50">
        <f>(C161*100)/B161</f>
        <v>86.6438356164384</v>
      </c>
      <c r="G161" s="156">
        <f>(D161*100)/B161</f>
        <v>100</v>
      </c>
      <c r="H161" s="152">
        <f>((B161-B162)/B161)*100</f>
        <v>13.3561643835616</v>
      </c>
      <c r="I161" s="152">
        <f>((B161-C161)/B161)*100</f>
        <v>13.3561643835616</v>
      </c>
      <c r="J161" s="152">
        <f>((C161-B162)/C161)*100</f>
        <v>0</v>
      </c>
      <c r="K161" s="161"/>
      <c r="L161" s="54">
        <v>2.36758893280632</v>
      </c>
      <c r="M161" s="70" t="s">
        <v>29</v>
      </c>
      <c r="N161" s="54">
        <v>152.78</v>
      </c>
      <c r="O161" s="56">
        <f>N161/C161</f>
        <v>0.603873517786561</v>
      </c>
      <c r="P161" s="57">
        <f>(Boosters_And!B161*100)/Boosters_And!N161</f>
        <v>4.30463550910902</v>
      </c>
      <c r="Q161" s="57">
        <f>Boosters_And!B161/(C161+D161)</f>
        <v>1.09602309506386</v>
      </c>
      <c r="R161" s="57">
        <f>Boosters_And!N161/B161</f>
        <v>47.5222475756745</v>
      </c>
      <c r="S161" s="54">
        <v>7.40711462450592</v>
      </c>
      <c r="T161" s="58">
        <v>1.01581027667984</v>
      </c>
      <c r="U161" s="60">
        <v>1827.67588932806</v>
      </c>
      <c r="V161" s="59">
        <v>101255</v>
      </c>
    </row>
    <row r="162" spans="1:22" s="168" customFormat="1" ht="22.500000" customHeight="1">
      <c r="A162" s="34">
        <v>160</v>
      </c>
      <c r="B162" s="49">
        <v>253</v>
      </c>
      <c r="C162" s="49">
        <v>246</v>
      </c>
      <c r="D162" s="49">
        <v>76</v>
      </c>
      <c r="E162" s="49">
        <v>34</v>
      </c>
      <c r="F162" s="50">
        <f>(C162*100)/B162</f>
        <v>97.2332015810277</v>
      </c>
      <c r="G162" s="156">
        <f>(D162*100)/B162</f>
        <v>30.0395256916996</v>
      </c>
      <c r="H162" s="152">
        <f>((B162-B163)/B162)*100</f>
        <v>2.76679841897233</v>
      </c>
      <c r="I162" s="152">
        <f>((B162-C162)/B162)*100</f>
        <v>2.76679841897233</v>
      </c>
      <c r="J162" s="152">
        <f>((C162-B163)/C162)*100</f>
        <v>0</v>
      </c>
      <c r="K162" s="161"/>
      <c r="L162" s="54">
        <v>1.11336032388663</v>
      </c>
      <c r="M162" s="69" t="s">
        <v>28</v>
      </c>
      <c r="N162" s="54">
        <v>13.97</v>
      </c>
      <c r="O162" s="56">
        <f>N162/C162</f>
        <v>0.0567886178861789</v>
      </c>
      <c r="P162" s="57">
        <f>(Boosters_And!B162*100)/Boosters_And!N162</f>
        <v>4.22506658262546</v>
      </c>
      <c r="Q162" s="57">
        <f>Boosters_And!B162/(C162+D162)</f>
        <v>0.196191235108265</v>
      </c>
      <c r="R162" s="57">
        <f>Boosters_And!N162/B162</f>
        <v>5.90991717430343</v>
      </c>
      <c r="S162" s="54">
        <v>6.41295546558704</v>
      </c>
      <c r="T162" s="58">
        <v>0.508130081300813</v>
      </c>
      <c r="U162" s="60">
        <v>1964.01219512195</v>
      </c>
      <c r="V162" s="59">
        <v>111485</v>
      </c>
    </row>
    <row r="163" spans="1:22" s="168" customFormat="1" ht="22.500000" customHeight="1">
      <c r="A163" s="34">
        <v>161</v>
      </c>
      <c r="B163" s="49">
        <v>246</v>
      </c>
      <c r="C163" s="49">
        <v>246</v>
      </c>
      <c r="D163" s="49">
        <v>0</v>
      </c>
      <c r="E163" s="49">
        <v>0</v>
      </c>
      <c r="F163" s="50">
        <f>(C163*100)/B163</f>
        <v>100</v>
      </c>
      <c r="G163" s="156">
        <f>(D163*100)/B163</f>
        <v>0</v>
      </c>
      <c r="H163" s="152">
        <f>((B163-B164)/B163)*100</f>
        <v>0.40650406504065</v>
      </c>
      <c r="I163" s="152">
        <f>((B163-C163)/B163)*100</f>
        <v>0</v>
      </c>
      <c r="J163" s="152">
        <f>((C163-B164)/C163)*100</f>
        <v>0.40650406504065</v>
      </c>
      <c r="K163" s="161"/>
      <c r="L163" s="54">
        <v>1</v>
      </c>
      <c r="M163" s="55" t="s">
        <v>28</v>
      </c>
      <c r="N163" s="54">
        <v>2.99</v>
      </c>
      <c r="O163" s="56">
        <f>N163/C163</f>
        <v>0.0121544715447154</v>
      </c>
      <c r="P163" s="57">
        <f>(Boosters_And!B163*100)/Boosters_And!N163</f>
        <v>0</v>
      </c>
      <c r="Q163" s="57">
        <f>Boosters_And!B163/(C163+D163)</f>
        <v>0</v>
      </c>
      <c r="R163" s="57">
        <f>Boosters_And!N163/B163</f>
        <v>5.02439024390244</v>
      </c>
      <c r="S163" s="54">
        <v>9.82926829268292</v>
      </c>
      <c r="T163" s="58">
        <v>0.414634146341463</v>
      </c>
      <c r="U163" s="60">
        <v>2021.47154471545</v>
      </c>
      <c r="V163" s="59">
        <v>120330</v>
      </c>
    </row>
    <row r="164" spans="1:22" s="168" customFormat="1" ht="22.500000" customHeight="1">
      <c r="A164" s="34">
        <v>162</v>
      </c>
      <c r="B164" s="49">
        <v>245</v>
      </c>
      <c r="C164" s="49">
        <v>245</v>
      </c>
      <c r="D164" s="49">
        <v>0</v>
      </c>
      <c r="E164" s="49">
        <v>0</v>
      </c>
      <c r="F164" s="50">
        <f>(C164*100)/B164</f>
        <v>100</v>
      </c>
      <c r="G164" s="156">
        <f>(D164*100)/B164</f>
        <v>0</v>
      </c>
      <c r="H164" s="152">
        <f>((B164-B165)/B164)*100</f>
        <v>-1.22448979591837</v>
      </c>
      <c r="I164" s="152">
        <f>((B164-C164)/B164)*100</f>
        <v>0</v>
      </c>
      <c r="J164" s="152">
        <f>((C164-B165)/C164)*100</f>
        <v>-1.22448979591837</v>
      </c>
      <c r="K164" s="161"/>
      <c r="L164" s="54">
        <v>1</v>
      </c>
      <c r="M164" s="69" t="s">
        <v>28</v>
      </c>
      <c r="N164" s="54">
        <v>7.96</v>
      </c>
      <c r="O164" s="56">
        <f>N164/C164</f>
        <v>0.0324897959183674</v>
      </c>
      <c r="P164" s="57">
        <f>(Boosters_And!B164*100)/Boosters_And!N164</f>
        <v>0.0816326530612245</v>
      </c>
      <c r="Q164" s="57">
        <f>Boosters_And!B164/(C164+D164)</f>
        <v>0.00408163265306123</v>
      </c>
      <c r="R164" s="57">
        <f>Boosters_And!N164/B164</f>
        <v>5</v>
      </c>
      <c r="S164" s="54">
        <v>4.14285714285714</v>
      </c>
      <c r="T164" s="58">
        <v>0.387755102040816</v>
      </c>
      <c r="U164" s="60">
        <v>2097.72244897959</v>
      </c>
      <c r="V164" s="59">
        <v>127540</v>
      </c>
    </row>
    <row r="165" spans="1:22" s="168" customFormat="1" ht="22.500000" customHeight="1">
      <c r="A165" s="34">
        <v>163</v>
      </c>
      <c r="B165" s="49">
        <v>248</v>
      </c>
      <c r="C165" s="49">
        <v>246</v>
      </c>
      <c r="D165" s="49">
        <v>140</v>
      </c>
      <c r="E165" s="49">
        <v>54</v>
      </c>
      <c r="F165" s="50">
        <f>(C165*100)/B165</f>
        <v>99.1935483870968</v>
      </c>
      <c r="G165" s="156">
        <f>(D165*100)/B165</f>
        <v>56.4516129032258</v>
      </c>
      <c r="H165" s="152">
        <f>((B165-B166)/B165)*100</f>
        <v>0.806451612903226</v>
      </c>
      <c r="I165" s="152">
        <f>((B165-C165)/B165)*100</f>
        <v>0.806451612903226</v>
      </c>
      <c r="J165" s="152">
        <f>((C165-B166)/C165)*100</f>
        <v>0</v>
      </c>
      <c r="K165" s="161"/>
      <c r="L165" s="54">
        <v>1.14227642276422</v>
      </c>
      <c r="M165" s="55" t="s">
        <v>28</v>
      </c>
      <c r="N165" s="54">
        <v>4.99</v>
      </c>
      <c r="O165" s="56">
        <f>N165/C165</f>
        <v>0.0202845528455285</v>
      </c>
      <c r="P165" s="57">
        <f>(Boosters_And!B165*100)/Boosters_And!N165</f>
        <v>5.46092356909708</v>
      </c>
      <c r="Q165" s="57">
        <f>Boosters_And!B165/(C165+D165)</f>
        <v>0.320453802580079</v>
      </c>
      <c r="R165" s="57">
        <f>Boosters_And!N165/B165</f>
        <v>9.13345209058117</v>
      </c>
      <c r="S165" s="54">
        <v>4.51626016260162</v>
      </c>
      <c r="T165" s="58">
        <v>0.613821138211382</v>
      </c>
      <c r="U165" s="60">
        <v>2022.56910569106</v>
      </c>
      <c r="V165" s="59">
        <v>117035</v>
      </c>
    </row>
    <row r="166" spans="1:22" s="168" customFormat="1" ht="22.500000" customHeight="1">
      <c r="A166" s="34">
        <v>164</v>
      </c>
      <c r="B166" s="49">
        <v>246</v>
      </c>
      <c r="C166" s="49">
        <v>243</v>
      </c>
      <c r="D166" s="49">
        <v>110</v>
      </c>
      <c r="E166" s="49">
        <v>46</v>
      </c>
      <c r="F166" s="50">
        <f>(C166*100)/B166</f>
        <v>98.7804878048781</v>
      </c>
      <c r="G166" s="156">
        <f>(D166*100)/B166</f>
        <v>44.7154471544716</v>
      </c>
      <c r="H166" s="152">
        <f>((B166-B167)/B166)*100</f>
        <v>-1.21951219512195</v>
      </c>
      <c r="I166" s="152">
        <f>((B166-C166)/B166)*100</f>
        <v>1.21951219512195</v>
      </c>
      <c r="J166" s="152">
        <f>((C166-B167)/C166)*100</f>
        <v>-2.46913580246914</v>
      </c>
      <c r="K166" s="161"/>
      <c r="L166" s="54">
        <v>1.17695473251028</v>
      </c>
      <c r="M166" s="69" t="s">
        <v>28</v>
      </c>
      <c r="N166" s="54">
        <v>25.98</v>
      </c>
      <c r="O166" s="56">
        <f>N166/C166</f>
        <v>0.106913580246914</v>
      </c>
      <c r="P166" s="57">
        <f>(Boosters_And!B166*100)/Boosters_And!N166</f>
        <v>3.93425979710025</v>
      </c>
      <c r="Q166" s="57">
        <f>Boosters_And!B166/(C166+D166)</f>
        <v>0.202855383725912</v>
      </c>
      <c r="R166" s="57">
        <f>Boosters_And!N166/B166</f>
        <v>7.39883089844301</v>
      </c>
      <c r="S166" s="54">
        <v>5.04938271604938</v>
      </c>
      <c r="T166" s="58">
        <v>0.576131687242798</v>
      </c>
      <c r="U166" s="60">
        <v>2094.329218107</v>
      </c>
      <c r="V166" s="59">
        <v>107885</v>
      </c>
    </row>
    <row r="167" spans="1:22" s="168" customFormat="1" ht="22.500000" customHeight="1">
      <c r="A167" s="34">
        <v>165</v>
      </c>
      <c r="B167" s="49">
        <v>249</v>
      </c>
      <c r="C167" s="49">
        <v>246</v>
      </c>
      <c r="D167" s="49">
        <v>145</v>
      </c>
      <c r="E167" s="49">
        <v>64</v>
      </c>
      <c r="F167" s="50">
        <f>(C167*100)/B167</f>
        <v>98.7951807228916</v>
      </c>
      <c r="G167" s="156">
        <f>(D167*100)/B167</f>
        <v>58.2329317269076</v>
      </c>
      <c r="H167" s="152">
        <f>((B167-B168)/B167)*100</f>
        <v>0.401606425702811</v>
      </c>
      <c r="I167" s="152">
        <f>((B167-C167)/B167)*100</f>
        <v>1.20481927710843</v>
      </c>
      <c r="J167" s="152">
        <f>((C167-B168)/C167)*100</f>
        <v>-0.813008130081301</v>
      </c>
      <c r="K167" s="161"/>
      <c r="L167" s="54">
        <v>1.2560975609756</v>
      </c>
      <c r="M167" s="55" t="s">
        <v>28</v>
      </c>
      <c r="N167" s="54">
        <v>6.98</v>
      </c>
      <c r="O167" s="56">
        <f>N167/C167</f>
        <v>0.0283739837398374</v>
      </c>
      <c r="P167" s="57">
        <f>(Boosters_And!B167*100)/Boosters_And!N167</f>
        <v>8.42690930080448</v>
      </c>
      <c r="Q167" s="57">
        <f>Boosters_And!B167/(C167+D167)</f>
        <v>0.460799797259323</v>
      </c>
      <c r="R167" s="57">
        <f>Boosters_And!N167/B167</f>
        <v>8.58660272681159</v>
      </c>
      <c r="S167" s="54">
        <v>11.0691056910569</v>
      </c>
      <c r="T167" s="58">
        <v>0.682926829268293</v>
      </c>
      <c r="U167" s="60">
        <v>2070.19105691057</v>
      </c>
      <c r="V167" s="59">
        <v>67940</v>
      </c>
    </row>
    <row r="168" spans="1:22" s="168" customFormat="1" ht="22.500000" customHeight="1">
      <c r="A168" s="34">
        <v>166</v>
      </c>
      <c r="B168" s="49">
        <v>248</v>
      </c>
      <c r="C168" s="49">
        <v>244</v>
      </c>
      <c r="D168" s="49">
        <v>150</v>
      </c>
      <c r="E168" s="49">
        <v>35</v>
      </c>
      <c r="F168" s="50">
        <f>(C168*100)/B168</f>
        <v>98.3870967741936</v>
      </c>
      <c r="G168" s="156">
        <f>(D168*100)/B168</f>
        <v>60.4838709677419</v>
      </c>
      <c r="H168" s="152">
        <f>((B168-B169)/B168)*100</f>
        <v>1.20967741935484</v>
      </c>
      <c r="I168" s="152">
        <f>((B168-C168)/B168)*100</f>
        <v>1.61290322580645</v>
      </c>
      <c r="J168" s="152">
        <f>((C168-B169)/C168)*100</f>
        <v>-0.409836065573771</v>
      </c>
      <c r="K168" s="161"/>
      <c r="L168" s="54">
        <v>1.04918032786885</v>
      </c>
      <c r="M168" s="69" t="s">
        <v>28</v>
      </c>
      <c r="N168" s="54">
        <v>14.97</v>
      </c>
      <c r="O168" s="56">
        <f>N168/C168</f>
        <v>0.0613524590163935</v>
      </c>
      <c r="P168" s="57">
        <f>(Boosters_And!B168*100)/Boosters_And!N168</f>
        <v>4.87279507644652</v>
      </c>
      <c r="Q168" s="57">
        <f>Boosters_And!B168/(C168+D168)</f>
        <v>0.478472492855802</v>
      </c>
      <c r="R168" s="57">
        <f>Boosters_And!N168/B168</f>
        <v>15.5999558334252</v>
      </c>
      <c r="S168" s="54">
        <v>7.01639344262295</v>
      </c>
      <c r="T168" s="58">
        <v>0.663934426229508</v>
      </c>
      <c r="U168" s="60">
        <v>2023.86065573771</v>
      </c>
      <c r="V168" s="59">
        <v>60340</v>
      </c>
    </row>
    <row r="169" spans="1:22" s="168" customFormat="1" ht="22.500000" customHeight="1">
      <c r="A169" s="34">
        <v>167</v>
      </c>
      <c r="B169" s="49">
        <v>245</v>
      </c>
      <c r="C169" s="49">
        <v>234</v>
      </c>
      <c r="D169" s="49">
        <v>201</v>
      </c>
      <c r="E169" s="49">
        <v>74</v>
      </c>
      <c r="F169" s="50">
        <f>(C169*100)/B169</f>
        <v>95.5102040816327</v>
      </c>
      <c r="G169" s="156">
        <f>(D169*100)/B169</f>
        <v>82.0408163265306</v>
      </c>
      <c r="H169" s="152">
        <f>((B169-B170)/B169)*100</f>
        <v>4.48979591836735</v>
      </c>
      <c r="I169" s="152">
        <f>((B169-C169)/B169)*100</f>
        <v>4.48979591836735</v>
      </c>
      <c r="J169" s="152">
        <f>((C169-B170)/C169)*100</f>
        <v>0</v>
      </c>
      <c r="K169" s="161"/>
      <c r="L169" s="54">
        <v>1.47435897435897</v>
      </c>
      <c r="M169" s="55" t="s">
        <v>28</v>
      </c>
      <c r="N169" s="54">
        <v>0</v>
      </c>
      <c r="O169" s="56">
        <f>N169/C169</f>
        <v>0</v>
      </c>
      <c r="P169" s="57">
        <f>(Boosters_And!B169*100)/Boosters_And!N169</f>
        <v>2.00152376823015</v>
      </c>
      <c r="Q169" s="57">
        <f>Boosters_And!B169/(C169+D169)</f>
        <v>0.142526765571343</v>
      </c>
      <c r="R169" s="57">
        <f>Boosters_And!N169/B169</f>
        <v>12.6432536372245</v>
      </c>
      <c r="S169" s="54">
        <v>6.52991452991453</v>
      </c>
      <c r="T169" s="58">
        <v>0.782051282051282</v>
      </c>
      <c r="U169" s="60">
        <v>2038.12820512821</v>
      </c>
      <c r="V169" s="59">
        <v>60510</v>
      </c>
    </row>
    <row r="170" spans="1:22" s="168" customFormat="1" ht="22.500000" customHeight="1">
      <c r="A170" s="34">
        <v>168</v>
      </c>
      <c r="B170" s="49">
        <v>234</v>
      </c>
      <c r="C170" s="49">
        <v>230</v>
      </c>
      <c r="D170" s="49">
        <v>111</v>
      </c>
      <c r="E170" s="49">
        <v>27</v>
      </c>
      <c r="F170" s="50">
        <f>(C170*100)/B170</f>
        <v>98.2905982905983</v>
      </c>
      <c r="G170" s="156">
        <f>(D170*100)/B170</f>
        <v>47.4358974358974</v>
      </c>
      <c r="H170" s="152">
        <f>((B170-B171)/B170)*100</f>
        <v>-4.7008547008547</v>
      </c>
      <c r="I170" s="152">
        <f>((B170-C170)/B170)*100</f>
        <v>1.70940170940171</v>
      </c>
      <c r="J170" s="152">
        <f>((C170-B171)/C170)*100</f>
        <v>-6.52173913043478</v>
      </c>
      <c r="K170" s="161"/>
      <c r="L170" s="54">
        <v>1.08695652173913</v>
      </c>
      <c r="M170" s="69" t="s">
        <v>28</v>
      </c>
      <c r="N170" s="54">
        <v>13.97</v>
      </c>
      <c r="O170" s="56">
        <f>N170/C170</f>
        <v>0.0607391304347826</v>
      </c>
      <c r="P170" s="57">
        <f>(Boosters_And!B170*100)/Boosters_And!N170</f>
        <v>3.99770258747942</v>
      </c>
      <c r="Q170" s="57">
        <f>Boosters_And!B170/(C170+D170)</f>
        <v>0.19635179718896</v>
      </c>
      <c r="R170" s="57">
        <f>Boosters_And!N170/B170</f>
        <v>7.15752578082299</v>
      </c>
      <c r="S170" s="54">
        <v>5.87391304347826</v>
      </c>
      <c r="T170" s="58">
        <v>0.591304347826087</v>
      </c>
      <c r="U170" s="60">
        <v>2123.8347826087</v>
      </c>
      <c r="V170" s="59">
        <v>55435</v>
      </c>
    </row>
    <row r="171" spans="1:22" s="168" customFormat="1" ht="22.500000" customHeight="1">
      <c r="A171" s="34">
        <v>169</v>
      </c>
      <c r="B171" s="49">
        <v>245</v>
      </c>
      <c r="C171" s="49">
        <v>222</v>
      </c>
      <c r="D171" s="49">
        <v>236</v>
      </c>
      <c r="E171" s="49">
        <v>114</v>
      </c>
      <c r="F171" s="50">
        <f>(C171*100)/B171</f>
        <v>90.6122448979592</v>
      </c>
      <c r="G171" s="156">
        <f>(D171*100)/B171</f>
        <v>96.3265306122449</v>
      </c>
      <c r="H171" s="151">
        <f>((B171-B172)/B171)*100</f>
        <v>7.34693877551021</v>
      </c>
      <c r="I171" s="152">
        <f>((B171-C171)/B171)*100</f>
        <v>9.38775510204082</v>
      </c>
      <c r="J171" s="152">
        <f>((C171-B172)/C171)*100</f>
        <v>-2.25225225225225</v>
      </c>
      <c r="K171" s="161"/>
      <c r="L171" s="54">
        <v>1.89189189189189</v>
      </c>
      <c r="M171" s="70" t="s">
        <v>29</v>
      </c>
      <c r="N171" s="54">
        <v>56.16</v>
      </c>
      <c r="O171" s="56">
        <f>N171/C171</f>
        <v>0.252972972972973</v>
      </c>
      <c r="P171" s="57">
        <f>(Boosters_And!B171*100)/Boosters_And!N171</f>
        <v>4.95675812411794</v>
      </c>
      <c r="Q171" s="57">
        <f>Boosters_And!B171/(C171+D171)</f>
        <v>0.691368658853747</v>
      </c>
      <c r="R171" s="57">
        <f>Boosters_And!N171/B171</f>
        <v>26.0742217546172</v>
      </c>
      <c r="S171" s="54">
        <v>5.39189189189189</v>
      </c>
      <c r="T171" s="58">
        <v>0.959459459459459</v>
      </c>
      <c r="U171" s="60">
        <v>2105.42792792793</v>
      </c>
      <c r="V171" s="59">
        <v>40195</v>
      </c>
    </row>
    <row r="172" spans="1:22" s="168" customFormat="1" ht="22.500000" customHeight="1">
      <c r="A172" s="34">
        <v>170</v>
      </c>
      <c r="B172" s="49">
        <v>227</v>
      </c>
      <c r="C172" s="49">
        <v>225</v>
      </c>
      <c r="D172" s="49">
        <v>114</v>
      </c>
      <c r="E172" s="49">
        <v>52</v>
      </c>
      <c r="F172" s="50">
        <f>(C172*100)/B172</f>
        <v>99.1189427312775</v>
      </c>
      <c r="G172" s="156">
        <f>(D172*100)/B172</f>
        <v>50.2202643171806</v>
      </c>
      <c r="H172" s="152">
        <f>((B172-B173)/B172)*100</f>
        <v>0</v>
      </c>
      <c r="I172" s="152">
        <f>((B172-C172)/B172)*100</f>
        <v>0.881057268722467</v>
      </c>
      <c r="J172" s="152">
        <f>((C172-B173)/C172)*100</f>
        <v>-0.888888888888889</v>
      </c>
      <c r="K172" s="161"/>
      <c r="L172" s="54">
        <v>1.22222222222222</v>
      </c>
      <c r="M172" s="69" t="s">
        <v>28</v>
      </c>
      <c r="N172" s="54">
        <v>12.26</v>
      </c>
      <c r="O172" s="56">
        <f>N172/C172</f>
        <v>0.0544888888888889</v>
      </c>
      <c r="P172" s="57">
        <f>(Boosters_And!B172*100)/Boosters_And!N172</f>
        <v>6.17055458857881</v>
      </c>
      <c r="Q172" s="57">
        <f>Boosters_And!B172/(C172+D172)</f>
        <v>0.35731427889763</v>
      </c>
      <c r="R172" s="57">
        <f>Boosters_And!N172/B172</f>
        <v>8.64768803381637</v>
      </c>
      <c r="S172" s="54">
        <v>7.49333333333333</v>
      </c>
      <c r="T172" s="58">
        <v>0.622222222222222</v>
      </c>
      <c r="U172" s="60">
        <v>2186.17777777778</v>
      </c>
      <c r="V172" s="59">
        <v>39215</v>
      </c>
    </row>
    <row r="173" spans="1:22" s="168" customFormat="1" ht="22.500000" customHeight="1">
      <c r="A173" s="34">
        <v>171</v>
      </c>
      <c r="B173" s="49">
        <v>227</v>
      </c>
      <c r="C173" s="49">
        <v>225</v>
      </c>
      <c r="D173" s="49">
        <v>151</v>
      </c>
      <c r="E173" s="49">
        <v>65</v>
      </c>
      <c r="F173" s="50">
        <f>(C173*100)/B173</f>
        <v>99.1189427312775</v>
      </c>
      <c r="G173" s="156">
        <f>(D173*100)/B173</f>
        <v>66.5198237885463</v>
      </c>
      <c r="H173" s="152">
        <f>((B173-B174)/B173)*100</f>
        <v>-0.881057268722467</v>
      </c>
      <c r="I173" s="152">
        <f>((B173-C173)/B173)*100</f>
        <v>0.881057268722467</v>
      </c>
      <c r="J173" s="152">
        <f>((C173-B174)/C173)*100</f>
        <v>-1.77777777777778</v>
      </c>
      <c r="K173" s="161"/>
      <c r="L173" s="54">
        <v>1.32444444444444</v>
      </c>
      <c r="M173" s="55" t="s">
        <v>28</v>
      </c>
      <c r="N173" s="54">
        <v>8.97</v>
      </c>
      <c r="O173" s="56">
        <f>N173/C173</f>
        <v>0.0398666666666667</v>
      </c>
      <c r="P173" s="57">
        <f>(Boosters_And!B173*100)/Boosters_And!N173</f>
        <v>1.49054373378135</v>
      </c>
      <c r="Q173" s="57">
        <f>Boosters_And!B173/(C173+D173)</f>
        <v>0.114591383947334</v>
      </c>
      <c r="R173" s="57">
        <f>Boosters_And!N173/B173</f>
        <v>12.7341285335411</v>
      </c>
      <c r="S173" s="54">
        <v>6.79555555555555</v>
      </c>
      <c r="T173" s="58">
        <v>0.622222222222222</v>
      </c>
      <c r="U173" s="60">
        <v>2189.91111111111</v>
      </c>
      <c r="V173" s="59">
        <v>41100</v>
      </c>
    </row>
    <row r="174" spans="1:22" s="168" customFormat="1" ht="22.500000" customHeight="1">
      <c r="A174" s="34">
        <v>172</v>
      </c>
      <c r="B174" s="49">
        <v>229</v>
      </c>
      <c r="C174" s="49">
        <v>223</v>
      </c>
      <c r="D174" s="49">
        <v>224</v>
      </c>
      <c r="E174" s="49">
        <v>70</v>
      </c>
      <c r="F174" s="50">
        <f>(C174*100)/B174</f>
        <v>97.3799126637555</v>
      </c>
      <c r="G174" s="156">
        <f>(D174*100)/B174</f>
        <v>97.8165938864629</v>
      </c>
      <c r="H174" s="152">
        <f>((B174-B175)/B174)*100</f>
        <v>1.74672489082969</v>
      </c>
      <c r="I174" s="152">
        <f>((B174-C174)/B174)*100</f>
        <v>2.62008733624454</v>
      </c>
      <c r="J174" s="152">
        <f>((C174-B175)/C174)*100</f>
        <v>-0.896860986547085</v>
      </c>
      <c r="K174" s="161"/>
      <c r="L174" s="54">
        <v>1.56696428571428</v>
      </c>
      <c r="M174" s="69" t="s">
        <v>28</v>
      </c>
      <c r="N174" s="54">
        <v>28.94</v>
      </c>
      <c r="O174" s="56">
        <f>N174/C174</f>
        <v>0.129775784753363</v>
      </c>
      <c r="P174" s="57">
        <f>(Boosters_And!B174*100)/Boosters_And!N174</f>
        <v>2.20921698377145</v>
      </c>
      <c r="Q174" s="57">
        <f>Boosters_And!B174/(C174+D174)</f>
        <v>0.158931371824682</v>
      </c>
      <c r="R174" s="57">
        <f>Boosters_And!N174/B174</f>
        <v>14.0424633656633</v>
      </c>
      <c r="S174" s="54">
        <v>5.75</v>
      </c>
      <c r="T174" s="58">
        <v>0.919282511210762</v>
      </c>
      <c r="U174" s="60">
        <v>2199.2600896861</v>
      </c>
      <c r="V174" s="59">
        <v>37065</v>
      </c>
    </row>
    <row r="175" spans="1:22" s="168" customFormat="1" ht="22.500000" customHeight="1">
      <c r="A175" s="34">
        <v>173</v>
      </c>
      <c r="B175" s="49">
        <v>225</v>
      </c>
      <c r="C175" s="49">
        <v>212</v>
      </c>
      <c r="D175" s="49">
        <v>172</v>
      </c>
      <c r="E175" s="49">
        <v>57</v>
      </c>
      <c r="F175" s="50">
        <f>(C175*100)/B175</f>
        <v>94.2222222222222</v>
      </c>
      <c r="G175" s="156">
        <f>(D175*100)/B175</f>
        <v>76.4444444444444</v>
      </c>
      <c r="H175" s="152">
        <f>((B175-B176)/B175)*100</f>
        <v>4.88888888888889</v>
      </c>
      <c r="I175" s="152">
        <f>((B175-C175)/B175)*100</f>
        <v>5.77777777777778</v>
      </c>
      <c r="J175" s="152">
        <f>((C175-B176)/C175)*100</f>
        <v>-0.943396226415094</v>
      </c>
      <c r="K175" s="161"/>
      <c r="L175" s="54">
        <v>1.4225352112676</v>
      </c>
      <c r="M175" s="55" t="s">
        <v>28</v>
      </c>
      <c r="N175" s="54">
        <v>16.26</v>
      </c>
      <c r="O175" s="56">
        <f>N175/C175</f>
        <v>0.0766981132075472</v>
      </c>
      <c r="P175" s="57">
        <f>(Boosters_And!B175*100)/Boosters_And!N175</f>
        <v>4.04005729397961</v>
      </c>
      <c r="Q175" s="57">
        <f>Boosters_And!B175/(C175+D175)</f>
        <v>0.285210242485895</v>
      </c>
      <c r="R175" s="57">
        <f>Boosters_And!N175/B175</f>
        <v>12.0483146258334</v>
      </c>
      <c r="S175" s="54">
        <v>7.59624413145539</v>
      </c>
      <c r="T175" s="58">
        <v>0.830188679245283</v>
      </c>
      <c r="U175" s="60">
        <v>2345.14150943396</v>
      </c>
      <c r="V175" s="59">
        <v>37355</v>
      </c>
    </row>
    <row r="176" spans="1:22" s="168" customFormat="1" ht="22.500000" customHeight="1">
      <c r="A176" s="34">
        <v>174</v>
      </c>
      <c r="B176" s="49">
        <v>214</v>
      </c>
      <c r="C176" s="49">
        <v>213</v>
      </c>
      <c r="D176" s="49">
        <v>73</v>
      </c>
      <c r="E176" s="49">
        <v>28</v>
      </c>
      <c r="F176" s="50">
        <f>(C176*100)/B176</f>
        <v>99.5327102803738</v>
      </c>
      <c r="G176" s="156">
        <f>(D176*100)/B176</f>
        <v>34.1121495327103</v>
      </c>
      <c r="H176" s="152">
        <f>((B176-B177)/B176)*100</f>
        <v>0</v>
      </c>
      <c r="I176" s="152">
        <f>((B176-C176)/B176)*100</f>
        <v>0.467289719626168</v>
      </c>
      <c r="J176" s="152">
        <f>((C176-B177)/C176)*100</f>
        <v>-0.469483568075117</v>
      </c>
      <c r="K176" s="161"/>
      <c r="L176" s="54">
        <v>1.07943925233644</v>
      </c>
      <c r="M176" s="69" t="s">
        <v>28</v>
      </c>
      <c r="N176" s="54">
        <v>0</v>
      </c>
      <c r="O176" s="56">
        <f>N176/C176</f>
        <v>0</v>
      </c>
      <c r="P176" s="57">
        <f>(Boosters_And!B176*100)/Boosters_And!N176</f>
        <v>4.54412319514084</v>
      </c>
      <c r="Q176" s="57">
        <f>Boosters_And!B176/(C176+D176)</f>
        <v>0.304041828116907</v>
      </c>
      <c r="R176" s="57">
        <f>Boosters_And!N176/B176</f>
        <v>8.94201713973082</v>
      </c>
      <c r="S176" s="54">
        <v>4.42990654205607</v>
      </c>
      <c r="T176" s="58">
        <v>0.563380281690141</v>
      </c>
      <c r="U176" s="60">
        <v>2346.83098591549</v>
      </c>
      <c r="V176" s="59">
        <v>42885</v>
      </c>
    </row>
    <row r="177" spans="1:22" s="168" customFormat="1" ht="22.500000" customHeight="1">
      <c r="A177" s="34">
        <v>175</v>
      </c>
      <c r="B177" s="49">
        <v>214</v>
      </c>
      <c r="C177" s="49">
        <v>205</v>
      </c>
      <c r="D177" s="49">
        <v>203</v>
      </c>
      <c r="E177" s="49">
        <v>85</v>
      </c>
      <c r="F177" s="50">
        <f>(C177*100)/B177</f>
        <v>95.7943925233645</v>
      </c>
      <c r="G177" s="156">
        <f>(D177*100)/B177</f>
        <v>94.8598130841122</v>
      </c>
      <c r="H177" s="152">
        <f>((B177-B178)/B177)*100</f>
        <v>-1.4018691588785</v>
      </c>
      <c r="I177" s="152">
        <f>((B177-C177)/B177)*100</f>
        <v>4.20560747663551</v>
      </c>
      <c r="J177" s="152">
        <f>((C177-B178)/C177)*100</f>
        <v>-5.85365853658537</v>
      </c>
      <c r="K177" s="161"/>
      <c r="L177" s="54">
        <v>1.62135922330097</v>
      </c>
      <c r="M177" s="70" t="s">
        <v>29</v>
      </c>
      <c r="N177" s="54">
        <v>38.8</v>
      </c>
      <c r="O177" s="56">
        <f>N177/C177</f>
        <v>0.189268292682927</v>
      </c>
      <c r="P177" s="57">
        <f>(Boosters_And!B177*100)/Boosters_And!N177</f>
        <v>6.63231210899248</v>
      </c>
      <c r="Q177" s="57">
        <f>Boosters_And!B177/(C177+D177)</f>
        <v>0.676885521623852</v>
      </c>
      <c r="R177" s="57">
        <f>Boosters_And!N177/B177</f>
        <v>19.4579310037932</v>
      </c>
      <c r="S177" s="54">
        <v>7.32038834951456</v>
      </c>
      <c r="T177" s="58">
        <v>0.931707317073171</v>
      </c>
      <c r="U177" s="60">
        <v>2373.50731707317</v>
      </c>
      <c r="V177" s="59">
        <v>34480</v>
      </c>
    </row>
    <row r="178" spans="1:22" s="168" customFormat="1" ht="22.500000" customHeight="1">
      <c r="A178" s="34">
        <v>176</v>
      </c>
      <c r="B178" s="49">
        <v>217</v>
      </c>
      <c r="C178" s="49">
        <v>203</v>
      </c>
      <c r="D178" s="49">
        <v>156</v>
      </c>
      <c r="E178" s="49">
        <v>93</v>
      </c>
      <c r="F178" s="50">
        <f>(C178*100)/B178</f>
        <v>93.5483870967742</v>
      </c>
      <c r="G178" s="156">
        <f>(D178*100)/B178</f>
        <v>71.889400921659</v>
      </c>
      <c r="H178" s="152">
        <f>((B178-B179)/B178)*100</f>
        <v>-1.38248847926267</v>
      </c>
      <c r="I178" s="152">
        <f>((B178-C178)/B178)*100</f>
        <v>6.45161290322581</v>
      </c>
      <c r="J178" s="152">
        <f>((C178-B179)/C178)*100</f>
        <v>-8.3743842364532</v>
      </c>
      <c r="K178" s="161"/>
      <c r="L178" s="54">
        <v>1.52941176470588</v>
      </c>
      <c r="M178" s="68" t="s">
        <v>29</v>
      </c>
      <c r="N178" s="54">
        <v>40.67</v>
      </c>
      <c r="O178" s="56">
        <f>N178/C178</f>
        <v>0.200344827586207</v>
      </c>
      <c r="P178" s="57">
        <f>(Boosters_And!B178*100)/Boosters_And!N178</f>
        <v>9.3571703049197</v>
      </c>
      <c r="Q178" s="57">
        <f>Boosters_And!B178/(C178+D178)</f>
        <v>0.933013030526758</v>
      </c>
      <c r="R178" s="57">
        <f>Boosters_And!N178/B178</f>
        <v>16.4959712106091</v>
      </c>
      <c r="S178" s="54">
        <v>8.6078431372549</v>
      </c>
      <c r="T178" s="58">
        <v>0.842364532019704</v>
      </c>
      <c r="U178" s="60">
        <v>2408.88669950739</v>
      </c>
      <c r="V178" s="59">
        <v>46015</v>
      </c>
    </row>
    <row r="179" spans="1:22" s="168" customFormat="1" ht="22.500000" customHeight="1">
      <c r="A179" s="34">
        <v>177</v>
      </c>
      <c r="B179" s="49">
        <v>220</v>
      </c>
      <c r="C179" s="49">
        <v>196</v>
      </c>
      <c r="D179" s="49">
        <v>219</v>
      </c>
      <c r="E179" s="49">
        <v>121</v>
      </c>
      <c r="F179" s="50">
        <f>(C179*100)/B179</f>
        <v>89.0909090909091</v>
      </c>
      <c r="G179" s="156">
        <f>(D179*100)/B179</f>
        <v>99.5454545454546</v>
      </c>
      <c r="H179" s="152">
        <f>((B179-B180)/B179)*100</f>
        <v>9.09090909090909</v>
      </c>
      <c r="I179" s="152">
        <f>((B179-C179)/B179)*100</f>
        <v>10.9090909090909</v>
      </c>
      <c r="J179" s="152">
        <f>((C179-B180)/C179)*100</f>
        <v>-2.04081632653061</v>
      </c>
      <c r="K179" s="161"/>
      <c r="L179" s="54">
        <v>1.83673469387755</v>
      </c>
      <c r="M179" s="55" t="s">
        <v>28</v>
      </c>
      <c r="N179" s="54">
        <v>55.87</v>
      </c>
      <c r="O179" s="56">
        <f>N179/C179</f>
        <v>0.285051020408163</v>
      </c>
      <c r="P179" s="57">
        <f>(Boosters_And!B179*100)/Boosters_And!N179</f>
        <v>2.71050065529138</v>
      </c>
      <c r="Q179" s="57">
        <f>Boosters_And!B179/(C179+D179)</f>
        <v>0.458345373448426</v>
      </c>
      <c r="R179" s="57">
        <f>Boosters_And!N179/B179</f>
        <v>31.8983890920947</v>
      </c>
      <c r="S179" s="54">
        <v>12.1122448979591</v>
      </c>
      <c r="T179" s="58">
        <v>1.05102040816327</v>
      </c>
      <c r="U179" s="60">
        <v>2453.26020408163</v>
      </c>
      <c r="V179" s="59">
        <v>29605</v>
      </c>
    </row>
    <row r="180" spans="1:22" s="168" customFormat="1" ht="22.500000" customHeight="1">
      <c r="A180" s="34">
        <v>178</v>
      </c>
      <c r="B180" s="49">
        <v>200</v>
      </c>
      <c r="C180" s="49">
        <v>188</v>
      </c>
      <c r="D180" s="49">
        <v>141</v>
      </c>
      <c r="E180" s="49">
        <v>61</v>
      </c>
      <c r="F180" s="50">
        <f>(C180*100)/B180</f>
        <v>94</v>
      </c>
      <c r="G180" s="156">
        <f>(D180*100)/B180</f>
        <v>70.5</v>
      </c>
      <c r="H180" s="152">
        <f>((B180-B181)/B180)*100</f>
        <v>3</v>
      </c>
      <c r="I180" s="152">
        <f>((B180-C180)/B180)*100</f>
        <v>6</v>
      </c>
      <c r="J180" s="152">
        <f>((C180-B181)/C180)*100</f>
        <v>-3.19148936170213</v>
      </c>
      <c r="K180" s="161"/>
      <c r="L180" s="54">
        <v>1.14893617021276</v>
      </c>
      <c r="M180" s="69" t="s">
        <v>28</v>
      </c>
      <c r="N180" s="54">
        <v>31.94</v>
      </c>
      <c r="O180" s="56">
        <f>N180/C180</f>
        <v>0.169893617021277</v>
      </c>
      <c r="P180" s="57">
        <f>(Boosters_And!B180*100)/Boosters_And!N180</f>
        <v>6.97369918577418</v>
      </c>
      <c r="Q180" s="57">
        <f>Boosters_And!B180/(C180+D180)</f>
        <v>0.702776078969899</v>
      </c>
      <c r="R180" s="57">
        <f>Boosters_And!N180/B180</f>
        <v>16.5775239096027</v>
      </c>
      <c r="S180" s="54">
        <v>10.5478723404255</v>
      </c>
      <c r="T180" s="58">
        <v>0.771276595744681</v>
      </c>
      <c r="U180" s="60">
        <v>2705.60638297872</v>
      </c>
      <c r="V180" s="59">
        <v>28460</v>
      </c>
    </row>
    <row r="181" spans="1:22" s="168" customFormat="1" ht="22.500000" customHeight="1">
      <c r="A181" s="34">
        <v>179</v>
      </c>
      <c r="B181" s="49">
        <v>194</v>
      </c>
      <c r="C181" s="49">
        <v>185</v>
      </c>
      <c r="D181" s="49">
        <v>168</v>
      </c>
      <c r="E181" s="49">
        <v>61</v>
      </c>
      <c r="F181" s="50">
        <f>(C181*100)/B181</f>
        <v>95.360824742268</v>
      </c>
      <c r="G181" s="156">
        <f>(D181*100)/B181</f>
        <v>86.5979381443299</v>
      </c>
      <c r="H181" s="152">
        <f>((B181-B182)/B181)*100</f>
        <v>2.06185567010309</v>
      </c>
      <c r="I181" s="152">
        <f>((B181-C181)/B181)*100</f>
        <v>4.63917525773196</v>
      </c>
      <c r="J181" s="152">
        <f>((C181-B182)/C181)*100</f>
        <v>-2.7027027027027</v>
      </c>
      <c r="K181" s="161"/>
      <c r="L181" s="54">
        <v>1.19459459459459</v>
      </c>
      <c r="M181" s="55" t="s">
        <v>28</v>
      </c>
      <c r="N181" s="54">
        <v>31.43</v>
      </c>
      <c r="O181" s="56">
        <f>N181/C181</f>
        <v>0.169891891891892</v>
      </c>
      <c r="P181" s="57">
        <f>(Boosters_And!B181*100)/Boosters_And!N181</f>
        <v>1.85143778286949</v>
      </c>
      <c r="Q181" s="57">
        <f>Boosters_And!B181/(C181+D181)</f>
        <v>0.26985575380338</v>
      </c>
      <c r="R181" s="57">
        <f>Boosters_And!N181/B181</f>
        <v>26.5213444244346</v>
      </c>
      <c r="S181" s="54">
        <v>8.38918918918918</v>
      </c>
      <c r="T181" s="58">
        <v>0.881081081081081</v>
      </c>
      <c r="U181" s="60">
        <v>2802.88648648649</v>
      </c>
      <c r="V181" s="59">
        <v>31280</v>
      </c>
    </row>
    <row r="182" spans="1:22" s="168" customFormat="1" ht="22.500000" customHeight="1">
      <c r="A182" s="34">
        <v>180</v>
      </c>
      <c r="B182" s="49">
        <v>190</v>
      </c>
      <c r="C182" s="49">
        <v>190</v>
      </c>
      <c r="D182" s="49">
        <v>59</v>
      </c>
      <c r="E182" s="49">
        <v>19</v>
      </c>
      <c r="F182" s="50">
        <f>(C182*100)/B182</f>
        <v>100</v>
      </c>
      <c r="G182" s="156">
        <f>(D182*100)/B182</f>
        <v>31.0526315789474</v>
      </c>
      <c r="H182" s="152">
        <f>((B182-B183)/B182)*100</f>
        <v>-2.63157894736842</v>
      </c>
      <c r="I182" s="152">
        <f>((B182-C182)/B182)*100</f>
        <v>0</v>
      </c>
      <c r="J182" s="152">
        <f>((C182-B183)/C182)*100</f>
        <v>-2.63157894736842</v>
      </c>
      <c r="K182" s="161"/>
      <c r="L182" s="54">
        <v>1.03157894736842</v>
      </c>
      <c r="M182" s="69" t="s">
        <v>28</v>
      </c>
      <c r="N182" s="54">
        <v>20.96</v>
      </c>
      <c r="O182" s="56">
        <f>N182/C182</f>
        <v>0.110315789473684</v>
      </c>
      <c r="P182" s="57">
        <f>(Boosters_And!B182*100)/Boosters_And!N182</f>
        <v>2.64039556393424</v>
      </c>
      <c r="Q182" s="57">
        <f>Boosters_And!B182/(C182+D182)</f>
        <v>0.291771608985325</v>
      </c>
      <c r="R182" s="57">
        <f>Boosters_And!N182/B182</f>
        <v>14.4817078546277</v>
      </c>
      <c r="S182" s="54">
        <v>13.4736842105263</v>
      </c>
      <c r="T182" s="58">
        <v>0.542105263157895</v>
      </c>
      <c r="U182" s="60">
        <v>2860.91578947368</v>
      </c>
      <c r="V182" s="59">
        <v>37355</v>
      </c>
    </row>
    <row r="183" spans="1:22" s="168" customFormat="1" ht="22.500000" customHeight="1">
      <c r="A183" s="34">
        <v>181</v>
      </c>
      <c r="B183" s="49">
        <v>195</v>
      </c>
      <c r="C183" s="49">
        <v>187</v>
      </c>
      <c r="D183" s="49">
        <v>181</v>
      </c>
      <c r="E183" s="49">
        <v>79</v>
      </c>
      <c r="F183" s="50">
        <f>(C183*100)/B183</f>
        <v>95.8974358974359</v>
      </c>
      <c r="G183" s="156">
        <f>(D183*100)/B183</f>
        <v>92.8205128205128</v>
      </c>
      <c r="H183" s="152">
        <f>((B183-B184)/B183)*100</f>
        <v>0.512820512820513</v>
      </c>
      <c r="I183" s="152">
        <f>((B183-C183)/B183)*100</f>
        <v>4.1025641025641</v>
      </c>
      <c r="J183" s="152">
        <f>((C183-B184)/C183)*100</f>
        <v>-3.74331550802139</v>
      </c>
      <c r="K183" s="161"/>
      <c r="L183" s="54">
        <v>1.48128342245989</v>
      </c>
      <c r="M183" s="70" t="s">
        <v>29</v>
      </c>
      <c r="N183" s="54">
        <v>46.36</v>
      </c>
      <c r="O183" s="56">
        <f>N183/C183</f>
        <v>0.247914438502674</v>
      </c>
      <c r="P183" s="57">
        <f>(Boosters_And!B183*100)/Boosters_And!N183</f>
        <v>3.0601136296047</v>
      </c>
      <c r="Q183" s="57">
        <f>Boosters_And!B183/(C183+D183)</f>
        <v>0.398503849685908</v>
      </c>
      <c r="R183" s="57">
        <f>Boosters_And!N183/B183</f>
        <v>24.5758289304588</v>
      </c>
      <c r="S183" s="54">
        <v>10.711229946524</v>
      </c>
      <c r="T183" s="58">
        <v>0.882352941176471</v>
      </c>
      <c r="U183" s="60">
        <v>2832.05347593583</v>
      </c>
      <c r="V183" s="59">
        <v>31170</v>
      </c>
    </row>
    <row r="184" spans="1:22" s="168" customFormat="1" ht="22.500000" customHeight="1">
      <c r="A184" s="34">
        <v>182</v>
      </c>
      <c r="B184" s="49">
        <v>194</v>
      </c>
      <c r="C184" s="49">
        <v>183</v>
      </c>
      <c r="D184" s="49">
        <v>185</v>
      </c>
      <c r="E184" s="49">
        <v>79</v>
      </c>
      <c r="F184" s="50">
        <f>(C184*100)/B184</f>
        <v>94.3298969072165</v>
      </c>
      <c r="G184" s="156">
        <f>(D184*100)/B184</f>
        <v>95.360824742268</v>
      </c>
      <c r="H184" s="152">
        <f>((B184-B185)/B184)*100</f>
        <v>5.67010309278351</v>
      </c>
      <c r="I184" s="152">
        <f>((B184-C184)/B184)*100</f>
        <v>5.67010309278351</v>
      </c>
      <c r="J184" s="152">
        <f>((C184-B185)/C184)*100</f>
        <v>0</v>
      </c>
      <c r="K184" s="161"/>
      <c r="L184" s="54">
        <v>1.45901639344262</v>
      </c>
      <c r="M184" s="68" t="s">
        <v>29</v>
      </c>
      <c r="N184" s="54">
        <v>64.54</v>
      </c>
      <c r="O184" s="56">
        <f>N184/C184</f>
        <v>0.352677595628415</v>
      </c>
      <c r="P184" s="57">
        <f>(Boosters_And!B184*100)/Boosters_And!N184</f>
        <v>5.46931242210719</v>
      </c>
      <c r="Q184" s="57">
        <f>Boosters_And!B184/(C184+D184)</f>
        <v>0.8784097723105</v>
      </c>
      <c r="R184" s="57">
        <f>Boosters_And!N184/B184</f>
        <v>30.4656546844953</v>
      </c>
      <c r="S184" s="54">
        <v>7.07103825136612</v>
      </c>
      <c r="T184" s="58">
        <v>0.912568306010929</v>
      </c>
      <c r="U184" s="60">
        <v>2908.84699453552</v>
      </c>
      <c r="V184" s="59">
        <v>36630</v>
      </c>
    </row>
    <row r="185" spans="1:22" s="168" customFormat="1" ht="22.500000" customHeight="1">
      <c r="A185" s="34">
        <v>183</v>
      </c>
      <c r="B185" s="49">
        <v>183</v>
      </c>
      <c r="C185" s="49">
        <v>180</v>
      </c>
      <c r="D185" s="49">
        <v>84</v>
      </c>
      <c r="E185" s="49">
        <v>32</v>
      </c>
      <c r="F185" s="50">
        <f>(C185*100)/B185</f>
        <v>98.3606557377049</v>
      </c>
      <c r="G185" s="156">
        <f>(D185*100)/B185</f>
        <v>45.9016393442623</v>
      </c>
      <c r="H185" s="152">
        <f>((B185-B186)/B185)*100</f>
        <v>1.63934426229508</v>
      </c>
      <c r="I185" s="152">
        <f>((B185-C185)/B185)*100</f>
        <v>1.63934426229508</v>
      </c>
      <c r="J185" s="152">
        <f>((C185-B186)/C185)*100</f>
        <v>0</v>
      </c>
      <c r="K185" s="161"/>
      <c r="L185" s="54">
        <v>1.22222222222222</v>
      </c>
      <c r="M185" s="55" t="s">
        <v>28</v>
      </c>
      <c r="N185" s="54">
        <v>9.98</v>
      </c>
      <c r="O185" s="56">
        <f>N185/C185</f>
        <v>0.0554444444444445</v>
      </c>
      <c r="P185" s="57">
        <f>(Boosters_And!B185*100)/Boosters_And!N185</f>
        <v>3.13859509858108</v>
      </c>
      <c r="Q185" s="57">
        <f>Boosters_And!B185/(C185+D185)</f>
        <v>0.38109072142139</v>
      </c>
      <c r="R185" s="57">
        <f>Boosters_And!N185/B185</f>
        <v>17.5164429879938</v>
      </c>
      <c r="S185" s="54">
        <v>7.26666666666666</v>
      </c>
      <c r="T185" s="58">
        <v>0.661111111111111</v>
      </c>
      <c r="U185" s="60">
        <v>2925.16111111111</v>
      </c>
      <c r="V185" s="59">
        <v>40340</v>
      </c>
    </row>
    <row r="186" spans="1:22" s="168" customFormat="1" ht="22.500000" customHeight="1">
      <c r="A186" s="34">
        <v>184</v>
      </c>
      <c r="B186" s="49">
        <v>180</v>
      </c>
      <c r="C186" s="49">
        <v>180</v>
      </c>
      <c r="D186" s="49">
        <v>15</v>
      </c>
      <c r="E186" s="49">
        <v>5</v>
      </c>
      <c r="F186" s="50">
        <f>(C186*100)/B186</f>
        <v>100</v>
      </c>
      <c r="G186" s="156">
        <f>(D186*100)/B186</f>
        <v>8.33333333333333</v>
      </c>
      <c r="H186" s="151">
        <f>((B186-B187)/B186)*100</f>
        <v>-1.11111111111111</v>
      </c>
      <c r="I186" s="152">
        <f>((B186-C186)/B186)*100</f>
        <v>0</v>
      </c>
      <c r="J186" s="152">
        <f>((C186-B187)/C186)*100</f>
        <v>-1.11111111111111</v>
      </c>
      <c r="K186" s="161"/>
      <c r="L186" s="54">
        <v>1.02222222222222</v>
      </c>
      <c r="M186" s="69" t="s">
        <v>28</v>
      </c>
      <c r="N186" s="54">
        <v>1.99</v>
      </c>
      <c r="O186" s="56">
        <f>N186/C186</f>
        <v>0.0110555555555556</v>
      </c>
      <c r="P186" s="57">
        <f>(Boosters_And!B186*100)/Boosters_And!N186</f>
        <v>1.36594601506153</v>
      </c>
      <c r="Q186" s="57">
        <f>Boosters_And!B186/(C186+D186)</f>
        <v>0.112820512820513</v>
      </c>
      <c r="R186" s="57">
        <f>Boosters_And!N186/B186</f>
        <v>8.9478076640325</v>
      </c>
      <c r="S186" s="54">
        <v>7.53333333333333</v>
      </c>
      <c r="T186" s="58">
        <v>0.511111111111111</v>
      </c>
      <c r="U186" s="60">
        <v>2985.10555555556</v>
      </c>
      <c r="V186" s="59">
        <v>46545</v>
      </c>
    </row>
    <row r="187" spans="1:22" s="168" customFormat="1" ht="22.500000" customHeight="1">
      <c r="A187" s="34">
        <v>185</v>
      </c>
      <c r="B187" s="49">
        <v>182</v>
      </c>
      <c r="C187" s="49">
        <v>176</v>
      </c>
      <c r="D187" s="49">
        <v>55</v>
      </c>
      <c r="E187" s="49">
        <v>22</v>
      </c>
      <c r="F187" s="50">
        <f>(C187*100)/B187</f>
        <v>96.7032967032967</v>
      </c>
      <c r="G187" s="156">
        <f>(D187*100)/B187</f>
        <v>30.2197802197802</v>
      </c>
      <c r="H187" s="152">
        <f>((B187-B188)/B187)*100</f>
        <v>-0.54945054945055</v>
      </c>
      <c r="I187" s="152">
        <f>((B187-C187)/B187)*100</f>
        <v>3.2967032967033</v>
      </c>
      <c r="J187" s="152">
        <f>((C187-B188)/C187)*100</f>
        <v>-3.97727272727273</v>
      </c>
      <c r="K187" s="161"/>
      <c r="L187" s="54">
        <v>1.07386363636363</v>
      </c>
      <c r="M187" s="55" t="s">
        <v>28</v>
      </c>
      <c r="N187" s="54">
        <v>19.46</v>
      </c>
      <c r="O187" s="56">
        <f>N187/C187</f>
        <v>0.110568181818182</v>
      </c>
      <c r="P187" s="57">
        <f>(Boosters_And!B187*100)/Boosters_And!N187</f>
        <v>4.58940678171704</v>
      </c>
      <c r="Q187" s="57">
        <f>Boosters_And!B187/(C187+D187)</f>
        <v>0.547144309921304</v>
      </c>
      <c r="R187" s="57">
        <f>Boosters_And!N187/B187</f>
        <v>15.131637407435</v>
      </c>
      <c r="S187" s="54">
        <v>8.25568181818181</v>
      </c>
      <c r="T187" s="58">
        <v>0.573863636363636</v>
      </c>
      <c r="U187" s="60">
        <v>3110.02272727273</v>
      </c>
      <c r="V187" s="59">
        <v>45625</v>
      </c>
    </row>
    <row r="188" spans="1:22" s="168" customFormat="1" ht="22.500000" customHeight="1">
      <c r="A188" s="34">
        <v>186</v>
      </c>
      <c r="B188" s="49">
        <v>183</v>
      </c>
      <c r="C188" s="49">
        <v>178</v>
      </c>
      <c r="D188" s="49">
        <v>151</v>
      </c>
      <c r="E188" s="49">
        <v>53</v>
      </c>
      <c r="F188" s="50">
        <f>(C188*100)/B188</f>
        <v>97.2677595628415</v>
      </c>
      <c r="G188" s="156">
        <f>(D188*100)/B188</f>
        <v>82.5136612021858</v>
      </c>
      <c r="H188" s="152">
        <f>((B188-B189)/B188)*100</f>
        <v>1.09289617486339</v>
      </c>
      <c r="I188" s="152">
        <f>((B188-C188)/B188)*100</f>
        <v>2.73224043715847</v>
      </c>
      <c r="J188" s="152">
        <f>((C188-B189)/C188)*100</f>
        <v>-1.68539325842697</v>
      </c>
      <c r="K188" s="161"/>
      <c r="L188" s="54">
        <v>1.28651685393258</v>
      </c>
      <c r="M188" s="68" t="s">
        <v>29</v>
      </c>
      <c r="N188" s="54">
        <v>17.87</v>
      </c>
      <c r="O188" s="56">
        <f>N188/C188</f>
        <v>0.100393258426966</v>
      </c>
      <c r="P188" s="57">
        <f>(Boosters_And!B188*100)/Boosters_And!N188</f>
        <v>5.68918047152827</v>
      </c>
      <c r="Q188" s="57">
        <f>Boosters_And!B188/(C188+D188)</f>
        <v>0.599303971961896</v>
      </c>
      <c r="R188" s="57">
        <f>Boosters_And!N188/B188</f>
        <v>18.9383550211918</v>
      </c>
      <c r="S188" s="54">
        <v>9.02247191011236</v>
      </c>
      <c r="T188" s="58">
        <v>0.842696629213483</v>
      </c>
      <c r="U188" s="60">
        <v>3008.87078651685</v>
      </c>
      <c r="V188" s="59">
        <v>35140</v>
      </c>
    </row>
    <row r="189" spans="1:22" s="168" customFormat="1" ht="22.500000" customHeight="1">
      <c r="A189" s="34">
        <v>187</v>
      </c>
      <c r="B189" s="49">
        <v>181</v>
      </c>
      <c r="C189" s="49">
        <v>172</v>
      </c>
      <c r="D189" s="49">
        <v>162</v>
      </c>
      <c r="E189" s="49">
        <v>63</v>
      </c>
      <c r="F189" s="50">
        <f>(C189*100)/B189</f>
        <v>95.0276243093923</v>
      </c>
      <c r="G189" s="156">
        <f>(D189*100)/B189</f>
        <v>89.5027624309392</v>
      </c>
      <c r="H189" s="152">
        <f>((B189-B190)/B189)*100</f>
        <v>4.97237569060774</v>
      </c>
      <c r="I189" s="152">
        <f>((B189-C189)/B189)*100</f>
        <v>4.97237569060774</v>
      </c>
      <c r="J189" s="152">
        <f>((C189-B190)/C189)*100</f>
        <v>0</v>
      </c>
      <c r="K189" s="161"/>
      <c r="L189" s="54">
        <v>1.32558139534883</v>
      </c>
      <c r="M189" s="70" t="s">
        <v>29</v>
      </c>
      <c r="N189" s="54">
        <v>42.88</v>
      </c>
      <c r="O189" s="56">
        <f>N189/C189</f>
        <v>0.249302325581395</v>
      </c>
      <c r="P189" s="57">
        <f>(Boosters_And!B189*100)/Boosters_And!N189</f>
        <v>4.32702451596409</v>
      </c>
      <c r="Q189" s="57">
        <f>Boosters_And!B189/(C189+D189)</f>
        <v>0.477472571795069</v>
      </c>
      <c r="R189" s="57">
        <f>Boosters_And!N189/B189</f>
        <v>20.3623062467474</v>
      </c>
      <c r="S189" s="54">
        <v>9.4360465116279</v>
      </c>
      <c r="T189" s="58">
        <v>0.877906976744186</v>
      </c>
      <c r="U189" s="60">
        <v>3075.92441860465</v>
      </c>
      <c r="V189" s="59">
        <v>25615</v>
      </c>
    </row>
    <row r="190" spans="1:22" s="168" customFormat="1" ht="22.500000" customHeight="1">
      <c r="A190" s="34">
        <v>188</v>
      </c>
      <c r="B190" s="49">
        <v>172</v>
      </c>
      <c r="C190" s="49">
        <v>172</v>
      </c>
      <c r="D190" s="49">
        <v>14</v>
      </c>
      <c r="E190" s="49">
        <v>4</v>
      </c>
      <c r="F190" s="50">
        <f>(C190*100)/B190</f>
        <v>100</v>
      </c>
      <c r="G190" s="156">
        <f>(D190*100)/B190</f>
        <v>8.13953488372093</v>
      </c>
      <c r="H190" s="152">
        <f>((B190-B191)/B190)*100</f>
        <v>-3.48837209302326</v>
      </c>
      <c r="I190" s="152">
        <f>((B190-C190)/B190)*100</f>
        <v>0</v>
      </c>
      <c r="J190" s="152">
        <f>((C190-B191)/C190)*100</f>
        <v>-3.48837209302326</v>
      </c>
      <c r="K190" s="161"/>
      <c r="L190" s="54">
        <v>1.01156069364161</v>
      </c>
      <c r="M190" s="69" t="s">
        <v>28</v>
      </c>
      <c r="N190" s="54">
        <v>0</v>
      </c>
      <c r="O190" s="56">
        <f>N190/C190</f>
        <v>0</v>
      </c>
      <c r="P190" s="57">
        <f>(Boosters_And!B190*100)/Boosters_And!N190</f>
        <v>0.93318195358509</v>
      </c>
      <c r="Q190" s="57">
        <f>Boosters_And!B190/(C190+D190)</f>
        <v>0.0759698791546363</v>
      </c>
      <c r="R190" s="57">
        <f>Boosters_And!N190/B190</f>
        <v>8.80358580166837</v>
      </c>
      <c r="S190" s="54">
        <v>7.93063583815028</v>
      </c>
      <c r="T190" s="58">
        <v>0.511627906976744</v>
      </c>
      <c r="U190" s="60">
        <v>3168.01744186047</v>
      </c>
      <c r="V190" s="59">
        <v>34905</v>
      </c>
    </row>
    <row r="191" spans="1:22" s="168" customFormat="1" ht="22.500000" customHeight="1">
      <c r="A191" s="34">
        <v>189</v>
      </c>
      <c r="B191" s="49">
        <v>178</v>
      </c>
      <c r="C191" s="49">
        <v>153</v>
      </c>
      <c r="D191" s="49">
        <v>153</v>
      </c>
      <c r="E191" s="49">
        <v>87</v>
      </c>
      <c r="F191" s="50">
        <f>(C191*100)/B191</f>
        <v>85.9550561797753</v>
      </c>
      <c r="G191" s="156">
        <f>(D191*100)/B191</f>
        <v>85.9550561797753</v>
      </c>
      <c r="H191" s="152">
        <f>((B191-B192)/B191)*100</f>
        <v>8.98876404494382</v>
      </c>
      <c r="I191" s="152">
        <f>((B191-C191)/B191)*100</f>
        <v>14.0449438202247</v>
      </c>
      <c r="J191" s="152">
        <f>((C191-B192)/C191)*100</f>
        <v>-5.88235294117647</v>
      </c>
      <c r="K191" s="161"/>
      <c r="L191" s="54">
        <v>1.6797385620915</v>
      </c>
      <c r="M191" s="70" t="s">
        <v>29</v>
      </c>
      <c r="N191" s="54">
        <v>47.35</v>
      </c>
      <c r="O191" s="56">
        <f>N191/C191</f>
        <v>0.309477124183007</v>
      </c>
      <c r="P191" s="57">
        <f>(Boosters_And!B191*100)/Boosters_And!N191</f>
        <v>15.214313274365</v>
      </c>
      <c r="Q191" s="57">
        <f>Boosters_And!B191/(C191+D191)</f>
        <v>1.21310705572451</v>
      </c>
      <c r="R191" s="57">
        <f>Boosters_And!N191/B191</f>
        <v>13.7071826044983</v>
      </c>
      <c r="S191" s="54">
        <v>8.7516339869281</v>
      </c>
      <c r="T191" s="58">
        <v>1.00653594771242</v>
      </c>
      <c r="U191" s="60">
        <v>3520.90849673203</v>
      </c>
      <c r="V191" s="59">
        <v>38545</v>
      </c>
    </row>
    <row r="192" spans="1:22" s="168" customFormat="1" ht="22.500000" customHeight="1">
      <c r="A192" s="34">
        <v>190</v>
      </c>
      <c r="B192" s="49">
        <v>162</v>
      </c>
      <c r="C192" s="49">
        <v>162</v>
      </c>
      <c r="D192" s="49">
        <v>120</v>
      </c>
      <c r="E192" s="49">
        <v>24</v>
      </c>
      <c r="F192" s="50">
        <f>(C192*100)/B192</f>
        <v>100</v>
      </c>
      <c r="G192" s="156">
        <f>(D192*100)/B192</f>
        <v>74.0740740740741</v>
      </c>
      <c r="H192" s="152">
        <f>((B192-B193)/B192)*100</f>
        <v>-0.617283950617284</v>
      </c>
      <c r="I192" s="152">
        <f>((B192-C192)/B192)*100</f>
        <v>0</v>
      </c>
      <c r="J192" s="152">
        <f>((C192-B193)/C192)*100</f>
        <v>-0.617283950617284</v>
      </c>
      <c r="K192" s="161"/>
      <c r="L192" s="54">
        <v>1.10493827160493</v>
      </c>
      <c r="M192" s="69" t="s">
        <v>28</v>
      </c>
      <c r="N192" s="54">
        <v>14.47</v>
      </c>
      <c r="O192" s="56">
        <f>N192/C192</f>
        <v>0.089320987654321</v>
      </c>
      <c r="P192" s="57">
        <f>(Boosters_And!B192*100)/Boosters_And!N192</f>
        <v>2.69545550304996</v>
      </c>
      <c r="Q192" s="57">
        <f>Boosters_And!B192/(C192+D192)</f>
        <v>0.270887714864614</v>
      </c>
      <c r="R192" s="57">
        <f>Boosters_And!N192/B192</f>
        <v>17.4940851702961</v>
      </c>
      <c r="S192" s="54">
        <v>6.66666666666666</v>
      </c>
      <c r="T192" s="58">
        <v>0.796296296296296</v>
      </c>
      <c r="U192" s="60">
        <v>3393.46913580247</v>
      </c>
      <c r="V192" s="59">
        <v>34170</v>
      </c>
    </row>
    <row r="193" spans="1:22" s="168" customFormat="1" ht="22.500000" customHeight="1">
      <c r="A193" s="34">
        <v>191</v>
      </c>
      <c r="B193" s="49">
        <v>163</v>
      </c>
      <c r="C193" s="49">
        <v>163</v>
      </c>
      <c r="D193" s="49">
        <v>32</v>
      </c>
      <c r="E193" s="49">
        <v>6</v>
      </c>
      <c r="F193" s="50">
        <f>(C193*100)/B193</f>
        <v>100</v>
      </c>
      <c r="G193" s="156">
        <f>(D193*100)/B193</f>
        <v>19.6319018404908</v>
      </c>
      <c r="H193" s="152">
        <f>((B193-B194)/B193)*100</f>
        <v>-0.613496932515337</v>
      </c>
      <c r="I193" s="152">
        <f>((B193-C193)/B193)*100</f>
        <v>0</v>
      </c>
      <c r="J193" s="152">
        <f>((C193-B194)/C193)*100</f>
        <v>-0.613496932515337</v>
      </c>
      <c r="K193" s="161"/>
      <c r="L193" s="54">
        <v>1.01840490797546</v>
      </c>
      <c r="M193" s="73" t="s">
        <v>30</v>
      </c>
      <c r="N193" s="54">
        <v>4.99</v>
      </c>
      <c r="O193" s="56">
        <f>N193/C193</f>
        <v>0.0306134969325153</v>
      </c>
      <c r="P193" s="57">
        <f>(Boosters_And!B193*100)/Boosters_And!N193</f>
        <v>1.51488061639741</v>
      </c>
      <c r="Q193" s="57">
        <f>Boosters_And!B193/(C193+D193)</f>
        <v>0.213599936481086</v>
      </c>
      <c r="R193" s="57">
        <f>Boosters_And!N193/B193</f>
        <v>16.868237904456</v>
      </c>
      <c r="S193" s="54">
        <v>8.33128834355828</v>
      </c>
      <c r="T193" s="58">
        <v>0.576687116564417</v>
      </c>
      <c r="U193" s="60">
        <v>3424.33742331288</v>
      </c>
      <c r="V193" s="59">
        <v>42880</v>
      </c>
    </row>
    <row r="194" spans="1:22" s="168" customFormat="1" ht="22.500000" customHeight="1">
      <c r="A194" s="34">
        <v>192</v>
      </c>
      <c r="B194" s="49">
        <v>164</v>
      </c>
      <c r="C194" s="49">
        <v>163</v>
      </c>
      <c r="D194" s="49">
        <v>90</v>
      </c>
      <c r="E194" s="49">
        <v>18</v>
      </c>
      <c r="F194" s="50">
        <f>(C194*100)/B194</f>
        <v>99.390243902439</v>
      </c>
      <c r="G194" s="156">
        <f>(D194*100)/B194</f>
        <v>54.8780487804878</v>
      </c>
      <c r="H194" s="152">
        <f>((B194-B195)/B194)*100</f>
        <v>-1.21951219512195</v>
      </c>
      <c r="I194" s="152">
        <f>((B194-C194)/B194)*100</f>
        <v>0.609756097560976</v>
      </c>
      <c r="J194" s="152">
        <f>((C194-B195)/C194)*100</f>
        <v>-1.84049079754601</v>
      </c>
      <c r="K194" s="161"/>
      <c r="L194" s="54">
        <v>1.07975460122699</v>
      </c>
      <c r="M194" s="75" t="s">
        <v>30</v>
      </c>
      <c r="N194" s="54">
        <v>16.47</v>
      </c>
      <c r="O194" s="56">
        <f>N194/C194</f>
        <v>0.101042944785276</v>
      </c>
      <c r="P194" s="57">
        <f>(Boosters_And!B194*100)/Boosters_And!N194</f>
        <v>2.5783750119799</v>
      </c>
      <c r="Q194" s="57">
        <f>Boosters_And!B194/(C194+D194)</f>
        <v>0.507297622265836</v>
      </c>
      <c r="R194" s="57">
        <f>Boosters_And!N194/B194</f>
        <v>30.3524265110544</v>
      </c>
      <c r="S194" s="54">
        <v>15.840490797546</v>
      </c>
      <c r="T194" s="58">
        <v>0.723926380368098</v>
      </c>
      <c r="U194" s="60">
        <v>3421.73006134969</v>
      </c>
      <c r="V194" s="59">
        <v>40915</v>
      </c>
    </row>
    <row r="195" spans="1:22" s="168" customFormat="1" ht="22.500000" customHeight="1">
      <c r="A195" s="34">
        <v>193</v>
      </c>
      <c r="B195" s="49">
        <v>166</v>
      </c>
      <c r="C195" s="49">
        <v>163</v>
      </c>
      <c r="D195" s="49">
        <v>164</v>
      </c>
      <c r="E195" s="49">
        <v>38</v>
      </c>
      <c r="F195" s="50">
        <f>(C195*100)/B195</f>
        <v>98.1927710843374</v>
      </c>
      <c r="G195" s="156">
        <f>(D195*100)/B195</f>
        <v>98.7951807228916</v>
      </c>
      <c r="H195" s="152">
        <f>((B195-B196)/B195)*100</f>
        <v>0.602409638554217</v>
      </c>
      <c r="I195" s="152">
        <f>((B195-C195)/B195)*100</f>
        <v>1.80722891566265</v>
      </c>
      <c r="J195" s="152">
        <f>((C195-B196)/C195)*100</f>
        <v>-1.22699386503067</v>
      </c>
      <c r="K195" s="161"/>
      <c r="L195" s="54">
        <v>1.33742331288343</v>
      </c>
      <c r="M195" s="55" t="s">
        <v>28</v>
      </c>
      <c r="N195" s="54">
        <v>11.88</v>
      </c>
      <c r="O195" s="56">
        <f>N195/C195</f>
        <v>0.0728834355828221</v>
      </c>
      <c r="P195" s="57">
        <f>(Boosters_And!B195*100)/Boosters_And!N195</f>
        <v>6.06815031571162</v>
      </c>
      <c r="Q195" s="57">
        <f>Boosters_And!B195/(C195+D195)</f>
        <v>0.694841987709776</v>
      </c>
      <c r="R195" s="57">
        <f>Boosters_And!N195/B195</f>
        <v>22.5563792700084</v>
      </c>
      <c r="S195" s="54">
        <v>8.99386503067484</v>
      </c>
      <c r="T195" s="58">
        <v>0.914110429447853</v>
      </c>
      <c r="U195" s="60">
        <v>3213.11042944785</v>
      </c>
      <c r="V195" s="59">
        <v>25935</v>
      </c>
    </row>
    <row r="196" spans="1:22" s="168" customFormat="1" ht="22.500000" customHeight="1">
      <c r="A196" s="34">
        <v>194</v>
      </c>
      <c r="B196" s="49">
        <v>165</v>
      </c>
      <c r="C196" s="49">
        <v>159</v>
      </c>
      <c r="D196" s="49">
        <v>98</v>
      </c>
      <c r="E196" s="49">
        <v>23</v>
      </c>
      <c r="F196" s="50">
        <f>(C196*100)/B196</f>
        <v>96.3636363636364</v>
      </c>
      <c r="G196" s="156">
        <f>(D196*100)/B196</f>
        <v>59.3939393939394</v>
      </c>
      <c r="H196" s="152">
        <f>((B196-B197)/B196)*100</f>
        <v>2.42424242424242</v>
      </c>
      <c r="I196" s="152">
        <f>((B196-C196)/B196)*100</f>
        <v>3.63636363636364</v>
      </c>
      <c r="J196" s="152">
        <f>((C196-B197)/C196)*100</f>
        <v>-1.25786163522013</v>
      </c>
      <c r="K196" s="161"/>
      <c r="L196" s="54">
        <v>1.10062893081761</v>
      </c>
      <c r="M196" s="69" t="s">
        <v>28</v>
      </c>
      <c r="N196" s="54">
        <v>12.96</v>
      </c>
      <c r="O196" s="56">
        <f>N196/C196</f>
        <v>0.0815094339622642</v>
      </c>
      <c r="P196" s="57">
        <f>(Boosters_And!B196*100)/Boosters_And!N196</f>
        <v>1.54670355293831</v>
      </c>
      <c r="Q196" s="57">
        <f>Boosters_And!B196/(C196+D196)</f>
        <v>0.371672669798123</v>
      </c>
      <c r="R196" s="57">
        <f>Boosters_And!N196/B196</f>
        <v>37.4285259209014</v>
      </c>
      <c r="S196" s="54">
        <v>12.2075471698113</v>
      </c>
      <c r="T196" s="58">
        <v>0.79874213836478</v>
      </c>
      <c r="U196" s="60">
        <v>3291.20754716981</v>
      </c>
      <c r="V196" s="59">
        <v>33550</v>
      </c>
    </row>
    <row r="197" spans="1:22" s="168" customFormat="1" ht="22.500000" customHeight="1">
      <c r="A197" s="34">
        <v>195</v>
      </c>
      <c r="B197" s="49">
        <v>161</v>
      </c>
      <c r="C197" s="49">
        <v>155</v>
      </c>
      <c r="D197" s="49">
        <v>161</v>
      </c>
      <c r="E197" s="49">
        <v>54</v>
      </c>
      <c r="F197" s="50">
        <f>(C197*100)/B197</f>
        <v>96.2732919254658</v>
      </c>
      <c r="G197" s="156">
        <f>(D197*100)/B197</f>
        <v>100</v>
      </c>
      <c r="H197" s="152">
        <f>((B197-B198)/B197)*100</f>
        <v>3.72670807453416</v>
      </c>
      <c r="I197" s="152">
        <f>((B197-C197)/B197)*100</f>
        <v>3.72670807453416</v>
      </c>
      <c r="J197" s="152">
        <f>((C197-B198)/C197)*100</f>
        <v>0</v>
      </c>
      <c r="K197" s="161"/>
      <c r="L197" s="54">
        <v>1.40645161290322</v>
      </c>
      <c r="M197" s="55" t="s">
        <v>28</v>
      </c>
      <c r="N197" s="54">
        <v>17.95</v>
      </c>
      <c r="O197" s="56">
        <f>N197/C197</f>
        <v>0.115806451612903</v>
      </c>
      <c r="P197" s="57">
        <f>(Boosters_And!B197*100)/Boosters_And!N197</f>
        <v>8.68729323736756</v>
      </c>
      <c r="Q197" s="57">
        <f>Boosters_And!B197/(C197+D197)</f>
        <v>0.814376172555042</v>
      </c>
      <c r="R197" s="57">
        <f>Boosters_And!N197/B197</f>
        <v>18.3993204656085</v>
      </c>
      <c r="S197" s="54">
        <v>7.95483870967742</v>
      </c>
      <c r="T197" s="58">
        <v>0.961290322580645</v>
      </c>
      <c r="U197" s="60">
        <v>3333.23870967742</v>
      </c>
      <c r="V197" s="59">
        <v>22620</v>
      </c>
    </row>
    <row r="198" spans="1:22" s="168" customFormat="1" ht="22.500000" customHeight="1">
      <c r="A198" s="34">
        <v>196</v>
      </c>
      <c r="B198" s="49">
        <v>155</v>
      </c>
      <c r="C198" s="49">
        <v>154</v>
      </c>
      <c r="D198" s="49">
        <v>67</v>
      </c>
      <c r="E198" s="49">
        <v>32</v>
      </c>
      <c r="F198" s="50">
        <f>(C198*100)/B198</f>
        <v>99.3548387096774</v>
      </c>
      <c r="G198" s="156">
        <f>(D198*100)/B198</f>
        <v>43.2258064516129</v>
      </c>
      <c r="H198" s="152">
        <f>((B198-B199)/B198)*100</f>
        <v>-3.87096774193548</v>
      </c>
      <c r="I198" s="152">
        <f>((B198-C198)/B198)*100</f>
        <v>0.645161290322581</v>
      </c>
      <c r="J198" s="152">
        <f>((C198-B199)/C198)*100</f>
        <v>-4.54545454545455</v>
      </c>
      <c r="K198" s="161"/>
      <c r="L198" s="54">
        <v>1.11038961038961</v>
      </c>
      <c r="M198" s="68" t="s">
        <v>29</v>
      </c>
      <c r="N198" s="54">
        <v>28.4</v>
      </c>
      <c r="O198" s="56">
        <f>N198/C198</f>
        <v>0.184415584415584</v>
      </c>
      <c r="P198" s="57">
        <f>(Boosters_And!B198*100)/Boosters_And!N198</f>
        <v>5.93418853370221</v>
      </c>
      <c r="Q198" s="57">
        <f>Boosters_And!B198/(C198+D198)</f>
        <v>0.466254856134086</v>
      </c>
      <c r="R198" s="57">
        <f>Boosters_And!N198/B198</f>
        <v>11.2026973561131</v>
      </c>
      <c r="S198" s="54">
        <v>6.07792207792207</v>
      </c>
      <c r="T198" s="58">
        <v>0.662337662337662</v>
      </c>
      <c r="U198" s="60">
        <v>3450.20779220779</v>
      </c>
      <c r="V198" s="59">
        <v>28365</v>
      </c>
    </row>
    <row r="199" spans="1:22" s="168" customFormat="1" ht="22.500000" customHeight="1">
      <c r="A199" s="34">
        <v>197</v>
      </c>
      <c r="B199" s="49">
        <v>161</v>
      </c>
      <c r="C199" s="49">
        <v>158</v>
      </c>
      <c r="D199" s="49">
        <v>111</v>
      </c>
      <c r="E199" s="49">
        <v>39</v>
      </c>
      <c r="F199" s="50">
        <f>(C199*100)/B199</f>
        <v>98.1366459627329</v>
      </c>
      <c r="G199" s="156">
        <f>(D199*100)/B199</f>
        <v>68.944099378882</v>
      </c>
      <c r="H199" s="152">
        <f>((B199-B200)/B199)*100</f>
        <v>0</v>
      </c>
      <c r="I199" s="152">
        <f>((B199-C199)/B199)*100</f>
        <v>1.86335403726708</v>
      </c>
      <c r="J199" s="152">
        <f>((C199-B200)/C199)*100</f>
        <v>-1.89873417721519</v>
      </c>
      <c r="K199" s="161"/>
      <c r="L199" s="54">
        <v>1.25949367088607</v>
      </c>
      <c r="M199" s="70" t="s">
        <v>29</v>
      </c>
      <c r="N199" s="54">
        <v>20.28</v>
      </c>
      <c r="O199" s="56">
        <f>N199/C199</f>
        <v>0.128354430379747</v>
      </c>
      <c r="P199" s="57">
        <f>(Boosters_And!B199*100)/Boosters_And!N199</f>
        <v>7.2617475423267</v>
      </c>
      <c r="Q199" s="57">
        <f>Boosters_And!B199/(C199+D199)</f>
        <v>0.442860745525266</v>
      </c>
      <c r="R199" s="57">
        <f>Boosters_And!N199/B199</f>
        <v>10.1894899283702</v>
      </c>
      <c r="S199" s="54">
        <v>15.0506329113924</v>
      </c>
      <c r="T199" s="58">
        <v>0.816455696202532</v>
      </c>
      <c r="U199" s="60">
        <v>3377.10126582279</v>
      </c>
      <c r="V199" s="59">
        <v>32495</v>
      </c>
    </row>
    <row r="200" spans="1:22" s="168" customFormat="1" ht="22.500000" customHeight="1">
      <c r="A200" s="34">
        <v>198</v>
      </c>
      <c r="B200" s="49">
        <v>161</v>
      </c>
      <c r="C200" s="49">
        <v>162</v>
      </c>
      <c r="D200" s="49">
        <v>109</v>
      </c>
      <c r="E200" s="49">
        <v>33</v>
      </c>
      <c r="F200" s="50">
        <f>(C200*100)/B200</f>
        <v>100.621118012422</v>
      </c>
      <c r="G200" s="156">
        <f>(D200*100)/B200</f>
        <v>67.7018633540373</v>
      </c>
      <c r="H200" s="152">
        <f>((B200-B201)/B200)*100</f>
        <v>-1.24223602484472</v>
      </c>
      <c r="I200" s="152">
        <f>((B200-C200)/B200)*100</f>
        <v>-0.62111801242236</v>
      </c>
      <c r="J200" s="152">
        <f>((C200-B201)/C200)*100</f>
        <v>-0.617283950617284</v>
      </c>
      <c r="K200" s="161"/>
      <c r="L200" s="54">
        <v>1.29012345679012</v>
      </c>
      <c r="M200" s="69" t="s">
        <v>28</v>
      </c>
      <c r="N200" s="54">
        <v>15.47</v>
      </c>
      <c r="O200" s="56">
        <f>N200/C200</f>
        <v>0.0954938271604938</v>
      </c>
      <c r="P200" s="57">
        <f>(Boosters_And!B200*100)/Boosters_And!N200</f>
        <v>2.82797834428366</v>
      </c>
      <c r="Q200" s="57">
        <f>Boosters_And!B200/(C200+D200)</f>
        <v>0.28701670907789</v>
      </c>
      <c r="R200" s="57">
        <f>Boosters_And!N200/B200</f>
        <v>17.0834081072915</v>
      </c>
      <c r="S200" s="54">
        <v>7.03703703703703</v>
      </c>
      <c r="T200" s="58">
        <v>0.746913580246914</v>
      </c>
      <c r="U200" s="60">
        <v>3328.16049382716</v>
      </c>
      <c r="V200" s="59">
        <v>29150</v>
      </c>
    </row>
    <row r="201" spans="1:22" s="168" customFormat="1" ht="22.500000" customHeight="1">
      <c r="A201" s="34">
        <v>199</v>
      </c>
      <c r="B201" s="49">
        <v>163</v>
      </c>
      <c r="C201" s="49">
        <v>162</v>
      </c>
      <c r="D201" s="49">
        <v>71</v>
      </c>
      <c r="E201" s="49">
        <v>22</v>
      </c>
      <c r="F201" s="50">
        <f>(C201*100)/B201</f>
        <v>99.3865030674847</v>
      </c>
      <c r="G201" s="156">
        <f>(D201*100)/B201</f>
        <v>43.558282208589</v>
      </c>
      <c r="H201" s="152">
        <f>((B201-B202)/B201)*100</f>
        <v>-2.45398773006135</v>
      </c>
      <c r="I201" s="152">
        <f>((B201-C201)/B201)*100</f>
        <v>0.613496932515337</v>
      </c>
      <c r="J201" s="152">
        <f>((C201-B202)/C201)*100</f>
        <v>-3.08641975308642</v>
      </c>
      <c r="K201" s="161"/>
      <c r="L201" s="54">
        <v>1.06172839506172</v>
      </c>
      <c r="M201" s="55" t="s">
        <v>28</v>
      </c>
      <c r="N201" s="54">
        <v>0</v>
      </c>
      <c r="O201" s="56">
        <f>N201/C201</f>
        <v>0</v>
      </c>
      <c r="P201" s="57">
        <f>(Boosters_And!B201*100)/Boosters_And!N201</f>
        <v>3.28941770752083</v>
      </c>
      <c r="Q201" s="57">
        <f>Boosters_And!B201/(C201+D201)</f>
        <v>0.33942643933132</v>
      </c>
      <c r="R201" s="57">
        <f>Boosters_And!N201/B201</f>
        <v>14.7500998052953</v>
      </c>
      <c r="S201" s="54">
        <v>15.5432098765432</v>
      </c>
      <c r="T201" s="58">
        <v>0.679012345679012</v>
      </c>
      <c r="U201" s="60">
        <v>3317.54320987654</v>
      </c>
      <c r="V201" s="59">
        <v>27695</v>
      </c>
    </row>
    <row r="202" spans="1:22" s="168" customFormat="1" ht="22.500000" customHeight="1">
      <c r="A202" s="34">
        <v>200</v>
      </c>
      <c r="B202" s="49">
        <v>167</v>
      </c>
      <c r="C202" s="49">
        <v>160</v>
      </c>
      <c r="D202" s="49">
        <v>166</v>
      </c>
      <c r="E202" s="49">
        <v>83</v>
      </c>
      <c r="F202" s="50">
        <f>(C202*100)/B202</f>
        <v>95.8083832335329</v>
      </c>
      <c r="G202" s="156">
        <f>(D202*100)/B202</f>
        <v>99.4011976047904</v>
      </c>
      <c r="H202" s="152">
        <f>((B202-B203)/B202)*100</f>
        <v>5.98802395209581</v>
      </c>
      <c r="I202" s="152">
        <f>((B202-C202)/B202)*100</f>
        <v>4.19161676646707</v>
      </c>
      <c r="J202" s="152">
        <f>((C202-B203)/C202)*100</f>
        <v>1.875</v>
      </c>
      <c r="K202" s="161"/>
      <c r="L202" s="54">
        <v>1.66875</v>
      </c>
      <c r="M202" s="69" t="s">
        <v>28</v>
      </c>
      <c r="N202" s="54">
        <v>36.26</v>
      </c>
      <c r="O202" s="56">
        <f>N202/C202</f>
        <v>0.226625</v>
      </c>
      <c r="P202" s="57">
        <f>(Boosters_And!B202*100)/Boosters_And!N202</f>
        <v>5.87268962961711</v>
      </c>
      <c r="Q202" s="57">
        <f>Boosters_And!B202/(C202+D202)</f>
        <v>0.955701752876954</v>
      </c>
      <c r="R202" s="57">
        <f>Boosters_And!N202/B202</f>
        <v>31.7677504434582</v>
      </c>
      <c r="S202" s="54">
        <v>8.2875</v>
      </c>
      <c r="T202" s="58">
        <v>0.93125</v>
      </c>
      <c r="U202" s="60">
        <v>3254.2625</v>
      </c>
      <c r="V202" s="59">
        <v>23325</v>
      </c>
    </row>
    <row r="203" spans="1:22" s="168" customFormat="1" ht="22.500000" customHeight="1">
      <c r="A203" s="34">
        <v>201</v>
      </c>
      <c r="B203" s="49">
        <v>157</v>
      </c>
      <c r="C203" s="49">
        <v>157</v>
      </c>
      <c r="D203" s="49">
        <v>1</v>
      </c>
      <c r="E203" s="49">
        <v>1</v>
      </c>
      <c r="F203" s="50">
        <f>(C203*100)/B203</f>
        <v>100</v>
      </c>
      <c r="G203" s="156">
        <f>(D203*100)/B203</f>
        <v>0.636942675159236</v>
      </c>
      <c r="H203" s="152">
        <f>((B203-B204)/B203)*100</f>
        <v>2.54777070063694</v>
      </c>
      <c r="I203" s="152">
        <f>((B203-C203)/B203)*100</f>
        <v>0</v>
      </c>
      <c r="J203" s="152">
        <f>((C203-B204)/C203)*100</f>
        <v>2.54777070063694</v>
      </c>
      <c r="K203" s="161"/>
      <c r="L203" s="54">
        <v>1</v>
      </c>
      <c r="M203" s="70" t="s">
        <v>29</v>
      </c>
      <c r="N203" s="54">
        <v>0.99</v>
      </c>
      <c r="O203" s="56">
        <f>N203/C203</f>
        <v>0.00630573248407643</v>
      </c>
      <c r="P203" s="57">
        <f>(Boosters_And!B203*100)/Boosters_And!N203</f>
        <v>0</v>
      </c>
      <c r="Q203" s="57">
        <f>Boosters_And!B203/(C203+D203)</f>
        <v>0</v>
      </c>
      <c r="R203" s="57">
        <f>Boosters_And!N203/B203</f>
        <v>8.17363563723264</v>
      </c>
      <c r="S203" s="54">
        <v>7.40764331210191</v>
      </c>
      <c r="T203" s="58">
        <v>0.503184713375796</v>
      </c>
      <c r="U203" s="60">
        <v>3392.27388535032</v>
      </c>
      <c r="V203" s="59">
        <v>1100082353</v>
      </c>
    </row>
    <row r="204" spans="1:22" s="168" customFormat="1" ht="22.500000" customHeight="1">
      <c r="A204" s="34">
        <v>202</v>
      </c>
      <c r="B204" s="49">
        <v>153</v>
      </c>
      <c r="C204" s="49">
        <v>153</v>
      </c>
      <c r="D204" s="49">
        <v>2</v>
      </c>
      <c r="E204" s="49">
        <v>2</v>
      </c>
      <c r="F204" s="50">
        <f>(C204*100)/B204</f>
        <v>100</v>
      </c>
      <c r="G204" s="156">
        <f>(D204*100)/B204</f>
        <v>1.30718954248366</v>
      </c>
      <c r="H204" s="152">
        <f>((B204-B205)/B204)*100</f>
        <v>-0.65359477124183</v>
      </c>
      <c r="I204" s="152">
        <f>((B204-C204)/B204)*100</f>
        <v>0</v>
      </c>
      <c r="J204" s="152">
        <f>((C204-B205)/C204)*100</f>
        <v>-0.65359477124183</v>
      </c>
      <c r="K204" s="161"/>
      <c r="L204" s="54">
        <v>1.01307189542483</v>
      </c>
      <c r="M204" s="68" t="s">
        <v>29</v>
      </c>
      <c r="N204" s="54">
        <v>0</v>
      </c>
      <c r="O204" s="56">
        <f>N204/C204</f>
        <v>0</v>
      </c>
      <c r="P204" s="57">
        <f>(Boosters_And!B204*100)/Boosters_And!N204</f>
        <v>0.544157954472967</v>
      </c>
      <c r="Q204" s="57">
        <f>Boosters_And!B204/(C204+D204)</f>
        <v>0.0451612903225806</v>
      </c>
      <c r="R204" s="57">
        <f>Boosters_And!N204/B204</f>
        <v>8.40778557234175</v>
      </c>
      <c r="S204" s="54">
        <v>5.24183006535947</v>
      </c>
      <c r="T204" s="58">
        <v>0.437908496732026</v>
      </c>
      <c r="U204" s="60">
        <v>3532.07189542484</v>
      </c>
      <c r="V204" s="59">
        <v>1100098953</v>
      </c>
    </row>
    <row r="205" spans="1:22" s="168" customFormat="1" ht="22.500000" customHeight="1">
      <c r="A205" s="34">
        <v>203</v>
      </c>
      <c r="B205" s="49">
        <v>154</v>
      </c>
      <c r="C205" s="49">
        <v>144</v>
      </c>
      <c r="D205" s="49">
        <v>128</v>
      </c>
      <c r="E205" s="49">
        <v>56</v>
      </c>
      <c r="F205" s="50">
        <f>(C205*100)/B205</f>
        <v>93.5064935064935</v>
      </c>
      <c r="G205" s="156">
        <f>(D205*100)/B205</f>
        <v>83.1168831168831</v>
      </c>
      <c r="H205" s="152">
        <f>((B205-B206)/B205)*100</f>
        <v>3.24675324675325</v>
      </c>
      <c r="I205" s="152">
        <f>((B205-C205)/B205)*100</f>
        <v>6.49350649350649</v>
      </c>
      <c r="J205" s="152">
        <f>((C205-B206)/C205)*100</f>
        <v>-3.47222222222222</v>
      </c>
      <c r="K205" s="161"/>
      <c r="L205" s="54">
        <v>1.38194444444444</v>
      </c>
      <c r="M205" s="55" t="s">
        <v>28</v>
      </c>
      <c r="N205" s="54">
        <v>20.67</v>
      </c>
      <c r="O205" s="56">
        <f>N205/C205</f>
        <v>0.143541666666667</v>
      </c>
      <c r="P205" s="57">
        <f>(Boosters_And!B205*100)/Boosters_And!N205</f>
        <v>14.3357316443085</v>
      </c>
      <c r="Q205" s="57">
        <f>Boosters_And!B205/(C205+D205)</f>
        <v>0.714181496836991</v>
      </c>
      <c r="R205" s="57">
        <f>Boosters_And!N205/B205</f>
        <v>8.79907287769065</v>
      </c>
      <c r="S205" s="54">
        <v>8.77083333333333</v>
      </c>
      <c r="T205" s="58">
        <v>0.881944444444444</v>
      </c>
      <c r="U205" s="60">
        <v>2458.86805555556</v>
      </c>
      <c r="V205" s="59">
        <v>1100046688</v>
      </c>
    </row>
    <row r="206" spans="1:22" s="168" customFormat="1" ht="22.500000" customHeight="1">
      <c r="A206" s="34">
        <v>204</v>
      </c>
      <c r="B206" s="49">
        <v>149</v>
      </c>
      <c r="C206" s="49">
        <v>145</v>
      </c>
      <c r="D206" s="49">
        <v>97</v>
      </c>
      <c r="E206" s="49">
        <v>26</v>
      </c>
      <c r="F206" s="50">
        <f>(C206*100)/B206</f>
        <v>97.3154362416107</v>
      </c>
      <c r="G206" s="156">
        <f>(D206*100)/B206</f>
        <v>65.1006711409396</v>
      </c>
      <c r="H206" s="152">
        <f>((B206-B207)/B206)*100</f>
        <v>3.35570469798658</v>
      </c>
      <c r="I206" s="152">
        <f>((B206-C206)/B206)*100</f>
        <v>2.68456375838926</v>
      </c>
      <c r="J206" s="152">
        <f>((C206-B207)/C206)*100</f>
        <v>0.689655172413793</v>
      </c>
      <c r="K206" s="161"/>
      <c r="L206" s="54">
        <v>1.17931034482758</v>
      </c>
      <c r="M206" s="69" t="s">
        <v>28</v>
      </c>
      <c r="N206" s="54">
        <v>6.49</v>
      </c>
      <c r="O206" s="56">
        <f>N206/C206</f>
        <v>0.0447586206896552</v>
      </c>
      <c r="P206" s="57">
        <f>(Boosters_And!B206*100)/Boosters_And!N206</f>
        <v>10.6694186133825</v>
      </c>
      <c r="Q206" s="57">
        <f>Boosters_And!B206/(C206+D206)</f>
        <v>0.492267287478639</v>
      </c>
      <c r="R206" s="57">
        <f>Boosters_And!N206/B206</f>
        <v>7.49357950242619</v>
      </c>
      <c r="S206" s="54">
        <v>10.2344827586206</v>
      </c>
      <c r="T206" s="58">
        <v>0.710344827586207</v>
      </c>
      <c r="U206" s="60">
        <v>2365.94482758621</v>
      </c>
      <c r="V206" s="59">
        <v>1100019263</v>
      </c>
    </row>
    <row r="207" spans="1:22" s="168" customFormat="1" ht="22.500000" customHeight="1">
      <c r="A207" s="34">
        <v>205</v>
      </c>
      <c r="B207" s="49">
        <v>144</v>
      </c>
      <c r="C207" s="49">
        <v>143</v>
      </c>
      <c r="D207" s="49">
        <v>15</v>
      </c>
      <c r="E207" s="49">
        <v>3</v>
      </c>
      <c r="F207" s="50">
        <f>(C207*100)/B207</f>
        <v>99.3055555555556</v>
      </c>
      <c r="G207" s="156">
        <f>(D207*100)/B207</f>
        <v>10.4166666666667</v>
      </c>
      <c r="H207" s="152">
        <f>((B207-B208)/B207)*100</f>
        <v>0.694444444444444</v>
      </c>
      <c r="I207" s="152">
        <f>((B207-C207)/B207)*100</f>
        <v>0.694444444444444</v>
      </c>
      <c r="J207" s="152">
        <f>((C207-B208)/C207)*100</f>
        <v>0</v>
      </c>
      <c r="K207" s="161"/>
      <c r="L207" s="54">
        <v>1</v>
      </c>
      <c r="M207" s="55" t="s">
        <v>28</v>
      </c>
      <c r="N207" s="54">
        <v>0</v>
      </c>
      <c r="O207" s="56">
        <f>N207/C207</f>
        <v>0</v>
      </c>
      <c r="P207" s="57">
        <f>(Boosters_And!B207*100)/Boosters_And!N207</f>
        <v>3.63861067457671</v>
      </c>
      <c r="Q207" s="57">
        <f>Boosters_And!B207/(C207+D207)</f>
        <v>0.113924050632911</v>
      </c>
      <c r="R207" s="57">
        <f>Boosters_And!N207/B207</f>
        <v>3.43537715846837</v>
      </c>
      <c r="S207" s="54">
        <v>6.02097902097902</v>
      </c>
      <c r="T207" s="58">
        <v>0.538461538461538</v>
      </c>
      <c r="U207" s="60">
        <v>2447.70629370629</v>
      </c>
      <c r="V207" s="59">
        <v>1100035863</v>
      </c>
    </row>
    <row r="208" spans="1:22" s="168" customFormat="1" ht="22.500000" customHeight="1">
      <c r="A208" s="34">
        <v>206</v>
      </c>
      <c r="B208" s="49">
        <v>143</v>
      </c>
      <c r="C208" s="49">
        <v>142</v>
      </c>
      <c r="D208" s="49">
        <v>31</v>
      </c>
      <c r="E208" s="49">
        <v>9</v>
      </c>
      <c r="F208" s="50">
        <f>(C208*100)/B208</f>
        <v>99.3006993006993</v>
      </c>
      <c r="G208" s="156">
        <f>(D208*100)/B208</f>
        <v>21.6783216783217</v>
      </c>
      <c r="H208" s="152">
        <f>((B208-B209)/B208)*100</f>
        <v>-2.7972027972028</v>
      </c>
      <c r="I208" s="152">
        <f>((B208-C208)/B208)*100</f>
        <v>0.699300699300699</v>
      </c>
      <c r="J208" s="152">
        <f>((C208-B209)/C208)*100</f>
        <v>-3.52112676056338</v>
      </c>
      <c r="K208" s="161"/>
      <c r="L208" s="54">
        <v>1.0281690140845</v>
      </c>
      <c r="M208" s="69" t="s">
        <v>28</v>
      </c>
      <c r="N208" s="54">
        <v>0</v>
      </c>
      <c r="O208" s="56">
        <f>N208/C208</f>
        <v>0</v>
      </c>
      <c r="P208" s="57">
        <f>(Boosters_And!B208*100)/Boosters_And!N208</f>
        <v>19.2831358564098</v>
      </c>
      <c r="Q208" s="57">
        <f>Boosters_And!B208/(C208+D208)</f>
        <v>0.548878397927372</v>
      </c>
      <c r="R208" s="57">
        <f>Boosters_And!N208/B208</f>
        <v>3.44356704802837</v>
      </c>
      <c r="S208" s="54">
        <v>14.2323943661971</v>
      </c>
      <c r="T208" s="58">
        <v>0.556338028169014</v>
      </c>
      <c r="U208" s="60">
        <v>2464.83802816901</v>
      </c>
      <c r="V208" s="59">
        <v>1100034993</v>
      </c>
    </row>
    <row r="209" spans="1:22" s="168" customFormat="1" ht="22.500000" customHeight="1">
      <c r="A209" s="34">
        <v>207</v>
      </c>
      <c r="B209" s="49">
        <v>147</v>
      </c>
      <c r="C209" s="49">
        <v>146</v>
      </c>
      <c r="D209" s="49">
        <v>94</v>
      </c>
      <c r="E209" s="49">
        <v>24</v>
      </c>
      <c r="F209" s="50">
        <f>(C209*100)/B209</f>
        <v>99.3197278911565</v>
      </c>
      <c r="G209" s="156">
        <f>(D209*100)/B209</f>
        <v>63.9455782312925</v>
      </c>
      <c r="H209" s="152">
        <f>((B209-B210)/B209)*100</f>
        <v>-2.04081632653061</v>
      </c>
      <c r="I209" s="152">
        <f>((B209-C209)/B209)*100</f>
        <v>0.680272108843537</v>
      </c>
      <c r="J209" s="152">
        <f>((C209-B210)/C209)*100</f>
        <v>-2.73972602739726</v>
      </c>
      <c r="K209" s="161"/>
      <c r="L209" s="54">
        <v>1.15753424657534</v>
      </c>
      <c r="M209" s="55" t="s">
        <v>28</v>
      </c>
      <c r="N209" s="54">
        <v>4.99</v>
      </c>
      <c r="O209" s="56">
        <f>N209/C209</f>
        <v>0.0341780821917808</v>
      </c>
      <c r="P209" s="57">
        <f>(Boosters_And!B209*100)/Boosters_And!N209</f>
        <v>5.46377462441114</v>
      </c>
      <c r="Q209" s="57">
        <f>Boosters_And!B209/(C209+D209)</f>
        <v>0.164673292046039</v>
      </c>
      <c r="R209" s="57">
        <f>Boosters_And!N209/B209</f>
        <v>4.92067065064669</v>
      </c>
      <c r="S209" s="54">
        <v>6.1986301369863</v>
      </c>
      <c r="T209" s="58">
        <v>0.76027397260274</v>
      </c>
      <c r="U209" s="60">
        <v>2352.54794520548</v>
      </c>
      <c r="V209" s="59">
        <v>1100045963</v>
      </c>
    </row>
    <row r="210" spans="1:22" s="168" customFormat="1" ht="22.500000" customHeight="1">
      <c r="A210" s="34">
        <v>208</v>
      </c>
      <c r="B210" s="49">
        <v>150</v>
      </c>
      <c r="C210" s="49">
        <v>147</v>
      </c>
      <c r="D210" s="49">
        <v>96</v>
      </c>
      <c r="E210" s="49">
        <v>34</v>
      </c>
      <c r="F210" s="50">
        <f>(C210*100)/B210</f>
        <v>98</v>
      </c>
      <c r="G210" s="156">
        <f>(D210*100)/B210</f>
        <v>64</v>
      </c>
      <c r="H210" s="152">
        <f>((B210-B211)/B210)*100</f>
        <v>0.666666666666667</v>
      </c>
      <c r="I210" s="152">
        <f>((B210-C210)/B210)*100</f>
        <v>2</v>
      </c>
      <c r="J210" s="152">
        <f>((C210-B211)/C210)*100</f>
        <v>-1.36054421768707</v>
      </c>
      <c r="K210" s="161"/>
      <c r="L210" s="54">
        <v>1.24489795918367</v>
      </c>
      <c r="M210" s="68" t="s">
        <v>29</v>
      </c>
      <c r="N210" s="54">
        <v>19.46</v>
      </c>
      <c r="O210" s="56">
        <f>N210/C210</f>
        <v>0.132380952380952</v>
      </c>
      <c r="P210" s="57">
        <f>(Boosters_And!B210*100)/Boosters_And!N210</f>
        <v>15.4016020055914</v>
      </c>
      <c r="Q210" s="57">
        <f>Boosters_And!B210/(C210+D210)</f>
        <v>0.703874346622088</v>
      </c>
      <c r="R210" s="57">
        <f>Boosters_And!N210/B210</f>
        <v>7.40362230574334</v>
      </c>
      <c r="S210" s="54">
        <v>5.45578231292517</v>
      </c>
      <c r="T210" s="58">
        <v>0.768707482993197</v>
      </c>
      <c r="U210" s="60">
        <v>2317.42857142857</v>
      </c>
      <c r="V210" s="59">
        <v>1100012988</v>
      </c>
    </row>
    <row r="211" spans="1:22" s="168" customFormat="1" ht="22.500000" customHeight="1">
      <c r="A211" s="34">
        <v>209</v>
      </c>
      <c r="B211" s="49">
        <v>149</v>
      </c>
      <c r="C211" s="49">
        <v>142</v>
      </c>
      <c r="D211" s="49">
        <v>95</v>
      </c>
      <c r="E211" s="49">
        <v>35</v>
      </c>
      <c r="F211" s="50">
        <f>(C211*100)/B211</f>
        <v>95.3020134228188</v>
      </c>
      <c r="G211" s="156">
        <f>(D211*100)/B211</f>
        <v>63.758389261745</v>
      </c>
      <c r="H211" s="152">
        <f>((B211-B212)/B211)*100</f>
        <v>1.34228187919463</v>
      </c>
      <c r="I211" s="152">
        <f>((B211-C211)/B211)*100</f>
        <v>4.69798657718121</v>
      </c>
      <c r="J211" s="152">
        <f>((C211-B212)/C211)*100</f>
        <v>-3.52112676056338</v>
      </c>
      <c r="K211" s="161"/>
      <c r="L211" s="54">
        <v>1.22535211267605</v>
      </c>
      <c r="M211" s="70" t="s">
        <v>29</v>
      </c>
      <c r="N211" s="54">
        <v>6.98</v>
      </c>
      <c r="O211" s="56">
        <f>N211/C211</f>
        <v>0.0491549295774648</v>
      </c>
      <c r="P211" s="57">
        <f>(Boosters_And!B211*100)/Boosters_And!N211</f>
        <v>10.1631602173472</v>
      </c>
      <c r="Q211" s="57">
        <f>Boosters_And!B211/(C211+D211)</f>
        <v>0.389832639627938</v>
      </c>
      <c r="R211" s="57">
        <f>Boosters_And!N211/B211</f>
        <v>6.10114721334102</v>
      </c>
      <c r="S211" s="54">
        <v>5.97183098591549</v>
      </c>
      <c r="T211" s="58">
        <v>0.71830985915493</v>
      </c>
      <c r="U211" s="60">
        <v>2374.45070422535</v>
      </c>
      <c r="V211" s="59">
        <v>1100012443</v>
      </c>
    </row>
    <row r="212" spans="1:22" s="168" customFormat="1" ht="22.500000" customHeight="1">
      <c r="A212" s="34">
        <v>210</v>
      </c>
      <c r="B212" s="49">
        <v>147</v>
      </c>
      <c r="C212" s="49">
        <v>142</v>
      </c>
      <c r="D212" s="49">
        <v>115</v>
      </c>
      <c r="E212" s="49">
        <v>96</v>
      </c>
      <c r="F212" s="50">
        <f>(C212*100)/B212</f>
        <v>96.5986394557823</v>
      </c>
      <c r="G212" s="156">
        <f>(D212*100)/B212</f>
        <v>78.2312925170068</v>
      </c>
      <c r="H212" s="152">
        <f>((B212-B213)/B212)*100</f>
        <v>4.76190476190476</v>
      </c>
      <c r="I212" s="152">
        <f>((B212-C212)/B212)*100</f>
        <v>3.40136054421769</v>
      </c>
      <c r="J212" s="152">
        <f>((C212-B213)/C212)*100</f>
        <v>1.40845070422535</v>
      </c>
      <c r="K212" s="161"/>
      <c r="L212" s="54">
        <v>1.41549295774647</v>
      </c>
      <c r="M212" s="69" t="s">
        <v>28</v>
      </c>
      <c r="N212" s="54">
        <v>10.97</v>
      </c>
      <c r="O212" s="56">
        <f>N212/C212</f>
        <v>0.0772535211267606</v>
      </c>
      <c r="P212" s="57">
        <f>(Boosters_And!B212*100)/Boosters_And!N212</f>
        <v>54.3401991275822</v>
      </c>
      <c r="Q212" s="57">
        <f>Boosters_And!B212/(C212+D212)</f>
        <v>1.79509510747677</v>
      </c>
      <c r="R212" s="57">
        <f>Boosters_And!N212/B212</f>
        <v>5.77539943841598</v>
      </c>
      <c r="S212" s="54">
        <v>5.18309859154929</v>
      </c>
      <c r="T212" s="58">
        <v>0.676056338028169</v>
      </c>
      <c r="U212" s="60">
        <v>2355.04929577465</v>
      </c>
      <c r="V212" s="59">
        <v>1100007413</v>
      </c>
    </row>
    <row r="213" spans="1:22" s="168" customFormat="1" ht="22.500000" customHeight="1">
      <c r="A213" s="34">
        <v>211</v>
      </c>
      <c r="B213" s="49">
        <v>140</v>
      </c>
      <c r="C213" s="49">
        <v>135</v>
      </c>
      <c r="D213" s="49">
        <v>105</v>
      </c>
      <c r="E213" s="49">
        <v>24</v>
      </c>
      <c r="F213" s="50">
        <f>(C213*100)/B213</f>
        <v>96.4285714285714</v>
      </c>
      <c r="G213" s="156">
        <f>(D213*100)/B213</f>
        <v>75</v>
      </c>
      <c r="H213" s="152">
        <f>((B213-B214)/B213)*100</f>
        <v>-1.42857142857143</v>
      </c>
      <c r="I213" s="152">
        <f>((B213-C213)/B213)*100</f>
        <v>3.57142857142857</v>
      </c>
      <c r="J213" s="152">
        <f>((C213-B214)/C213)*100</f>
        <v>-5.18518518518519</v>
      </c>
      <c r="K213" s="161"/>
      <c r="L213" s="54">
        <v>1.23703703703703</v>
      </c>
      <c r="M213" s="73" t="s">
        <v>30</v>
      </c>
      <c r="N213" s="54">
        <v>11.48</v>
      </c>
      <c r="O213" s="56">
        <f>N213/C213</f>
        <v>0.085037037037037</v>
      </c>
      <c r="P213" s="57">
        <f>(Boosters_And!B213*100)/Boosters_And!N213</f>
        <v>16.6490656204237</v>
      </c>
      <c r="Q213" s="57">
        <f>Boosters_And!B213/(C213+D213)</f>
        <v>0.539486233150079</v>
      </c>
      <c r="R213" s="57">
        <f>Boosters_And!N213/B213</f>
        <v>5.55486754408898</v>
      </c>
      <c r="S213" s="54">
        <v>12.437037037037</v>
      </c>
      <c r="T213" s="58">
        <v>0.822222222222222</v>
      </c>
      <c r="U213" s="60">
        <v>2396.12592592593</v>
      </c>
      <c r="V213" s="59">
        <v>1099976858</v>
      </c>
    </row>
    <row r="214" spans="1:22" s="168" customFormat="1" ht="22.500000" customHeight="1">
      <c r="A214" s="34">
        <v>212</v>
      </c>
      <c r="B214" s="49">
        <v>142</v>
      </c>
      <c r="C214" s="49">
        <v>142</v>
      </c>
      <c r="D214" s="49">
        <v>84</v>
      </c>
      <c r="E214" s="49">
        <v>36</v>
      </c>
      <c r="F214" s="50">
        <f>(C214*100)/B214</f>
        <v>100</v>
      </c>
      <c r="G214" s="156">
        <f>(D214*100)/B214</f>
        <v>59.1549295774648</v>
      </c>
      <c r="H214" s="152">
        <f>((B214-B215)/B214)*100</f>
        <v>-2.8169014084507</v>
      </c>
      <c r="I214" s="152">
        <f>((B214-C214)/B214)*100</f>
        <v>0</v>
      </c>
      <c r="J214" s="152">
        <f>((C214-B215)/C214)*100</f>
        <v>-2.8169014084507</v>
      </c>
      <c r="K214" s="161"/>
      <c r="L214" s="54">
        <v>1.22535211267605</v>
      </c>
      <c r="M214" s="69" t="s">
        <v>28</v>
      </c>
      <c r="N214" s="54">
        <v>1.99</v>
      </c>
      <c r="O214" s="56">
        <f>N214/C214</f>
        <v>0.0140140845070423</v>
      </c>
      <c r="P214" s="57">
        <f>(Boosters_And!B214*100)/Boosters_And!N214</f>
        <v>18.5175920281034</v>
      </c>
      <c r="Q214" s="57">
        <f>Boosters_And!B214/(C214+D214)</f>
        <v>0.481529050082624</v>
      </c>
      <c r="R214" s="57">
        <f>Boosters_And!N214/B214</f>
        <v>4.13864404935013</v>
      </c>
      <c r="S214" s="54">
        <v>12.2112676056338</v>
      </c>
      <c r="T214" s="58">
        <v>0.746478873239437</v>
      </c>
      <c r="U214" s="60">
        <v>2319.59154929578</v>
      </c>
      <c r="V214" s="59">
        <v>1099980328</v>
      </c>
    </row>
    <row r="215" spans="1:22" s="168" customFormat="1" ht="22.500000" customHeight="1">
      <c r="A215" s="34">
        <v>213</v>
      </c>
      <c r="B215" s="49">
        <v>146</v>
      </c>
      <c r="C215" s="49">
        <v>141</v>
      </c>
      <c r="D215" s="49">
        <v>87</v>
      </c>
      <c r="E215" s="49">
        <v>35</v>
      </c>
      <c r="F215" s="50">
        <f>(C215*100)/B215</f>
        <v>96.5753424657534</v>
      </c>
      <c r="G215" s="156">
        <f>(D215*100)/B215</f>
        <v>59.5890410958904</v>
      </c>
      <c r="H215" s="152">
        <f>((B215-B216)/B215)*100</f>
        <v>-2.05479452054795</v>
      </c>
      <c r="I215" s="152">
        <f>((B215-C215)/B215)*100</f>
        <v>3.42465753424658</v>
      </c>
      <c r="J215" s="152">
        <f>((C215-B216)/C215)*100</f>
        <v>-5.67375886524823</v>
      </c>
      <c r="K215" s="161"/>
      <c r="L215" s="54">
        <v>1.26241134751773</v>
      </c>
      <c r="M215" s="55" t="s">
        <v>28</v>
      </c>
      <c r="N215" s="54">
        <v>12.86</v>
      </c>
      <c r="O215" s="56">
        <f>N215/C215</f>
        <v>0.0912056737588653</v>
      </c>
      <c r="P215" s="57">
        <f>(Boosters_And!B215*100)/Boosters_And!N215</f>
        <v>27.6408233641094</v>
      </c>
      <c r="Q215" s="57">
        <f>Boosters_And!B215/(C215+D215)</f>
        <v>0.617273456043901</v>
      </c>
      <c r="R215" s="57">
        <f>Boosters_And!N215/B215</f>
        <v>3.48745504004155</v>
      </c>
      <c r="S215" s="54">
        <v>7.34751773049645</v>
      </c>
      <c r="T215" s="58">
        <v>0.780141843971631</v>
      </c>
      <c r="U215" s="60">
        <v>2330.58156028369</v>
      </c>
      <c r="V215" s="59">
        <v>1100017208</v>
      </c>
    </row>
    <row r="216" spans="1:22" s="168" customFormat="1" ht="22.500000" customHeight="1">
      <c r="A216" s="34">
        <v>214</v>
      </c>
      <c r="B216" s="49">
        <v>149</v>
      </c>
      <c r="C216" s="49">
        <v>145</v>
      </c>
      <c r="D216" s="49">
        <v>118</v>
      </c>
      <c r="E216" s="49">
        <v>57</v>
      </c>
      <c r="F216" s="50">
        <f>(C216*100)/B216</f>
        <v>97.3154362416107</v>
      </c>
      <c r="G216" s="156">
        <f>(D216*100)/B216</f>
        <v>79.1946308724832</v>
      </c>
      <c r="H216" s="152">
        <f>((B216-B217)/B216)*100</f>
        <v>-1.34228187919463</v>
      </c>
      <c r="I216" s="152">
        <f>((B216-C216)/B216)*100</f>
        <v>2.68456375838926</v>
      </c>
      <c r="J216" s="152">
        <f>((C216-B217)/C216)*100</f>
        <v>-4.13793103448276</v>
      </c>
      <c r="K216" s="161"/>
      <c r="L216" s="54">
        <v>1.7103448275862</v>
      </c>
      <c r="M216" s="68" t="s">
        <v>29</v>
      </c>
      <c r="N216" s="54">
        <v>3.98</v>
      </c>
      <c r="O216" s="56">
        <f>N216/C216</f>
        <v>0.027448275862069</v>
      </c>
      <c r="P216" s="57">
        <f>(Boosters_And!B216*100)/Boosters_And!N216</f>
        <v>18.9871043436453</v>
      </c>
      <c r="Q216" s="57">
        <f>Boosters_And!B216/(C216+D216)</f>
        <v>0.483379024980345</v>
      </c>
      <c r="R216" s="57">
        <f>Boosters_And!N216/B216</f>
        <v>4.49364276914514</v>
      </c>
      <c r="S216" s="54">
        <v>7.13103448275862</v>
      </c>
      <c r="T216" s="58">
        <v>0.83448275862069</v>
      </c>
      <c r="U216" s="60">
        <v>2238.11724137931</v>
      </c>
      <c r="V216" s="59">
        <v>1099967088</v>
      </c>
    </row>
    <row r="217" spans="1:22" s="168" customFormat="1" ht="22.500000" customHeight="1">
      <c r="A217" s="34">
        <v>215</v>
      </c>
      <c r="B217" s="49">
        <v>151</v>
      </c>
      <c r="C217" s="49">
        <v>148</v>
      </c>
      <c r="D217" s="49">
        <v>129</v>
      </c>
      <c r="E217" s="49">
        <v>29</v>
      </c>
      <c r="F217" s="50">
        <f>(C217*100)/B217</f>
        <v>98.0132450331126</v>
      </c>
      <c r="G217" s="156">
        <f>(D217*100)/B217</f>
        <v>85.4304635761589</v>
      </c>
      <c r="H217" s="152">
        <f>((B217-B218)/B217)*100</f>
        <v>3.3112582781457</v>
      </c>
      <c r="I217" s="152">
        <f>((B217-C217)/B217)*100</f>
        <v>1.98675496688742</v>
      </c>
      <c r="J217" s="152">
        <f>((C217-B218)/C217)*100</f>
        <v>1.35135135135135</v>
      </c>
      <c r="K217" s="161"/>
      <c r="L217" s="54">
        <v>1.20945945945945</v>
      </c>
      <c r="M217" s="55" t="s">
        <v>28</v>
      </c>
      <c r="N217" s="54">
        <v>11.96</v>
      </c>
      <c r="O217" s="56">
        <f>N217/C217</f>
        <v>0.0808108108108108</v>
      </c>
      <c r="P217" s="57">
        <f>(Boosters_And!B217*100)/Boosters_And!N217</f>
        <v>12.5961564404963</v>
      </c>
      <c r="Q217" s="57">
        <f>Boosters_And!B217/(C217+D217)</f>
        <v>0.331812006075345</v>
      </c>
      <c r="R217" s="57">
        <f>Boosters_And!N217/B217</f>
        <v>4.83233319966174</v>
      </c>
      <c r="S217" s="54">
        <v>7.1554054054054</v>
      </c>
      <c r="T217" s="58">
        <v>0.878378378378378</v>
      </c>
      <c r="U217" s="60">
        <v>2213.32432432432</v>
      </c>
      <c r="V217" s="59">
        <v>1099932618</v>
      </c>
    </row>
    <row r="218" spans="1:22" s="168" customFormat="1" ht="22.500000" customHeight="1">
      <c r="A218" s="34">
        <v>216</v>
      </c>
      <c r="B218" s="49">
        <v>146</v>
      </c>
      <c r="C218" s="49">
        <v>144</v>
      </c>
      <c r="D218" s="49">
        <v>62</v>
      </c>
      <c r="E218" s="49">
        <v>12</v>
      </c>
      <c r="F218" s="50">
        <f>(C218*100)/B218</f>
        <v>98.6301369863014</v>
      </c>
      <c r="G218" s="156">
        <f>(D218*100)/B218</f>
        <v>42.4657534246575</v>
      </c>
      <c r="H218" s="152">
        <f>((B218-B219)/B218)*100</f>
        <v>0.684931506849315</v>
      </c>
      <c r="I218" s="152">
        <f>((B218-C218)/B218)*100</f>
        <v>1.36986301369863</v>
      </c>
      <c r="J218" s="152">
        <f>((C218-B219)/C218)*100</f>
        <v>-0.694444444444444</v>
      </c>
      <c r="K218" s="161"/>
      <c r="L218" s="54">
        <v>1.03472222222222</v>
      </c>
      <c r="M218" s="69" t="s">
        <v>28</v>
      </c>
      <c r="N218" s="54">
        <v>2.99</v>
      </c>
      <c r="O218" s="56">
        <f>N218/C218</f>
        <v>0.0207638888888889</v>
      </c>
      <c r="P218" s="57">
        <f>(Boosters_And!B218*100)/Boosters_And!N218</f>
        <v>9.98872239648964</v>
      </c>
      <c r="Q218" s="57">
        <f>Boosters_And!B218/(C218+D218)</f>
        <v>0.260656154349081</v>
      </c>
      <c r="R218" s="57">
        <f>Boosters_And!N218/B218</f>
        <v>3.68190352370837</v>
      </c>
      <c r="S218" s="54">
        <v>16.9652777777777</v>
      </c>
      <c r="T218" s="58">
        <v>0.6875</v>
      </c>
      <c r="U218" s="60">
        <v>2357.0625</v>
      </c>
      <c r="V218" s="59">
        <v>1099930053</v>
      </c>
    </row>
    <row r="219" spans="1:22" s="168" customFormat="1" ht="22.500000" customHeight="1">
      <c r="A219" s="34">
        <v>217</v>
      </c>
      <c r="B219" s="49">
        <v>145</v>
      </c>
      <c r="C219" s="49">
        <v>139</v>
      </c>
      <c r="D219" s="49">
        <v>120</v>
      </c>
      <c r="E219" s="49">
        <v>41</v>
      </c>
      <c r="F219" s="50">
        <f>(C219*100)/B219</f>
        <v>95.8620689655172</v>
      </c>
      <c r="G219" s="156">
        <f>(D219*100)/B219</f>
        <v>82.7586206896552</v>
      </c>
      <c r="H219" s="152">
        <f>((B219-B220)/B219)*100</f>
        <v>3.44827586206897</v>
      </c>
      <c r="I219" s="152">
        <f>((B219-C219)/B219)*100</f>
        <v>4.13793103448276</v>
      </c>
      <c r="J219" s="152">
        <f>((C219-B220)/C219)*100</f>
        <v>-0.719424460431655</v>
      </c>
      <c r="K219" s="161"/>
      <c r="L219" s="54">
        <v>1.37410071942446</v>
      </c>
      <c r="M219" s="70" t="s">
        <v>29</v>
      </c>
      <c r="N219" s="54">
        <v>10.97</v>
      </c>
      <c r="O219" s="56">
        <f>N219/C219</f>
        <v>0.0789208633093525</v>
      </c>
      <c r="P219" s="57">
        <f>(Boosters_And!B219*100)/Boosters_And!N219</f>
        <v>12.237670741346</v>
      </c>
      <c r="Q219" s="57">
        <f>Boosters_And!B219/(C219+D219)</f>
        <v>0.353195185067509</v>
      </c>
      <c r="R219" s="57">
        <f>Boosters_And!N219/B219</f>
        <v>5.15522674805238</v>
      </c>
      <c r="S219" s="54">
        <v>7.17266187050359</v>
      </c>
      <c r="T219" s="58">
        <v>0.820143884892086</v>
      </c>
      <c r="U219" s="60">
        <v>2363.5035971223</v>
      </c>
      <c r="V219" s="59">
        <v>1099904538</v>
      </c>
    </row>
    <row r="220" spans="1:22" s="168" customFormat="1" ht="22.500000" customHeight="1">
      <c r="A220" s="34">
        <v>218</v>
      </c>
      <c r="B220" s="49">
        <v>140</v>
      </c>
      <c r="C220" s="49">
        <v>136</v>
      </c>
      <c r="D220" s="49">
        <v>104</v>
      </c>
      <c r="E220" s="49">
        <v>54</v>
      </c>
      <c r="F220" s="50">
        <f>(C220*100)/B220</f>
        <v>97.1428571428571</v>
      </c>
      <c r="G220" s="156">
        <f>(D220*100)/B220</f>
        <v>74.2857142857143</v>
      </c>
      <c r="H220" s="152">
        <f>((B220-B221)/B220)*100</f>
        <v>2.14285714285714</v>
      </c>
      <c r="I220" s="152">
        <f>((B220-C220)/B220)*100</f>
        <v>2.85714285714286</v>
      </c>
      <c r="J220" s="152">
        <f>((C220-B221)/C220)*100</f>
        <v>-0.735294117647059</v>
      </c>
      <c r="K220" s="161"/>
      <c r="L220" s="54">
        <v>1.33088235294117</v>
      </c>
      <c r="M220" s="69" t="s">
        <v>28</v>
      </c>
      <c r="N220" s="54">
        <v>0</v>
      </c>
      <c r="O220" s="56">
        <f>N220/C220</f>
        <v>0</v>
      </c>
      <c r="P220" s="57">
        <f>(Boosters_And!B220*100)/Boosters_And!N220</f>
        <v>23.3649674290796</v>
      </c>
      <c r="Q220" s="57">
        <f>Boosters_And!B220/(C220+D220)</f>
        <v>0.805059112323178</v>
      </c>
      <c r="R220" s="57">
        <f>Boosters_And!N220/B220</f>
        <v>5.90671200206132</v>
      </c>
      <c r="S220" s="54">
        <v>5.6985294117647</v>
      </c>
      <c r="T220" s="58">
        <v>0.816176470588235</v>
      </c>
      <c r="U220" s="60">
        <v>2277.47794117647</v>
      </c>
      <c r="V220" s="59">
        <v>1099850218</v>
      </c>
    </row>
    <row r="221" spans="1:22" s="168" customFormat="1" ht="22.500000" customHeight="1">
      <c r="A221" s="34">
        <v>219</v>
      </c>
      <c r="B221" s="49">
        <v>137</v>
      </c>
      <c r="C221" s="49">
        <v>137</v>
      </c>
      <c r="D221" s="49">
        <v>25</v>
      </c>
      <c r="E221" s="49">
        <v>4</v>
      </c>
      <c r="F221" s="50">
        <f>(C221*100)/B221</f>
        <v>100</v>
      </c>
      <c r="G221" s="156">
        <f>(D221*100)/B221</f>
        <v>18.2481751824818</v>
      </c>
      <c r="H221" s="152">
        <f>((B221-B222)/B221)*100</f>
        <v>0.72992700729927</v>
      </c>
      <c r="I221" s="152">
        <f>((B221-C221)/B221)*100</f>
        <v>0</v>
      </c>
      <c r="J221" s="152">
        <f>((C221-B222)/C221)*100</f>
        <v>0.72992700729927</v>
      </c>
      <c r="K221" s="161"/>
      <c r="L221" s="54">
        <v>1.00729927007299</v>
      </c>
      <c r="M221" s="55" t="s">
        <v>28</v>
      </c>
      <c r="N221" s="54">
        <v>5.99</v>
      </c>
      <c r="O221" s="56">
        <f>N221/C221</f>
        <v>0.0437226277372263</v>
      </c>
      <c r="P221" s="57">
        <f>(Boosters_And!B221*100)/Boosters_And!N221</f>
        <v>5.51260481931433</v>
      </c>
      <c r="Q221" s="57">
        <f>Boosters_And!B221/(C221+D221)</f>
        <v>0.132044398569673</v>
      </c>
      <c r="R221" s="57">
        <f>Boosters_And!N221/B221</f>
        <v>2.83241946152677</v>
      </c>
      <c r="S221" s="54">
        <v>7.05109489051094</v>
      </c>
      <c r="T221" s="58">
        <v>0.532846715328467</v>
      </c>
      <c r="U221" s="60">
        <v>2304.21167883212</v>
      </c>
      <c r="V221" s="59">
        <v>1099858908</v>
      </c>
    </row>
    <row r="222" spans="1:22" s="168" customFormat="1" ht="22.500000" customHeight="1">
      <c r="A222" s="34">
        <v>220</v>
      </c>
      <c r="B222" s="49">
        <v>136</v>
      </c>
      <c r="C222" s="49">
        <v>134</v>
      </c>
      <c r="D222" s="49">
        <v>98</v>
      </c>
      <c r="E222" s="49">
        <v>26</v>
      </c>
      <c r="F222" s="50">
        <f>(C222*100)/B222</f>
        <v>98.5294117647059</v>
      </c>
      <c r="G222" s="156">
        <f>(D222*100)/B222</f>
        <v>72.0588235294118</v>
      </c>
      <c r="H222" s="152">
        <f>((B222-B223)/B222)*100</f>
        <v>1.47058823529412</v>
      </c>
      <c r="I222" s="152">
        <f>((B222-C222)/B222)*100</f>
        <v>1.47058823529412</v>
      </c>
      <c r="J222" s="152">
        <f>((C222-B223)/C222)*100</f>
        <v>0</v>
      </c>
      <c r="K222" s="161"/>
      <c r="L222" s="54">
        <v>1.12686567164179</v>
      </c>
      <c r="M222" s="68" t="s">
        <v>29</v>
      </c>
      <c r="N222" s="54">
        <v>12.98</v>
      </c>
      <c r="O222" s="56">
        <f>N222/C222</f>
        <v>0.0968656716417911</v>
      </c>
      <c r="P222" s="57">
        <f>(Boosters_And!B222*100)/Boosters_And!N222</f>
        <v>22.1651566676407</v>
      </c>
      <c r="Q222" s="57">
        <f>Boosters_And!B222/(C222+D222)</f>
        <v>0.726751019406532</v>
      </c>
      <c r="R222" s="57">
        <f>Boosters_And!N222/B222</f>
        <v>5.59324600126806</v>
      </c>
      <c r="S222" s="54">
        <v>8.76865671641791</v>
      </c>
      <c r="T222" s="58">
        <v>0.798507462686567</v>
      </c>
      <c r="U222" s="60">
        <v>2301.05970149254</v>
      </c>
      <c r="V222" s="59">
        <v>1099828503</v>
      </c>
    </row>
    <row r="223" spans="1:22" s="168" customFormat="1" ht="22.500000" customHeight="1">
      <c r="A223" s="34">
        <v>221</v>
      </c>
      <c r="B223" s="49">
        <v>134</v>
      </c>
      <c r="C223" s="49">
        <v>131</v>
      </c>
      <c r="D223" s="49">
        <v>64</v>
      </c>
      <c r="E223" s="49">
        <v>23</v>
      </c>
      <c r="F223" s="50">
        <f>(C223*100)/B223</f>
        <v>97.7611940298507</v>
      </c>
      <c r="G223" s="156">
        <f>(D223*100)/B223</f>
        <v>47.7611940298508</v>
      </c>
      <c r="H223" s="152">
        <f>((B223-B224)/B223)*100</f>
        <v>-3.73134328358209</v>
      </c>
      <c r="I223" s="152">
        <f>((B223-C223)/B223)*100</f>
        <v>2.23880597014925</v>
      </c>
      <c r="J223" s="152">
        <f>((C223-B224)/C223)*100</f>
        <v>-6.10687022900763</v>
      </c>
      <c r="K223" s="161"/>
      <c r="L223" s="54">
        <v>1.10687022900763</v>
      </c>
      <c r="M223" s="70" t="s">
        <v>29</v>
      </c>
      <c r="N223" s="54">
        <v>0</v>
      </c>
      <c r="O223" s="56">
        <f>N223/C223</f>
        <v>0</v>
      </c>
      <c r="P223" s="57">
        <f>(Boosters_And!B223*100)/Boosters_And!N223</f>
        <v>14.5009405279321</v>
      </c>
      <c r="Q223" s="57">
        <f>Boosters_And!B223/(C223+D223)</f>
        <v>0.364992706178775</v>
      </c>
      <c r="R223" s="57">
        <f>Boosters_And!N223/B223</f>
        <v>3.66283898104387</v>
      </c>
      <c r="S223" s="54">
        <v>6.86259541984732</v>
      </c>
      <c r="T223" s="58">
        <v>0.732824427480916</v>
      </c>
      <c r="U223" s="60">
        <v>1578.22900763359</v>
      </c>
      <c r="V223" s="59">
        <v>1099807323</v>
      </c>
    </row>
    <row r="224" spans="1:22" s="168" customFormat="1" ht="22.500000" customHeight="1">
      <c r="A224" s="34">
        <v>222</v>
      </c>
      <c r="B224" s="49">
        <v>139</v>
      </c>
      <c r="C224" s="49">
        <v>131</v>
      </c>
      <c r="D224" s="49">
        <v>135</v>
      </c>
      <c r="E224" s="49">
        <v>60</v>
      </c>
      <c r="F224" s="50">
        <f>(C224*100)/B224</f>
        <v>94.2446043165468</v>
      </c>
      <c r="G224" s="156">
        <f>(D224*100)/B224</f>
        <v>97.1223021582734</v>
      </c>
      <c r="H224" s="152">
        <f>((B224-B225)/B224)*100</f>
        <v>2.15827338129496</v>
      </c>
      <c r="I224" s="152">
        <f>((B224-C224)/B224)*100</f>
        <v>5.75539568345324</v>
      </c>
      <c r="J224" s="152">
        <f>((C224-B225)/C224)*100</f>
        <v>-3.81679389312977</v>
      </c>
      <c r="K224" s="161"/>
      <c r="L224" s="54">
        <v>1.61363636363636</v>
      </c>
      <c r="M224" s="69" t="s">
        <v>28</v>
      </c>
      <c r="N224" s="54">
        <v>12.95</v>
      </c>
      <c r="O224" s="56">
        <f>N224/C224</f>
        <v>0.0988549618320611</v>
      </c>
      <c r="P224" s="57">
        <f>(Boosters_And!B224*100)/Boosters_And!N224</f>
        <v>18.7810992522061</v>
      </c>
      <c r="Q224" s="57">
        <f>Boosters_And!B224/(C224+D224)</f>
        <v>0.835060573836214</v>
      </c>
      <c r="R224" s="57">
        <f>Boosters_And!N224/B224</f>
        <v>8.50871168871298</v>
      </c>
      <c r="S224" s="54">
        <v>5.43181818181818</v>
      </c>
      <c r="T224" s="58">
        <v>0.954198473282443</v>
      </c>
      <c r="U224" s="60">
        <v>1414.3358778626</v>
      </c>
      <c r="V224" s="59">
        <v>1099769773</v>
      </c>
    </row>
    <row r="225" spans="1:22" s="168" customFormat="1" ht="22.500000" customHeight="1">
      <c r="A225" s="34">
        <v>223</v>
      </c>
      <c r="B225" s="49">
        <v>136</v>
      </c>
      <c r="C225" s="49">
        <v>131</v>
      </c>
      <c r="D225" s="49">
        <v>133</v>
      </c>
      <c r="E225" s="49">
        <v>50</v>
      </c>
      <c r="F225" s="50">
        <f>(C225*100)/B225</f>
        <v>96.3235294117647</v>
      </c>
      <c r="G225" s="156">
        <f>(D225*100)/B225</f>
        <v>97.7941176470588</v>
      </c>
      <c r="H225" s="152">
        <f>((B225-B226)/B225)*100</f>
        <v>2.94117647058824</v>
      </c>
      <c r="I225" s="152">
        <f>((B225-C225)/B225)*100</f>
        <v>3.67647058823529</v>
      </c>
      <c r="J225" s="152">
        <f>((C225-B226)/C225)*100</f>
        <v>-0.763358778625954</v>
      </c>
      <c r="K225" s="161"/>
      <c r="L225" s="54">
        <v>1.75572519083969</v>
      </c>
      <c r="M225" s="55" t="s">
        <v>28</v>
      </c>
      <c r="N225" s="54">
        <v>5.99</v>
      </c>
      <c r="O225" s="56">
        <f>N225/C225</f>
        <v>0.0457251908396947</v>
      </c>
      <c r="P225" s="57">
        <f>(Boosters_And!B225*100)/Boosters_And!N225</f>
        <v>7.12945765307437</v>
      </c>
      <c r="Q225" s="57">
        <f>Boosters_And!B225/(C225+D225)</f>
        <v>0.298251318098521</v>
      </c>
      <c r="R225" s="57">
        <f>Boosters_And!N225/B225</f>
        <v>8.12065193717949</v>
      </c>
      <c r="S225" s="54">
        <v>8.08396946564885</v>
      </c>
      <c r="T225" s="58">
        <v>0.916030534351145</v>
      </c>
      <c r="U225" s="60">
        <v>1393.11450381679</v>
      </c>
      <c r="V225" s="59">
        <v>1099773793</v>
      </c>
    </row>
    <row r="226" spans="1:22" s="168" customFormat="1" ht="22.500000" customHeight="1">
      <c r="A226" s="34">
        <v>224</v>
      </c>
      <c r="B226" s="49">
        <v>132</v>
      </c>
      <c r="C226" s="49">
        <v>131</v>
      </c>
      <c r="D226" s="49">
        <v>75</v>
      </c>
      <c r="E226" s="49">
        <v>17</v>
      </c>
      <c r="F226" s="50">
        <f>(C226*100)/B226</f>
        <v>99.2424242424243</v>
      </c>
      <c r="G226" s="156">
        <f>(D226*100)/B226</f>
        <v>56.8181818181818</v>
      </c>
      <c r="H226" s="152">
        <f>((B226-B227)/B226)*100</f>
        <v>-4.54545454545455</v>
      </c>
      <c r="I226" s="152">
        <f>((B226-C226)/B226)*100</f>
        <v>0.757575757575758</v>
      </c>
      <c r="J226" s="152">
        <f>((C226-B227)/C226)*100</f>
        <v>-5.34351145038168</v>
      </c>
      <c r="K226" s="161"/>
      <c r="L226" s="54">
        <v>1.12213740458015</v>
      </c>
      <c r="M226" s="69" t="s">
        <v>28</v>
      </c>
      <c r="N226" s="54">
        <v>0</v>
      </c>
      <c r="O226" s="56">
        <f>N226/C226</f>
        <v>0</v>
      </c>
      <c r="P226" s="57">
        <f>(Boosters_And!B226*100)/Boosters_And!N226</f>
        <v>20.3330341294404</v>
      </c>
      <c r="Q226" s="57">
        <f>Boosters_And!B226/(C226+D226)</f>
        <v>0.567110234670909</v>
      </c>
      <c r="R226" s="57">
        <f>Boosters_And!N226/B226</f>
        <v>4.35269848870068</v>
      </c>
      <c r="S226" s="54">
        <v>21.1450381679389</v>
      </c>
      <c r="T226" s="58">
        <v>0.732824427480916</v>
      </c>
      <c r="U226" s="60">
        <v>1420.5572519084</v>
      </c>
      <c r="V226" s="59">
        <v>1099752703</v>
      </c>
    </row>
    <row r="227" spans="1:22" s="168" customFormat="1" ht="22.500000" customHeight="1">
      <c r="A227" s="34">
        <v>225</v>
      </c>
      <c r="B227" s="49">
        <v>138</v>
      </c>
      <c r="C227" s="49">
        <v>130</v>
      </c>
      <c r="D227" s="49">
        <v>128</v>
      </c>
      <c r="E227" s="49">
        <v>69</v>
      </c>
      <c r="F227" s="50">
        <f>(C227*100)/B227</f>
        <v>94.2028985507246</v>
      </c>
      <c r="G227" s="156">
        <f>(D227*100)/B227</f>
        <v>92.7536231884058</v>
      </c>
      <c r="H227" s="152">
        <f>((B227-B228)/B227)*100</f>
        <v>5.79710144927536</v>
      </c>
      <c r="I227" s="152">
        <f>((B227-C227)/B227)*100</f>
        <v>5.79710144927536</v>
      </c>
      <c r="J227" s="152">
        <f>((C227-B228)/C227)*100</f>
        <v>0</v>
      </c>
      <c r="K227" s="161"/>
      <c r="L227" s="54">
        <v>1.73846153846153</v>
      </c>
      <c r="M227" s="55" t="s">
        <v>28</v>
      </c>
      <c r="N227" s="54">
        <v>9.33</v>
      </c>
      <c r="O227" s="56">
        <f>N227/C227</f>
        <v>0.0717692307692308</v>
      </c>
      <c r="P227" s="57">
        <f>(Boosters_And!B227*100)/Boosters_And!N227</f>
        <v>19.4943779418968</v>
      </c>
      <c r="Q227" s="57">
        <f>Boosters_And!B227/(C227+D227)</f>
        <v>0.942007900477922</v>
      </c>
      <c r="R227" s="57">
        <f>Boosters_And!N227/B227</f>
        <v>9.03411850580946</v>
      </c>
      <c r="S227" s="54">
        <v>7.44615384615384</v>
      </c>
      <c r="T227" s="58">
        <v>0.953846153846154</v>
      </c>
      <c r="U227" s="60">
        <v>1351.33076923077</v>
      </c>
      <c r="V227" s="59">
        <v>1099699508</v>
      </c>
    </row>
    <row r="228" spans="1:22" s="168" customFormat="1" ht="22.500000" customHeight="1">
      <c r="A228" s="34">
        <v>226</v>
      </c>
      <c r="B228" s="49">
        <v>130</v>
      </c>
      <c r="C228" s="49">
        <v>126</v>
      </c>
      <c r="D228" s="49">
        <v>85</v>
      </c>
      <c r="E228" s="49">
        <v>26</v>
      </c>
      <c r="F228" s="50">
        <f>(C228*100)/B228</f>
        <v>96.9230769230769</v>
      </c>
      <c r="G228" s="156">
        <f>(D228*100)/B228</f>
        <v>65.3846153846154</v>
      </c>
      <c r="H228" s="152">
        <f>((B228-B229)/B228)*100</f>
        <v>3.07692307692308</v>
      </c>
      <c r="I228" s="152">
        <f>((B228-C228)/B228)*100</f>
        <v>3.07692307692308</v>
      </c>
      <c r="J228" s="152">
        <f>((C228-B229)/C228)*100</f>
        <v>0</v>
      </c>
      <c r="K228" s="161"/>
      <c r="L228" s="54">
        <v>1.29365079365079</v>
      </c>
      <c r="M228" s="68" t="s">
        <v>29</v>
      </c>
      <c r="N228" s="54">
        <v>1.96</v>
      </c>
      <c r="O228" s="56">
        <f>N228/C228</f>
        <v>0.0155555555555556</v>
      </c>
      <c r="P228" s="57">
        <f>(Boosters_And!B228*100)/Boosters_And!N228</f>
        <v>19.0505066857152</v>
      </c>
      <c r="Q228" s="57">
        <f>Boosters_And!B228/(C228+D228)</f>
        <v>0.456412882706909</v>
      </c>
      <c r="R228" s="57">
        <f>Boosters_And!N228/B228</f>
        <v>3.88857487907172</v>
      </c>
      <c r="S228" s="54">
        <v>16.3809523809523</v>
      </c>
      <c r="T228" s="58">
        <v>0.825396825396825</v>
      </c>
      <c r="U228" s="60">
        <v>1405.81746031746</v>
      </c>
      <c r="V228" s="59">
        <v>1099739788</v>
      </c>
    </row>
    <row r="229" spans="1:22" s="168" customFormat="1" ht="22.500000" customHeight="1">
      <c r="A229" s="34">
        <v>227</v>
      </c>
      <c r="B229" s="49">
        <v>126</v>
      </c>
      <c r="C229" s="49">
        <v>123</v>
      </c>
      <c r="D229" s="49">
        <v>55</v>
      </c>
      <c r="E229" s="49">
        <v>19</v>
      </c>
      <c r="F229" s="50">
        <f>(C229*100)/B229</f>
        <v>97.6190476190476</v>
      </c>
      <c r="G229" s="156">
        <f>(D229*100)/B229</f>
        <v>43.6507936507937</v>
      </c>
      <c r="H229" s="152">
        <f>((B229-B230)/B229)*100</f>
        <v>0.793650793650794</v>
      </c>
      <c r="I229" s="152">
        <f>((B229-C229)/B229)*100</f>
        <v>2.38095238095238</v>
      </c>
      <c r="J229" s="152">
        <f>((C229-B230)/C229)*100</f>
        <v>-1.6260162601626</v>
      </c>
      <c r="K229" s="161"/>
      <c r="L229" s="54">
        <v>1.0650406504065</v>
      </c>
      <c r="M229" s="70" t="s">
        <v>29</v>
      </c>
      <c r="N229" s="54">
        <v>0</v>
      </c>
      <c r="O229" s="56">
        <f>N229/C229</f>
        <v>0</v>
      </c>
      <c r="P229" s="57">
        <f>(Boosters_And!B229*100)/Boosters_And!N229</f>
        <v>15.2950675655967</v>
      </c>
      <c r="Q229" s="57">
        <f>Boosters_And!B229/(C229+D229)</f>
        <v>0.359060576737846</v>
      </c>
      <c r="R229" s="57">
        <f>Boosters_And!N229/B229</f>
        <v>3.3163914094834</v>
      </c>
      <c r="S229" s="54">
        <v>9.03252032520325</v>
      </c>
      <c r="T229" s="58">
        <v>0.67479674796748</v>
      </c>
      <c r="U229" s="60">
        <v>1447.50406504065</v>
      </c>
      <c r="V229" s="59">
        <v>1099721998</v>
      </c>
    </row>
    <row r="230" spans="1:22" s="168" customFormat="1" ht="22.500000" customHeight="1">
      <c r="A230" s="34">
        <v>228</v>
      </c>
      <c r="B230" s="49">
        <v>125</v>
      </c>
      <c r="C230" s="49">
        <v>125</v>
      </c>
      <c r="D230" s="49">
        <v>0</v>
      </c>
      <c r="E230" s="49">
        <v>1</v>
      </c>
      <c r="F230" s="50">
        <f>(C230*100)/B230</f>
        <v>100</v>
      </c>
      <c r="G230" s="156">
        <f>(D230*100)/B230</f>
        <v>0</v>
      </c>
      <c r="H230" s="152">
        <f>((B230-B231)/B230)*100</f>
        <v>-1.6</v>
      </c>
      <c r="I230" s="152">
        <f>((B230-C230)/B230)*100</f>
        <v>0</v>
      </c>
      <c r="J230" s="152">
        <f>((C230-B231)/C230)*100</f>
        <v>-1.6</v>
      </c>
      <c r="K230" s="161"/>
      <c r="L230" s="54">
        <v>1</v>
      </c>
      <c r="M230" s="69" t="s">
        <v>28</v>
      </c>
      <c r="N230" s="54">
        <v>0</v>
      </c>
      <c r="O230" s="56">
        <f>N230/C230</f>
        <v>0</v>
      </c>
      <c r="P230" s="57">
        <f>(Boosters_And!B230*100)/Boosters_And!N230</f>
        <v>0.333333333333333</v>
      </c>
      <c r="Q230" s="57">
        <f>Boosters_And!B230/(C230+D230)</f>
        <v>0.008</v>
      </c>
      <c r="R230" s="57">
        <f>Boosters_And!N230/B230</f>
        <v>2.4</v>
      </c>
      <c r="S230" s="54">
        <v>4.408</v>
      </c>
      <c r="T230" s="58">
        <v>0.504</v>
      </c>
      <c r="U230" s="60">
        <v>2020.624</v>
      </c>
      <c r="V230" s="59">
        <v>1099738033</v>
      </c>
    </row>
    <row r="231" spans="1:22" s="168" customFormat="1" ht="22.500000" customHeight="1">
      <c r="A231" s="34">
        <v>229</v>
      </c>
      <c r="B231" s="49">
        <v>127</v>
      </c>
      <c r="C231" s="49">
        <v>125</v>
      </c>
      <c r="D231" s="49">
        <v>75</v>
      </c>
      <c r="E231" s="49">
        <v>26</v>
      </c>
      <c r="F231" s="50">
        <f>(C231*100)/B231</f>
        <v>98.4251968503937</v>
      </c>
      <c r="G231" s="156">
        <f>(D231*100)/B231</f>
        <v>59.0551181102362</v>
      </c>
      <c r="H231" s="152">
        <f>((B231-B232)/B231)*100</f>
        <v>-0.78740157480315</v>
      </c>
      <c r="I231" s="152">
        <f>((B231-C231)/B231)*100</f>
        <v>1.5748031496063</v>
      </c>
      <c r="J231" s="152">
        <f>((C231-B232)/C231)*100</f>
        <v>-2.4</v>
      </c>
      <c r="K231" s="161"/>
      <c r="L231" s="54">
        <v>1.232</v>
      </c>
      <c r="M231" s="73" t="s">
        <v>30</v>
      </c>
      <c r="N231" s="54">
        <v>3.95</v>
      </c>
      <c r="O231" s="56">
        <f>N231/C231</f>
        <v>0.0316</v>
      </c>
      <c r="P231" s="57">
        <f>(Boosters_And!B231*100)/Boosters_And!N231</f>
        <v>15.1750284797769</v>
      </c>
      <c r="Q231" s="57">
        <f>Boosters_And!B231/(C231+D231)</f>
        <v>0.355651987613812</v>
      </c>
      <c r="R231" s="57">
        <f>Boosters_And!N231/B231</f>
        <v>3.69081264660799</v>
      </c>
      <c r="S231" s="54">
        <v>6.88</v>
      </c>
      <c r="T231" s="58">
        <v>0.744</v>
      </c>
      <c r="U231" s="60">
        <v>1956.064</v>
      </c>
      <c r="V231" s="59">
        <v>1099713238</v>
      </c>
    </row>
    <row r="232" spans="1:22" s="168" customFormat="1" ht="22.500000" customHeight="1">
      <c r="A232" s="34">
        <v>230</v>
      </c>
      <c r="B232" s="49">
        <v>128</v>
      </c>
      <c r="C232" s="49">
        <v>126</v>
      </c>
      <c r="D232" s="49">
        <v>89</v>
      </c>
      <c r="E232" s="49">
        <v>24</v>
      </c>
      <c r="F232" s="50">
        <f>(C232*100)/B232</f>
        <v>98.4375</v>
      </c>
      <c r="G232" s="156">
        <f>(D232*100)/B232</f>
        <v>69.53125</v>
      </c>
      <c r="H232" s="152">
        <f>((B232-B233)/B232)*100</f>
        <v>-1.5625</v>
      </c>
      <c r="I232" s="152">
        <f>((B232-C232)/B232)*100</f>
        <v>1.5625</v>
      </c>
      <c r="J232" s="152">
        <f>((C232-B233)/C232)*100</f>
        <v>-3.17460317460317</v>
      </c>
      <c r="K232" s="161"/>
      <c r="L232" s="54">
        <v>1.25396825396825</v>
      </c>
      <c r="M232" s="69" t="s">
        <v>28</v>
      </c>
      <c r="N232" s="54">
        <v>6.44</v>
      </c>
      <c r="O232" s="56">
        <f>N232/C232</f>
        <v>0.0511111111111111</v>
      </c>
      <c r="P232" s="57">
        <f>(Boosters_And!B232*100)/Boosters_And!N232</f>
        <v>25.8964632128942</v>
      </c>
      <c r="Q232" s="57">
        <f>Boosters_And!B232/(C232+D232)</f>
        <v>0.553480400218923</v>
      </c>
      <c r="R232" s="57">
        <f>Boosters_And!N232/B232</f>
        <v>3.58996555668585</v>
      </c>
      <c r="S232" s="54">
        <v>8.12698412698412</v>
      </c>
      <c r="T232" s="58">
        <v>0.873015873015873</v>
      </c>
      <c r="U232" s="60">
        <v>1908.59523809524</v>
      </c>
      <c r="V232" s="59">
        <v>1099677098</v>
      </c>
    </row>
    <row r="233" spans="1:22" s="168" customFormat="1" ht="22.500000" customHeight="1">
      <c r="A233" s="34">
        <v>231</v>
      </c>
      <c r="B233" s="49">
        <v>130</v>
      </c>
      <c r="C233" s="49">
        <v>127</v>
      </c>
      <c r="D233" s="49">
        <v>121</v>
      </c>
      <c r="E233" s="49">
        <v>37</v>
      </c>
      <c r="F233" s="50">
        <f>(C233*100)/B233</f>
        <v>97.6923076923077</v>
      </c>
      <c r="G233" s="156">
        <f>(D233*100)/B233</f>
        <v>93.0769230769231</v>
      </c>
      <c r="H233" s="152">
        <f>((B233-B234)/B233)*100</f>
        <v>-2.30769230769231</v>
      </c>
      <c r="I233" s="152">
        <f>((B233-C233)/B233)*100</f>
        <v>2.30769230769231</v>
      </c>
      <c r="J233" s="152">
        <f>((C233-B234)/C233)*100</f>
        <v>-4.7244094488189</v>
      </c>
      <c r="K233" s="161"/>
      <c r="L233" s="54">
        <v>1.22047244094488</v>
      </c>
      <c r="M233" s="70" t="s">
        <v>29</v>
      </c>
      <c r="N233" s="54">
        <v>7.48</v>
      </c>
      <c r="O233" s="56">
        <f>N233/C233</f>
        <v>0.0588976377952756</v>
      </c>
      <c r="P233" s="57">
        <f>(Boosters_And!B233*100)/Boosters_And!N233</f>
        <v>16.9267919881105</v>
      </c>
      <c r="Q233" s="57">
        <f>Boosters_And!B233/(C233+D233)</f>
        <v>0.412686687230873</v>
      </c>
      <c r="R233" s="57">
        <f>Boosters_And!N233/B233</f>
        <v>4.65108343784428</v>
      </c>
      <c r="S233" s="54">
        <v>7.29133858267716</v>
      </c>
      <c r="T233" s="58">
        <v>0.960629921259843</v>
      </c>
      <c r="U233" s="60">
        <v>1852.30708661417</v>
      </c>
      <c r="V233" s="59">
        <v>1099672128</v>
      </c>
    </row>
    <row r="234" spans="1:22" s="168" customFormat="1" ht="22.500000" customHeight="1">
      <c r="A234" s="34">
        <v>232</v>
      </c>
      <c r="B234" s="49">
        <v>133</v>
      </c>
      <c r="C234" s="49">
        <v>129</v>
      </c>
      <c r="D234" s="49">
        <v>81</v>
      </c>
      <c r="E234" s="49">
        <v>20</v>
      </c>
      <c r="F234" s="50">
        <f>(C234*100)/B234</f>
        <v>96.9924812030075</v>
      </c>
      <c r="G234" s="156">
        <f>(D234*100)/B234</f>
        <v>60.9022556390978</v>
      </c>
      <c r="H234" s="152">
        <f>((B234-B235)/B234)*100</f>
        <v>2.25563909774436</v>
      </c>
      <c r="I234" s="152">
        <f>((B234-C234)/B234)*100</f>
        <v>3.00751879699248</v>
      </c>
      <c r="J234" s="152">
        <f>((C234-B235)/C234)*100</f>
        <v>-0.775193798449613</v>
      </c>
      <c r="K234" s="161"/>
      <c r="L234" s="54">
        <v>1.10077519379844</v>
      </c>
      <c r="M234" s="69" t="s">
        <v>28</v>
      </c>
      <c r="N234" s="54">
        <v>0</v>
      </c>
      <c r="O234" s="56">
        <f>N234/C234</f>
        <v>0</v>
      </c>
      <c r="P234" s="57">
        <f>(Boosters_And!B234*100)/Boosters_And!N234</f>
        <v>10.3409638429402</v>
      </c>
      <c r="Q234" s="57">
        <f>Boosters_And!B234/(C234+D234)</f>
        <v>0.243683703356482</v>
      </c>
      <c r="R234" s="57">
        <f>Boosters_And!N234/B234</f>
        <v>3.72077253131963</v>
      </c>
      <c r="S234" s="54">
        <v>13.7441860465116</v>
      </c>
      <c r="T234" s="58">
        <v>0.813953488372093</v>
      </c>
      <c r="U234" s="60">
        <v>1891.72868217054</v>
      </c>
      <c r="V234" s="59">
        <v>1099680768</v>
      </c>
    </row>
    <row r="235" spans="1:22" s="168" customFormat="1" ht="22.500000" customHeight="1">
      <c r="A235" s="34">
        <v>233</v>
      </c>
      <c r="B235" s="49">
        <v>130</v>
      </c>
      <c r="C235" s="49">
        <v>123</v>
      </c>
      <c r="D235" s="49">
        <v>72</v>
      </c>
      <c r="E235" s="49">
        <v>20</v>
      </c>
      <c r="F235" s="50">
        <f>(C235*100)/B235</f>
        <v>94.6153846153846</v>
      </c>
      <c r="G235" s="156">
        <f>(D235*100)/B235</f>
        <v>55.3846153846154</v>
      </c>
      <c r="H235" s="152">
        <f>((B235-B236)/B235)*100</f>
        <v>2.30769230769231</v>
      </c>
      <c r="I235" s="152">
        <f>((B235-C235)/B235)*100</f>
        <v>5.38461538461539</v>
      </c>
      <c r="J235" s="152">
        <f>((C235-B236)/C235)*100</f>
        <v>-3.2520325203252</v>
      </c>
      <c r="K235" s="161"/>
      <c r="L235" s="54">
        <v>1.05691056910569</v>
      </c>
      <c r="M235" s="55" t="s">
        <v>28</v>
      </c>
      <c r="N235" s="54">
        <v>0</v>
      </c>
      <c r="O235" s="56">
        <f>N235/C235</f>
        <v>0</v>
      </c>
      <c r="P235" s="57">
        <f>(Boosters_And!B235*100)/Boosters_And!N235</f>
        <v>19.5316383707392</v>
      </c>
      <c r="Q235" s="57">
        <f>Boosters_And!B235/(C235+D235)</f>
        <v>0.60422927354978</v>
      </c>
      <c r="R235" s="57">
        <f>Boosters_And!N235/B235</f>
        <v>4.64038854867642</v>
      </c>
      <c r="S235" s="54">
        <v>9.30081300813008</v>
      </c>
      <c r="T235" s="58">
        <v>0.804878048780488</v>
      </c>
      <c r="U235" s="60">
        <v>1967.09756097561</v>
      </c>
      <c r="V235" s="59">
        <v>1099650213</v>
      </c>
    </row>
    <row r="236" spans="1:22" s="168" customFormat="1" ht="22.500000" customHeight="1">
      <c r="A236" s="34">
        <v>234</v>
      </c>
      <c r="B236" s="49">
        <v>127</v>
      </c>
      <c r="C236" s="49">
        <v>125</v>
      </c>
      <c r="D236" s="49">
        <v>58</v>
      </c>
      <c r="E236" s="49">
        <v>15</v>
      </c>
      <c r="F236" s="50">
        <f>(C236*100)/B236</f>
        <v>98.4251968503937</v>
      </c>
      <c r="G236" s="156">
        <f>(D236*100)/B236</f>
        <v>45.6692913385827</v>
      </c>
      <c r="H236" s="152">
        <f>((B236-B237)/B236)*100</f>
        <v>0</v>
      </c>
      <c r="I236" s="152">
        <f>((B236-C236)/B236)*100</f>
        <v>1.5748031496063</v>
      </c>
      <c r="J236" s="152">
        <f>((C236-B237)/C236)*100</f>
        <v>-1.6</v>
      </c>
      <c r="K236" s="161"/>
      <c r="L236" s="54">
        <v>1.056</v>
      </c>
      <c r="M236" s="68" t="s">
        <v>29</v>
      </c>
      <c r="N236" s="54">
        <v>1.99</v>
      </c>
      <c r="O236" s="56">
        <f>N236/C236</f>
        <v>0.01592</v>
      </c>
      <c r="P236" s="57">
        <f>(Boosters_And!B236*100)/Boosters_And!N236</f>
        <v>14.9253560368857</v>
      </c>
      <c r="Q236" s="57">
        <f>Boosters_And!B236/(C236+D236)</f>
        <v>0.450697010560026</v>
      </c>
      <c r="R236" s="57">
        <f>Boosters_And!N236/B236</f>
        <v>4.35118297375634</v>
      </c>
      <c r="S236" s="54">
        <v>6.928</v>
      </c>
      <c r="T236" s="58">
        <v>0.696</v>
      </c>
      <c r="U236" s="60">
        <v>1978.384</v>
      </c>
      <c r="V236" s="59">
        <v>1099640933</v>
      </c>
    </row>
    <row r="237" spans="1:22" s="168" customFormat="1" ht="22.500000" customHeight="1">
      <c r="A237" s="34">
        <v>235</v>
      </c>
      <c r="B237" s="49">
        <v>127</v>
      </c>
      <c r="C237" s="49">
        <v>127</v>
      </c>
      <c r="D237" s="49">
        <v>7</v>
      </c>
      <c r="E237" s="49">
        <v>1</v>
      </c>
      <c r="F237" s="50">
        <f>(C237*100)/B237</f>
        <v>100</v>
      </c>
      <c r="G237" s="156">
        <f>(D237*100)/B237</f>
        <v>5.51181102362205</v>
      </c>
      <c r="H237" s="152">
        <f>((B237-B238)/B237)*100</f>
        <v>0</v>
      </c>
      <c r="I237" s="152">
        <f>((B237-C237)/B237)*100</f>
        <v>0</v>
      </c>
      <c r="J237" s="152">
        <f>((C237-B238)/C237)*100</f>
        <v>0</v>
      </c>
      <c r="K237" s="161"/>
      <c r="L237" s="54">
        <v>1</v>
      </c>
      <c r="M237" s="55" t="s">
        <v>28</v>
      </c>
      <c r="N237" s="54">
        <v>0</v>
      </c>
      <c r="O237" s="56">
        <f>N237/C237</f>
        <v>0</v>
      </c>
      <c r="P237" s="57">
        <f>(Boosters_And!B237*100)/Boosters_And!N237</f>
        <v>1.26277488768445</v>
      </c>
      <c r="Q237" s="57">
        <f>Boosters_And!B237/(C237+D237)</f>
        <v>0.0373134328358209</v>
      </c>
      <c r="R237" s="57">
        <f>Boosters_And!N237/B237</f>
        <v>3.11774324340187</v>
      </c>
      <c r="S237" s="54">
        <v>9.36220472440944</v>
      </c>
      <c r="T237" s="58">
        <v>0.496062992125984</v>
      </c>
      <c r="U237" s="60">
        <v>2028.92125984252</v>
      </c>
      <c r="V237" s="59">
        <v>1099665858</v>
      </c>
    </row>
    <row r="238" spans="1:22" s="168" customFormat="1" ht="22.500000" customHeight="1">
      <c r="A238" s="34">
        <v>236</v>
      </c>
      <c r="B238" s="49">
        <v>127</v>
      </c>
      <c r="C238" s="49">
        <v>120</v>
      </c>
      <c r="D238" s="49">
        <v>101</v>
      </c>
      <c r="E238" s="49">
        <v>33</v>
      </c>
      <c r="F238" s="50">
        <f>(C238*100)/B238</f>
        <v>94.488188976378</v>
      </c>
      <c r="G238" s="156">
        <f>(D238*100)/B238</f>
        <v>79.5275590551181</v>
      </c>
      <c r="H238" s="152">
        <f>((B238-B239)/B238)*100</f>
        <v>1.5748031496063</v>
      </c>
      <c r="I238" s="152">
        <f>((B238-C238)/B238)*100</f>
        <v>5.51181102362205</v>
      </c>
      <c r="J238" s="152">
        <f>((C238-B239)/C238)*100</f>
        <v>-4.16666666666667</v>
      </c>
      <c r="K238" s="161"/>
      <c r="L238" s="54">
        <v>1.35833333333333</v>
      </c>
      <c r="M238" s="69" t="s">
        <v>28</v>
      </c>
      <c r="N238" s="54">
        <v>12.87</v>
      </c>
      <c r="O238" s="56">
        <f>N238/C238</f>
        <v>0.10725</v>
      </c>
      <c r="P238" s="57">
        <f>(Boosters_And!B238*100)/Boosters_And!N238</f>
        <v>18.7307293875154</v>
      </c>
      <c r="Q238" s="57">
        <f>Boosters_And!B238/(C238+D238)</f>
        <v>0.640951464528869</v>
      </c>
      <c r="R238" s="57">
        <f>Boosters_And!N238/B238</f>
        <v>5.9546879485759</v>
      </c>
      <c r="S238" s="54">
        <v>7.64166666666666</v>
      </c>
      <c r="T238" s="58">
        <v>0.916666666666667</v>
      </c>
      <c r="U238" s="60">
        <v>2071.525</v>
      </c>
      <c r="V238" s="59">
        <v>1099650198</v>
      </c>
    </row>
    <row r="239" spans="1:22" s="168" customFormat="1" ht="22.500000" customHeight="1">
      <c r="A239" s="34">
        <v>237</v>
      </c>
      <c r="B239" s="49">
        <v>125</v>
      </c>
      <c r="C239" s="49">
        <v>123</v>
      </c>
      <c r="D239" s="49">
        <v>72</v>
      </c>
      <c r="E239" s="49">
        <v>42</v>
      </c>
      <c r="F239" s="50">
        <f>(C239*100)/B239</f>
        <v>98.4</v>
      </c>
      <c r="G239" s="156">
        <f>(D239*100)/B239</f>
        <v>57.6</v>
      </c>
      <c r="H239" s="152">
        <f>((B239-B240)/B239)*100</f>
        <v>-1.6</v>
      </c>
      <c r="I239" s="152">
        <f>((B239-C239)/B239)*100</f>
        <v>1.6</v>
      </c>
      <c r="J239" s="152">
        <f>((C239-B240)/C239)*100</f>
        <v>-3.2520325203252</v>
      </c>
      <c r="K239" s="161"/>
      <c r="L239" s="54">
        <v>1.34959349593495</v>
      </c>
      <c r="M239" s="55" t="s">
        <v>28</v>
      </c>
      <c r="N239" s="54">
        <v>0</v>
      </c>
      <c r="O239" s="56">
        <f>N239/C239</f>
        <v>0</v>
      </c>
      <c r="P239" s="57">
        <f>(Boosters_And!B239*100)/Boosters_And!N239</f>
        <v>24.0655256785286</v>
      </c>
      <c r="Q239" s="57">
        <f>Boosters_And!B239/(C239+D239)</f>
        <v>0.597094952686769</v>
      </c>
      <c r="R239" s="57">
        <f>Boosters_And!N239/B239</f>
        <v>3.87054967605557</v>
      </c>
      <c r="S239" s="54">
        <v>10.8536585365853</v>
      </c>
      <c r="T239" s="58">
        <v>0.75609756097561</v>
      </c>
      <c r="U239" s="60">
        <v>2009.37398373984</v>
      </c>
      <c r="V239" s="59">
        <v>1099650313</v>
      </c>
    </row>
    <row r="240" spans="1:22" s="168" customFormat="1" ht="22.500000" customHeight="1">
      <c r="A240" s="34">
        <v>238</v>
      </c>
      <c r="B240" s="49">
        <v>127</v>
      </c>
      <c r="C240" s="49">
        <v>123</v>
      </c>
      <c r="D240" s="49">
        <v>98</v>
      </c>
      <c r="E240" s="49">
        <v>47</v>
      </c>
      <c r="F240" s="50">
        <f>(C240*100)/B240</f>
        <v>96.8503937007874</v>
      </c>
      <c r="G240" s="156">
        <f>(D240*100)/B240</f>
        <v>77.1653543307087</v>
      </c>
      <c r="H240" s="152">
        <f>((B240-B241)/B240)*100</f>
        <v>1.5748031496063</v>
      </c>
      <c r="I240" s="152">
        <f>((B240-C240)/B240)*100</f>
        <v>3.1496062992126</v>
      </c>
      <c r="J240" s="152">
        <f>((C240-B241)/C240)*100</f>
        <v>-1.6260162601626</v>
      </c>
      <c r="K240" s="161"/>
      <c r="L240" s="54">
        <v>1.49593495934959</v>
      </c>
      <c r="M240" s="69" t="s">
        <v>28</v>
      </c>
      <c r="N240" s="54">
        <v>19.79</v>
      </c>
      <c r="O240" s="56">
        <f>N240/C240</f>
        <v>0.160894308943089</v>
      </c>
      <c r="P240" s="57">
        <f>(Boosters_And!B240*100)/Boosters_And!N240</f>
        <v>21.9099753138755</v>
      </c>
      <c r="Q240" s="57">
        <f>Boosters_And!B240/(C240+D240)</f>
        <v>0.75879390879176</v>
      </c>
      <c r="R240" s="57">
        <f>Boosters_And!N240/B240</f>
        <v>6.02657409460973</v>
      </c>
      <c r="S240" s="54">
        <v>9.16260162601626</v>
      </c>
      <c r="T240" s="58">
        <v>0.886178861788618</v>
      </c>
      <c r="U240" s="60">
        <v>1950.55284552846</v>
      </c>
      <c r="V240" s="59">
        <v>1099627758</v>
      </c>
    </row>
    <row r="241" spans="1:22" s="168" customFormat="1" ht="22.500000" customHeight="1">
      <c r="A241" s="34">
        <v>239</v>
      </c>
      <c r="B241" s="49">
        <v>125</v>
      </c>
      <c r="C241" s="49">
        <v>124</v>
      </c>
      <c r="D241" s="49">
        <v>101</v>
      </c>
      <c r="E241" s="49">
        <v>25</v>
      </c>
      <c r="F241" s="50">
        <f>(C241*100)/B241</f>
        <v>99.2</v>
      </c>
      <c r="G241" s="156">
        <f>(D241*100)/B241</f>
        <v>80.8</v>
      </c>
      <c r="H241" s="152">
        <f>((B241-B242)/B241)*100</f>
        <v>0</v>
      </c>
      <c r="I241" s="152">
        <f>((B241-C241)/B241)*100</f>
        <v>0.8</v>
      </c>
      <c r="J241" s="152">
        <f>((C241-B242)/C241)*100</f>
        <v>-0.806451612903226</v>
      </c>
      <c r="K241" s="161"/>
      <c r="L241" s="54">
        <v>1.25</v>
      </c>
      <c r="M241" s="55" t="s">
        <v>28</v>
      </c>
      <c r="N241" s="54">
        <v>28.94</v>
      </c>
      <c r="O241" s="56">
        <f>N241/C241</f>
        <v>0.233387096774194</v>
      </c>
      <c r="P241" s="57">
        <f>(Boosters_And!B241*100)/Boosters_And!N241</f>
        <v>13.8365250030914</v>
      </c>
      <c r="Q241" s="57">
        <f>Boosters_And!B241/(C241+D241)</f>
        <v>0.363861091114541</v>
      </c>
      <c r="R241" s="57">
        <f>Boosters_And!N241/B241</f>
        <v>4.73348592843828</v>
      </c>
      <c r="S241" s="54">
        <v>10.9516129032258</v>
      </c>
      <c r="T241" s="58">
        <v>0.82258064516129</v>
      </c>
      <c r="U241" s="60">
        <v>2049.82258064516</v>
      </c>
      <c r="V241" s="59">
        <v>1099617553</v>
      </c>
    </row>
    <row r="242" spans="1:22" s="168" customFormat="1" ht="22.500000" customHeight="1">
      <c r="A242" s="34">
        <v>240</v>
      </c>
      <c r="B242" s="49">
        <v>125</v>
      </c>
      <c r="C242" s="49">
        <v>124</v>
      </c>
      <c r="D242" s="49">
        <v>69</v>
      </c>
      <c r="E242" s="49">
        <v>23</v>
      </c>
      <c r="F242" s="50">
        <f>(C242*100)/B242</f>
        <v>99.2</v>
      </c>
      <c r="G242" s="156">
        <f>(D242*100)/B242</f>
        <v>55.2</v>
      </c>
      <c r="H242" s="152">
        <f>((B242-B243)/B242)*100</f>
        <v>-3.2</v>
      </c>
      <c r="I242" s="152">
        <f>((B242-C242)/B242)*100</f>
        <v>0.8</v>
      </c>
      <c r="J242" s="152">
        <f>((C242-B243)/C242)*100</f>
        <v>-4.03225806451613</v>
      </c>
      <c r="K242" s="161"/>
      <c r="L242" s="54">
        <v>1.15322580645161</v>
      </c>
      <c r="M242" s="68" t="s">
        <v>29</v>
      </c>
      <c r="N242" s="54">
        <v>0</v>
      </c>
      <c r="O242" s="56">
        <f>N242/C242</f>
        <v>0</v>
      </c>
      <c r="P242" s="57">
        <f>(Boosters_And!B242*100)/Boosters_And!N242</f>
        <v>14.9266989516428</v>
      </c>
      <c r="Q242" s="57">
        <f>Boosters_And!B242/(C242+D242)</f>
        <v>0.338814469265736</v>
      </c>
      <c r="R242" s="57">
        <f>Boosters_And!N242/B242</f>
        <v>3.50465660385495</v>
      </c>
      <c r="S242" s="54">
        <v>8.48387096774193</v>
      </c>
      <c r="T242" s="58">
        <v>0.693548387096774</v>
      </c>
      <c r="U242" s="60">
        <v>2052.72580645161</v>
      </c>
      <c r="V242" s="59">
        <v>1099614938</v>
      </c>
    </row>
    <row r="243" spans="1:22" s="168" customFormat="1" ht="22.500000" customHeight="1">
      <c r="A243" s="34">
        <v>241</v>
      </c>
      <c r="B243" s="49">
        <v>129</v>
      </c>
      <c r="C243" s="49">
        <v>128</v>
      </c>
      <c r="D243" s="49">
        <v>113</v>
      </c>
      <c r="E243" s="49">
        <v>39</v>
      </c>
      <c r="F243" s="50">
        <f>(C243*100)/B243</f>
        <v>99.2248062015504</v>
      </c>
      <c r="G243" s="156">
        <f>(D243*100)/B243</f>
        <v>87.5968992248062</v>
      </c>
      <c r="H243" s="152">
        <f>((B243-B244)/B243)*100</f>
        <v>0</v>
      </c>
      <c r="I243" s="152">
        <f>((B243-C243)/B243)*100</f>
        <v>0.775193798449613</v>
      </c>
      <c r="J243" s="152">
        <f>((C243-B244)/C243)*100</f>
        <v>-0.78125</v>
      </c>
      <c r="K243" s="161"/>
      <c r="L243" s="54">
        <v>1.25</v>
      </c>
      <c r="M243" s="70" t="s">
        <v>29</v>
      </c>
      <c r="N243" s="54">
        <v>6.97</v>
      </c>
      <c r="O243" s="56">
        <f>N243/C243</f>
        <v>0.054453125</v>
      </c>
      <c r="P243" s="57">
        <f>(Boosters_And!B243*100)/Boosters_And!N243</f>
        <v>11.3543670950966</v>
      </c>
      <c r="Q243" s="57">
        <f>Boosters_And!B243/(C243+D243)</f>
        <v>0.516679983975593</v>
      </c>
      <c r="R243" s="57">
        <f>Boosters_And!N243/B243</f>
        <v>8.50131363179795</v>
      </c>
      <c r="S243" s="54">
        <v>9.125</v>
      </c>
      <c r="T243" s="58">
        <v>0.8515625</v>
      </c>
      <c r="U243" s="60">
        <v>1915.7265625</v>
      </c>
      <c r="V243" s="59">
        <v>1099617698</v>
      </c>
    </row>
    <row r="244" spans="1:22" s="168" customFormat="1" ht="22.500000" customHeight="1">
      <c r="A244" s="34">
        <v>242</v>
      </c>
      <c r="B244" s="49">
        <v>129</v>
      </c>
      <c r="C244" s="49">
        <v>127</v>
      </c>
      <c r="D244" s="49">
        <v>89</v>
      </c>
      <c r="E244" s="49">
        <v>32</v>
      </c>
      <c r="F244" s="50">
        <f>(C244*100)/B244</f>
        <v>98.4496124031008</v>
      </c>
      <c r="G244" s="156">
        <f>(D244*100)/B244</f>
        <v>68.9922480620155</v>
      </c>
      <c r="H244" s="152">
        <f>((B244-B245)/B244)*100</f>
        <v>-7.75193798449612</v>
      </c>
      <c r="I244" s="152">
        <f>((B244-C244)/B244)*100</f>
        <v>1.55038759689923</v>
      </c>
      <c r="J244" s="152">
        <f>((C244-B245)/C244)*100</f>
        <v>-9.4488188976378</v>
      </c>
      <c r="K244" s="161"/>
      <c r="L244" s="54">
        <v>1.251968503937</v>
      </c>
      <c r="M244" s="68" t="s">
        <v>29</v>
      </c>
      <c r="N244" s="54">
        <v>4.48</v>
      </c>
      <c r="O244" s="56">
        <f>N244/C244</f>
        <v>0.0352755905511811</v>
      </c>
      <c r="P244" s="57">
        <f>(Boosters_And!B244*100)/Boosters_And!N244</f>
        <v>13.9806566770113</v>
      </c>
      <c r="Q244" s="57">
        <f>Boosters_And!B244/(C244+D244)</f>
        <v>0.503214401941874</v>
      </c>
      <c r="R244" s="57">
        <f>Boosters_And!N244/B244</f>
        <v>6.02683819655891</v>
      </c>
      <c r="S244" s="54">
        <v>22.7086614173228</v>
      </c>
      <c r="T244" s="58">
        <v>0.755905511811024</v>
      </c>
      <c r="U244" s="60">
        <v>1931.87401574803</v>
      </c>
      <c r="V244" s="59">
        <v>1099617573</v>
      </c>
    </row>
    <row r="245" spans="1:22" s="168" customFormat="1" ht="22.500000" customHeight="1">
      <c r="A245" s="34">
        <v>243</v>
      </c>
      <c r="B245" s="49">
        <v>139</v>
      </c>
      <c r="C245" s="49">
        <v>115</v>
      </c>
      <c r="D245" s="49">
        <v>133</v>
      </c>
      <c r="E245" s="49">
        <v>89</v>
      </c>
      <c r="F245" s="50">
        <f>(C245*100)/B245</f>
        <v>82.7338129496403</v>
      </c>
      <c r="G245" s="156">
        <f>(D245*100)/B245</f>
        <v>95.6834532374101</v>
      </c>
      <c r="H245" s="152">
        <f>((B245-B246)/B245)*100</f>
        <v>15.8273381294964</v>
      </c>
      <c r="I245" s="152">
        <f>((B245-C245)/B245)*100</f>
        <v>17.2661870503597</v>
      </c>
      <c r="J245" s="152">
        <f>((C245-B246)/C245)*100</f>
        <v>-1.73913043478261</v>
      </c>
      <c r="K245" s="161"/>
      <c r="L245" s="54">
        <v>2.25217391304347</v>
      </c>
      <c r="M245" s="55" t="s">
        <v>28</v>
      </c>
      <c r="N245" s="54">
        <v>42.21</v>
      </c>
      <c r="O245" s="56">
        <f>N245/C245</f>
        <v>0.36704347826087</v>
      </c>
      <c r="P245" s="57">
        <f>(Boosters_And!B245*100)/Boosters_And!N245</f>
        <v>33.1235237088388</v>
      </c>
      <c r="Q245" s="57">
        <f>Boosters_And!B245/(C245+D245)</f>
        <v>2.0935675815179</v>
      </c>
      <c r="R245" s="57">
        <f>Boosters_And!N245/B245</f>
        <v>11.2768378073431</v>
      </c>
      <c r="S245" s="54">
        <v>14.3304347826086</v>
      </c>
      <c r="T245" s="58">
        <v>1.04347826086957</v>
      </c>
      <c r="U245" s="60">
        <v>2101.41739130435</v>
      </c>
      <c r="V245" s="59">
        <v>1099565543</v>
      </c>
    </row>
    <row r="246" spans="1:22" s="168" customFormat="1" ht="22.500000" customHeight="1">
      <c r="A246" s="34">
        <v>244</v>
      </c>
      <c r="B246" s="49">
        <v>117</v>
      </c>
      <c r="C246" s="49">
        <v>117</v>
      </c>
      <c r="D246" s="49">
        <v>42</v>
      </c>
      <c r="E246" s="49">
        <v>13</v>
      </c>
      <c r="F246" s="50">
        <f>(C246*100)/B246</f>
        <v>100</v>
      </c>
      <c r="G246" s="156">
        <f>(D246*100)/B246</f>
        <v>35.8974358974359</v>
      </c>
      <c r="H246" s="152">
        <f>((B246-B247)/B246)*100</f>
        <v>-0.854700854700855</v>
      </c>
      <c r="I246" s="152">
        <f>((B246-C246)/B246)*100</f>
        <v>0</v>
      </c>
      <c r="J246" s="152">
        <f>((C246-B247)/C246)*100</f>
        <v>-0.854700854700855</v>
      </c>
      <c r="K246" s="161"/>
      <c r="L246" s="54">
        <v>1.03418803418803</v>
      </c>
      <c r="M246" s="68" t="s">
        <v>29</v>
      </c>
      <c r="N246" s="54">
        <v>0</v>
      </c>
      <c r="O246" s="56">
        <f>N246/C246</f>
        <v>0</v>
      </c>
      <c r="P246" s="57">
        <f>(Boosters_And!B246*100)/Boosters_And!N246</f>
        <v>18.8071786613523</v>
      </c>
      <c r="Q246" s="57">
        <f>Boosters_And!B246/(C246+D246)</f>
        <v>0.596658776734414</v>
      </c>
      <c r="R246" s="57">
        <f>Boosters_And!N246/B246</f>
        <v>4.3113536232062</v>
      </c>
      <c r="S246" s="54">
        <v>10.7777777777777</v>
      </c>
      <c r="T246" s="58">
        <v>0.623931623931624</v>
      </c>
      <c r="U246" s="60">
        <v>2126.13675213675</v>
      </c>
      <c r="V246" s="59">
        <v>1099550563</v>
      </c>
    </row>
    <row r="247" spans="1:22" s="168" customFormat="1" ht="22.500000" customHeight="1">
      <c r="A247" s="34">
        <v>245</v>
      </c>
      <c r="B247" s="49">
        <v>118</v>
      </c>
      <c r="C247" s="49">
        <v>110</v>
      </c>
      <c r="D247" s="49">
        <v>58</v>
      </c>
      <c r="E247" s="49">
        <v>13</v>
      </c>
      <c r="F247" s="50">
        <f>(C247*100)/B247</f>
        <v>93.2203389830509</v>
      </c>
      <c r="G247" s="156">
        <f>(D247*100)/B247</f>
        <v>49.1525423728814</v>
      </c>
      <c r="H247" s="152">
        <f>((B247-B248)/B247)*100</f>
        <v>0.847457627118644</v>
      </c>
      <c r="I247" s="152">
        <f>((B247-C247)/B247)*100</f>
        <v>6.77966101694915</v>
      </c>
      <c r="J247" s="152">
        <f>((C247-B248)/C247)*100</f>
        <v>-6.36363636363636</v>
      </c>
      <c r="K247" s="161"/>
      <c r="L247" s="54">
        <v>1.08181818181818</v>
      </c>
      <c r="M247" s="55" t="s">
        <v>28</v>
      </c>
      <c r="N247" s="54">
        <v>6.48</v>
      </c>
      <c r="O247" s="56">
        <f>N247/C247</f>
        <v>0.0589090909090909</v>
      </c>
      <c r="P247" s="57">
        <f>(Boosters_And!B247*100)/Boosters_And!N247</f>
        <v>37.0936201375229</v>
      </c>
      <c r="Q247" s="57">
        <f>Boosters_And!B247/(C247+D247)</f>
        <v>0.79399009280846</v>
      </c>
      <c r="R247" s="57">
        <f>Boosters_And!N247/B247</f>
        <v>3.04749595380834</v>
      </c>
      <c r="S247" s="54">
        <v>6.4090909090909</v>
      </c>
      <c r="T247" s="58">
        <v>0.790909090909091</v>
      </c>
      <c r="U247" s="60">
        <v>2191.70909090909</v>
      </c>
      <c r="V247" s="59">
        <v>1099539238</v>
      </c>
    </row>
    <row r="248" spans="1:22" s="168" customFormat="1" ht="22.500000" customHeight="1">
      <c r="A248" s="34">
        <v>246</v>
      </c>
      <c r="B248" s="49">
        <v>117</v>
      </c>
      <c r="C248" s="49">
        <v>113</v>
      </c>
      <c r="D248" s="49">
        <v>49</v>
      </c>
      <c r="E248" s="49">
        <v>11</v>
      </c>
      <c r="F248" s="50">
        <f>(C248*100)/B248</f>
        <v>96.5811965811966</v>
      </c>
      <c r="G248" s="156">
        <f>(D248*100)/B248</f>
        <v>41.8803418803419</v>
      </c>
      <c r="H248" s="152">
        <f>((B248-B249)/B248)*100</f>
        <v>3.41880341880342</v>
      </c>
      <c r="I248" s="152">
        <f>((B248-C248)/B248)*100</f>
        <v>3.41880341880342</v>
      </c>
      <c r="J248" s="152">
        <f>((C248-B249)/C248)*100</f>
        <v>0</v>
      </c>
      <c r="K248" s="161"/>
      <c r="L248" s="54">
        <v>1.11504424778761</v>
      </c>
      <c r="M248" s="68" t="s">
        <v>29</v>
      </c>
      <c r="N248" s="54">
        <v>15.74</v>
      </c>
      <c r="O248" s="56">
        <f>N248/C248</f>
        <v>0.13929203539823</v>
      </c>
      <c r="P248" s="57">
        <f>(Boosters_And!B248*100)/Boosters_And!N248</f>
        <v>24.1882045859192</v>
      </c>
      <c r="Q248" s="57">
        <f>Boosters_And!B248/(C248+D248)</f>
        <v>0.741540373742571</v>
      </c>
      <c r="R248" s="57">
        <f>Boosters_And!N248/B248</f>
        <v>4.24483018634261</v>
      </c>
      <c r="S248" s="54">
        <v>13.2123893805309</v>
      </c>
      <c r="T248" s="58">
        <v>0.68141592920354</v>
      </c>
      <c r="U248" s="60">
        <v>2271.88495575221</v>
      </c>
      <c r="V248" s="59">
        <v>1099528983</v>
      </c>
    </row>
    <row r="249" spans="1:22" s="168" customFormat="1" ht="22.500000" customHeight="1">
      <c r="A249" s="34">
        <v>247</v>
      </c>
      <c r="B249" s="49">
        <v>113</v>
      </c>
      <c r="C249" s="49">
        <v>112</v>
      </c>
      <c r="D249" s="49">
        <v>66</v>
      </c>
      <c r="E249" s="49">
        <v>15</v>
      </c>
      <c r="F249" s="50">
        <f>(C249*100)/B249</f>
        <v>99.1150442477876</v>
      </c>
      <c r="G249" s="156">
        <f>(D249*100)/B249</f>
        <v>58.4070796460177</v>
      </c>
      <c r="H249" s="152">
        <f>((B249-B250)/B249)*100</f>
        <v>0.884955752212389</v>
      </c>
      <c r="I249" s="152">
        <f>((B249-C249)/B249)*100</f>
        <v>0.884955752212389</v>
      </c>
      <c r="J249" s="152">
        <f>((C249-B250)/C249)*100</f>
        <v>0</v>
      </c>
      <c r="K249" s="161"/>
      <c r="L249" s="54">
        <v>1.16071428571428</v>
      </c>
      <c r="M249" s="55" t="s">
        <v>28</v>
      </c>
      <c r="N249" s="54">
        <v>0</v>
      </c>
      <c r="O249" s="56">
        <f>N249/C249</f>
        <v>0</v>
      </c>
      <c r="P249" s="57">
        <f>(Boosters_And!B249*100)/Boosters_And!N249</f>
        <v>2.31246272456939</v>
      </c>
      <c r="Q249" s="57">
        <f>Boosters_And!B249/(C249+D249)</f>
        <v>0.052026938458004</v>
      </c>
      <c r="R249" s="57">
        <f>Boosters_And!N249/B249</f>
        <v>3.54401122168279</v>
      </c>
      <c r="S249" s="54">
        <v>9.10714285714285</v>
      </c>
      <c r="T249" s="58">
        <v>0.678571428571429</v>
      </c>
      <c r="U249" s="60">
        <v>2226.99107142857</v>
      </c>
      <c r="V249" s="59">
        <v>1099525863</v>
      </c>
    </row>
    <row r="250" spans="1:22" s="168" customFormat="1" ht="22.500000" customHeight="1">
      <c r="A250" s="34">
        <v>248</v>
      </c>
      <c r="B250" s="49">
        <v>112</v>
      </c>
      <c r="C250" s="49">
        <v>111</v>
      </c>
      <c r="D250" s="49">
        <v>76</v>
      </c>
      <c r="E250" s="49">
        <v>23</v>
      </c>
      <c r="F250" s="50">
        <f>(C250*100)/B250</f>
        <v>99.1071428571429</v>
      </c>
      <c r="G250" s="156">
        <f>(D250*100)/B250</f>
        <v>67.8571428571429</v>
      </c>
      <c r="H250" s="152">
        <f>((B250-B251)/B250)*100</f>
        <v>0.892857142857143</v>
      </c>
      <c r="I250" s="152">
        <f>((B250-C250)/B250)*100</f>
        <v>0.892857142857143</v>
      </c>
      <c r="J250" s="152">
        <f>((C250-B251)/C250)*100</f>
        <v>0</v>
      </c>
      <c r="K250" s="161"/>
      <c r="L250" s="54">
        <v>1.13513513513513</v>
      </c>
      <c r="M250" s="69" t="s">
        <v>28</v>
      </c>
      <c r="N250" s="54">
        <v>4.48</v>
      </c>
      <c r="O250" s="56">
        <f>N250/C250</f>
        <v>0.0403603603603604</v>
      </c>
      <c r="P250" s="57">
        <f>(Boosters_And!B250*100)/Boosters_And!N250</f>
        <v>23.4020158801182</v>
      </c>
      <c r="Q250" s="57">
        <f>Boosters_And!B250/(C250+D250)</f>
        <v>0.674951341767349</v>
      </c>
      <c r="R250" s="57">
        <f>Boosters_And!N250/B250</f>
        <v>4.81551543454105</v>
      </c>
      <c r="S250" s="54">
        <v>7.77477477477477</v>
      </c>
      <c r="T250" s="58">
        <v>0.765765765765766</v>
      </c>
      <c r="U250" s="60">
        <v>2244.12612612613</v>
      </c>
      <c r="V250" s="59">
        <v>1101557933</v>
      </c>
    </row>
    <row r="251" spans="1:22" s="168" customFormat="1" ht="22.500000" customHeight="1">
      <c r="A251" s="34">
        <v>249</v>
      </c>
      <c r="B251" s="49">
        <v>111</v>
      </c>
      <c r="C251" s="49">
        <v>111</v>
      </c>
      <c r="D251" s="49">
        <v>60</v>
      </c>
      <c r="E251" s="49">
        <v>11</v>
      </c>
      <c r="F251" s="50">
        <f>(C251*100)/B251</f>
        <v>100</v>
      </c>
      <c r="G251" s="156">
        <f>(D251*100)/B251</f>
        <v>54.0540540540541</v>
      </c>
      <c r="H251" s="152">
        <f>((B251-B252)/B251)*100</f>
        <v>-0.900900900900901</v>
      </c>
      <c r="I251" s="152">
        <f>((B251-C251)/B251)*100</f>
        <v>0</v>
      </c>
      <c r="J251" s="152">
        <f>((C251-B252)/C251)*100</f>
        <v>-0.900900900900901</v>
      </c>
      <c r="K251" s="161"/>
      <c r="L251" s="54">
        <v>1.08108108108108</v>
      </c>
      <c r="M251" s="55" t="s">
        <v>28</v>
      </c>
      <c r="N251" s="54">
        <v>4.48</v>
      </c>
      <c r="O251" s="56">
        <f>N251/C251</f>
        <v>0.0403603603603604</v>
      </c>
      <c r="P251" s="57">
        <f>(Boosters_And!B251*100)/Boosters_And!N251</f>
        <v>12.5974432709272</v>
      </c>
      <c r="Q251" s="57">
        <f>Boosters_And!B251/(C251+D251)</f>
        <v>0.28807482482763</v>
      </c>
      <c r="R251" s="57">
        <f>Boosters_And!N251/B251</f>
        <v>3.52286521011986</v>
      </c>
      <c r="S251" s="54">
        <v>8.3063063063063</v>
      </c>
      <c r="T251" s="58">
        <v>0.684684684684685</v>
      </c>
      <c r="U251" s="60">
        <v>2232.0990990991</v>
      </c>
      <c r="V251" s="59">
        <v>1099484458</v>
      </c>
    </row>
    <row r="252" spans="1:22" s="168" customFormat="1" ht="22.500000" customHeight="1">
      <c r="A252" s="34">
        <v>250</v>
      </c>
      <c r="B252" s="49">
        <v>112</v>
      </c>
      <c r="C252" s="49">
        <v>111</v>
      </c>
      <c r="D252" s="49">
        <v>64</v>
      </c>
      <c r="E252" s="49">
        <v>19</v>
      </c>
      <c r="F252" s="50">
        <f>(C252*100)/B252</f>
        <v>99.1071428571429</v>
      </c>
      <c r="G252" s="156">
        <f>(D252*100)/B252</f>
        <v>57.1428571428572</v>
      </c>
      <c r="H252" s="152">
        <f>((B252-B253)/B252)*100</f>
        <v>4.46428571428571</v>
      </c>
      <c r="I252" s="152">
        <f>((B252-C252)/B252)*100</f>
        <v>0.892857142857143</v>
      </c>
      <c r="J252" s="152">
        <f>((C252-B253)/C252)*100</f>
        <v>3.6036036036036</v>
      </c>
      <c r="K252" s="161"/>
      <c r="L252" s="54">
        <v>1.14414414414414</v>
      </c>
      <c r="M252" s="68" t="s">
        <v>29</v>
      </c>
      <c r="N252" s="54">
        <v>9.47</v>
      </c>
      <c r="O252" s="56">
        <f>N252/C252</f>
        <v>0.0853153153153153</v>
      </c>
      <c r="P252" s="57">
        <f>(Boosters_And!B252*100)/Boosters_And!N252</f>
        <v>30.8498387346484</v>
      </c>
      <c r="Q252" s="57">
        <f>Boosters_And!B252/(C252+D252)</f>
        <v>0.658376576631395</v>
      </c>
      <c r="R252" s="57">
        <f>Boosters_And!N252/B252</f>
        <v>3.33458275044782</v>
      </c>
      <c r="S252" s="54">
        <v>5.36036036036036</v>
      </c>
      <c r="T252" s="58">
        <v>0.72972972972973</v>
      </c>
      <c r="U252" s="60">
        <v>2239.66666666667</v>
      </c>
      <c r="V252" s="59">
        <v>1099463478</v>
      </c>
    </row>
    <row r="253" spans="1:22" s="168" customFormat="1" ht="22.500000" customHeight="1">
      <c r="A253" s="34">
        <v>251</v>
      </c>
      <c r="B253" s="49">
        <v>107</v>
      </c>
      <c r="C253" s="49">
        <v>107</v>
      </c>
      <c r="D253" s="49">
        <v>0</v>
      </c>
      <c r="E253" s="49">
        <v>1</v>
      </c>
      <c r="F253" s="50">
        <f>(C253*100)/B253</f>
        <v>100</v>
      </c>
      <c r="G253" s="156">
        <f>(D253*100)/B253</f>
        <v>0</v>
      </c>
      <c r="H253" s="152">
        <f>((B253-B254)/B253)*100</f>
        <v>7.47663551401869</v>
      </c>
      <c r="I253" s="152">
        <f>((B253-C253)/B253)*100</f>
        <v>0</v>
      </c>
      <c r="J253" s="152">
        <f>((C253-B254)/C253)*100</f>
        <v>7.47663551401869</v>
      </c>
      <c r="K253" s="161"/>
      <c r="L253" s="54">
        <v>1</v>
      </c>
      <c r="M253" s="70" t="s">
        <v>29</v>
      </c>
      <c r="N253" s="54">
        <v>0</v>
      </c>
      <c r="O253" s="56">
        <f>N253/C253</f>
        <v>0</v>
      </c>
      <c r="P253" s="57">
        <f>(Boosters_And!B253*100)/Boosters_And!N253</f>
        <v>0</v>
      </c>
      <c r="Q253" s="57">
        <f>Boosters_And!B253/(C253+D253)</f>
        <v>0</v>
      </c>
      <c r="R253" s="57">
        <f>Boosters_And!N253/B253</f>
        <v>2.1214953271028</v>
      </c>
      <c r="S253" s="54">
        <v>5.59813084112149</v>
      </c>
      <c r="T253" s="58">
        <v>0.420560747663551</v>
      </c>
      <c r="U253" s="60">
        <v>2374.3738317757</v>
      </c>
      <c r="V253" s="59">
        <v>1099486178</v>
      </c>
    </row>
    <row r="254" spans="1:22" s="168" customFormat="1" ht="22.500000" customHeight="1">
      <c r="A254" s="34">
        <v>252</v>
      </c>
      <c r="B254" s="49">
        <v>99</v>
      </c>
      <c r="C254" s="49">
        <v>100</v>
      </c>
      <c r="D254" s="49">
        <v>0</v>
      </c>
      <c r="E254" s="49">
        <v>0</v>
      </c>
      <c r="F254" s="50">
        <f>(C254*100)/B254</f>
        <v>101.010101010101</v>
      </c>
      <c r="G254" s="156">
        <f>(D254*100)/B254</f>
        <v>0</v>
      </c>
      <c r="H254" s="152">
        <f>((B254-B255)/B254)*100</f>
        <v>0</v>
      </c>
      <c r="I254" s="152">
        <f>((B254-C254)/B254)*100</f>
        <v>-1.01010101010101</v>
      </c>
      <c r="J254" s="152">
        <f>((C254-B255)/C254)*100</f>
        <v>1</v>
      </c>
      <c r="K254" s="161"/>
      <c r="L254" s="54">
        <v>1</v>
      </c>
      <c r="M254" s="69" t="s">
        <v>28</v>
      </c>
      <c r="N254" s="54">
        <v>0</v>
      </c>
      <c r="O254" s="56">
        <f>N254/C254</f>
        <v>0</v>
      </c>
      <c r="P254" s="57">
        <f>(Boosters_And!B254*100)/Boosters_And!N254</f>
        <v>0.446428571428571</v>
      </c>
      <c r="Q254" s="57">
        <f>Boosters_And!B254/(C254+D254)</f>
        <v>0.01</v>
      </c>
      <c r="R254" s="57">
        <f>Boosters_And!N254/B254</f>
        <v>2.26262626262626</v>
      </c>
      <c r="S254" s="54">
        <v>4.16</v>
      </c>
      <c r="T254" s="58">
        <v>0.42</v>
      </c>
      <c r="U254" s="60">
        <v>2596.63</v>
      </c>
      <c r="V254" s="59">
        <v>1099526013</v>
      </c>
    </row>
    <row r="255" spans="1:22" s="168" customFormat="1" ht="22.500000" customHeight="1">
      <c r="A255" s="34">
        <v>253</v>
      </c>
      <c r="B255" s="49">
        <v>99</v>
      </c>
      <c r="C255" s="49">
        <v>96</v>
      </c>
      <c r="D255" s="49">
        <v>72</v>
      </c>
      <c r="E255" s="49">
        <v>25</v>
      </c>
      <c r="F255" s="50">
        <f>(C255*100)/B255</f>
        <v>96.969696969697</v>
      </c>
      <c r="G255" s="156">
        <f>(D255*100)/B255</f>
        <v>72.7272727272727</v>
      </c>
      <c r="H255" s="152">
        <f>((B255-B256)/B255)*100</f>
        <v>3.03030303030303</v>
      </c>
      <c r="I255" s="152">
        <f>((B255-C255)/B255)*100</f>
        <v>3.03030303030303</v>
      </c>
      <c r="J255" s="152">
        <f>((C255-B256)/C255)*100</f>
        <v>0</v>
      </c>
      <c r="K255" s="161"/>
      <c r="L255" s="54">
        <v>1.23958333333333</v>
      </c>
      <c r="M255" s="55" t="s">
        <v>28</v>
      </c>
      <c r="N255" s="54">
        <v>4.49</v>
      </c>
      <c r="O255" s="56">
        <f>N255/C255</f>
        <v>0.0467708333333333</v>
      </c>
      <c r="P255" s="57">
        <f>(Boosters_And!B255*100)/Boosters_And!N255</f>
        <v>14.5299405112599</v>
      </c>
      <c r="Q255" s="57">
        <f>Boosters_And!B255/(C255+D255)</f>
        <v>0.380690255008544</v>
      </c>
      <c r="R255" s="57">
        <f>Boosters_And!N255/B255</f>
        <v>4.44612850397106</v>
      </c>
      <c r="S255" s="54">
        <v>6.26041666666666</v>
      </c>
      <c r="T255" s="58">
        <v>0.708333333333333</v>
      </c>
      <c r="U255" s="60">
        <v>2561.22916666667</v>
      </c>
      <c r="V255" s="59">
        <v>1000207439</v>
      </c>
    </row>
    <row r="256" spans="1:22" s="168" customFormat="1" ht="22.500000" customHeight="1">
      <c r="A256" s="34">
        <v>254</v>
      </c>
      <c r="B256" s="49">
        <v>96</v>
      </c>
      <c r="C256" s="49">
        <v>92</v>
      </c>
      <c r="D256" s="49">
        <v>29</v>
      </c>
      <c r="E256" s="49">
        <v>8</v>
      </c>
      <c r="F256" s="50">
        <f>(C256*100)/B256</f>
        <v>95.8333333333333</v>
      </c>
      <c r="G256" s="156">
        <f>(D256*100)/B256</f>
        <v>30.2083333333333</v>
      </c>
      <c r="H256" s="152">
        <f>((B256-B257)/B256)*100</f>
        <v>-2.08333333333333</v>
      </c>
      <c r="I256" s="152">
        <f>((B256-C256)/B256)*100</f>
        <v>4.16666666666667</v>
      </c>
      <c r="J256" s="152">
        <f>((C256-B257)/C256)*100</f>
        <v>-6.52173913043478</v>
      </c>
      <c r="K256" s="161"/>
      <c r="L256" s="54">
        <v>1.13043478260869</v>
      </c>
      <c r="M256" s="69" t="s">
        <v>28</v>
      </c>
      <c r="N256" s="54">
        <v>6.49</v>
      </c>
      <c r="O256" s="56">
        <f>N256/C256</f>
        <v>0.0705434782608696</v>
      </c>
      <c r="P256" s="57">
        <f>(Boosters_And!B256*100)/Boosters_And!N256</f>
        <v>16.7065009175702</v>
      </c>
      <c r="Q256" s="57">
        <f>Boosters_And!B256/(C256+D256)</f>
        <v>0.529282480843792</v>
      </c>
      <c r="R256" s="57">
        <f>Boosters_And!N256/B256</f>
        <v>3.99315490132702</v>
      </c>
      <c r="S256" s="54">
        <v>5.40217391304347</v>
      </c>
      <c r="T256" s="58">
        <v>0.673913043478261</v>
      </c>
      <c r="U256" s="60">
        <v>2699.92391304348</v>
      </c>
      <c r="V256" s="59">
        <v>1068525</v>
      </c>
    </row>
    <row r="257" spans="1:22" s="168" customFormat="1" ht="22.500000" customHeight="1">
      <c r="A257" s="34">
        <v>255</v>
      </c>
      <c r="B257" s="49">
        <v>98</v>
      </c>
      <c r="C257" s="49">
        <v>95</v>
      </c>
      <c r="D257" s="49">
        <v>75</v>
      </c>
      <c r="E257" s="49">
        <v>22</v>
      </c>
      <c r="F257" s="50">
        <f>(C257*100)/B257</f>
        <v>96.9387755102041</v>
      </c>
      <c r="G257" s="156">
        <f>(D257*100)/B257</f>
        <v>76.530612244898</v>
      </c>
      <c r="H257" s="152">
        <f>((B257-B258)/B257)*100</f>
        <v>5.10204081632653</v>
      </c>
      <c r="I257" s="152">
        <f>((B257-C257)/B257)*100</f>
        <v>3.06122448979592</v>
      </c>
      <c r="J257" s="152">
        <f>((C257-B258)/C257)*100</f>
        <v>2.10526315789474</v>
      </c>
      <c r="K257" s="161"/>
      <c r="L257" s="54">
        <v>1.16842105263157</v>
      </c>
      <c r="M257" s="55" t="s">
        <v>28</v>
      </c>
      <c r="N257" s="54">
        <v>0</v>
      </c>
      <c r="O257" s="56">
        <f>N257/C257</f>
        <v>0</v>
      </c>
      <c r="P257" s="57">
        <f>(Boosters_And!B257*100)/Boosters_And!N257</f>
        <v>20.8791278565506</v>
      </c>
      <c r="Q257" s="57">
        <f>Boosters_And!B257/(C257+D257)</f>
        <v>0.598968872601218</v>
      </c>
      <c r="R257" s="57">
        <f>Boosters_And!N257/B257</f>
        <v>4.97639385746176</v>
      </c>
      <c r="S257" s="54">
        <v>6.82105263157894</v>
      </c>
      <c r="T257" s="58">
        <v>0.789473684210526</v>
      </c>
      <c r="U257" s="60">
        <v>2561.13684210526</v>
      </c>
      <c r="V257" s="59">
        <v>46100</v>
      </c>
    </row>
    <row r="258" spans="1:22" s="168" customFormat="1" ht="22.500000" customHeight="1">
      <c r="A258" s="34">
        <v>256</v>
      </c>
      <c r="B258" s="49">
        <v>93</v>
      </c>
      <c r="C258" s="49">
        <v>92</v>
      </c>
      <c r="D258" s="49">
        <v>37</v>
      </c>
      <c r="E258" s="49">
        <v>17</v>
      </c>
      <c r="F258" s="50">
        <f>(C258*100)/B258</f>
        <v>98.9247311827957</v>
      </c>
      <c r="G258" s="156">
        <f>(D258*100)/B258</f>
        <v>39.7849462365591</v>
      </c>
      <c r="H258" s="152">
        <f>((B258-B259)/B258)*100</f>
        <v>-6.45161290322581</v>
      </c>
      <c r="I258" s="152">
        <f>((B258-C258)/B258)*100</f>
        <v>1.0752688172043</v>
      </c>
      <c r="J258" s="152">
        <f>((C258-B259)/C258)*100</f>
        <v>-7.60869565217391</v>
      </c>
      <c r="K258" s="161"/>
      <c r="L258" s="54">
        <v>1.13043478260869</v>
      </c>
      <c r="M258" s="69" t="s">
        <v>28</v>
      </c>
      <c r="N258" s="54">
        <v>0</v>
      </c>
      <c r="O258" s="56">
        <f>N258/C258</f>
        <v>0</v>
      </c>
      <c r="P258" s="57">
        <f>(Boosters_And!B258*100)/Boosters_And!N258</f>
        <v>9.06355020135558</v>
      </c>
      <c r="Q258" s="57">
        <f>Boosters_And!B258/(C258+D258)</f>
        <v>0.313110019909202</v>
      </c>
      <c r="R258" s="57">
        <f>Boosters_And!N258/B258</f>
        <v>4.79187392285612</v>
      </c>
      <c r="S258" s="54">
        <v>7.38043478260869</v>
      </c>
      <c r="T258" s="58">
        <v>0.597826086956522</v>
      </c>
      <c r="U258" s="60">
        <v>2659.8152173913</v>
      </c>
      <c r="V258" s="59">
        <v>44025</v>
      </c>
    </row>
    <row r="259" spans="1:22" s="168" customFormat="1" ht="22.500000" customHeight="1">
      <c r="A259" s="34">
        <v>257</v>
      </c>
      <c r="B259" s="49">
        <v>99</v>
      </c>
      <c r="C259" s="49">
        <v>94</v>
      </c>
      <c r="D259" s="49">
        <v>92</v>
      </c>
      <c r="E259" s="49">
        <v>39</v>
      </c>
      <c r="F259" s="50">
        <f>(C259*100)/B259</f>
        <v>94.949494949495</v>
      </c>
      <c r="G259" s="156">
        <f>(D259*100)/B259</f>
        <v>92.9292929292929</v>
      </c>
      <c r="H259" s="152">
        <f>((B259-B260)/B259)*100</f>
        <v>2.02020202020202</v>
      </c>
      <c r="I259" s="152">
        <f>((B259-C259)/B259)*100</f>
        <v>5.05050505050505</v>
      </c>
      <c r="J259" s="152">
        <f>((C259-B260)/C259)*100</f>
        <v>-3.19148936170213</v>
      </c>
      <c r="K259" s="161"/>
      <c r="L259" s="54">
        <v>1.54255319148936</v>
      </c>
      <c r="M259" s="70" t="s">
        <v>29</v>
      </c>
      <c r="N259" s="54">
        <v>7.98</v>
      </c>
      <c r="O259" s="56">
        <f>N259/C259</f>
        <v>0.0848936170212766</v>
      </c>
      <c r="P259" s="57">
        <f>(Boosters_And!B259*100)/Boosters_And!N259</f>
        <v>5.79742655281129</v>
      </c>
      <c r="Q259" s="57">
        <f>Boosters_And!B259/(C259+D259)</f>
        <v>0.319771789959595</v>
      </c>
      <c r="R259" s="57">
        <f>Boosters_And!N259/B259</f>
        <v>10.3629318540148</v>
      </c>
      <c r="S259" s="54">
        <v>7.22340425531914</v>
      </c>
      <c r="T259" s="58">
        <v>0.914893617021277</v>
      </c>
      <c r="U259" s="60">
        <v>2386.41489361702</v>
      </c>
      <c r="V259" s="59">
        <v>39940</v>
      </c>
    </row>
    <row r="260" spans="1:22" s="168" customFormat="1" ht="22.500000" customHeight="1">
      <c r="A260" s="34">
        <v>258</v>
      </c>
      <c r="B260" s="49">
        <v>97</v>
      </c>
      <c r="C260" s="49">
        <v>96</v>
      </c>
      <c r="D260" s="49">
        <v>63</v>
      </c>
      <c r="E260" s="49">
        <v>18</v>
      </c>
      <c r="F260" s="50">
        <f>(C260*100)/B260</f>
        <v>98.9690721649485</v>
      </c>
      <c r="G260" s="156">
        <f>(D260*100)/B260</f>
        <v>64.9484536082474</v>
      </c>
      <c r="H260" s="152">
        <f>((B260-B261)/B260)*100</f>
        <v>3.09278350515464</v>
      </c>
      <c r="I260" s="152">
        <f>((B260-C260)/B260)*100</f>
        <v>1.03092783505155</v>
      </c>
      <c r="J260" s="152">
        <f>((C260-B261)/C260)*100</f>
        <v>2.08333333333333</v>
      </c>
      <c r="K260" s="161"/>
      <c r="L260" s="54">
        <v>1.125</v>
      </c>
      <c r="M260" s="68" t="s">
        <v>29</v>
      </c>
      <c r="N260" s="54">
        <v>15.46</v>
      </c>
      <c r="O260" s="56">
        <f>N260/C260</f>
        <v>0.161041666666667</v>
      </c>
      <c r="P260" s="57">
        <f>(Boosters_And!B260*100)/Boosters_And!N260</f>
        <v>32.510151631903</v>
      </c>
      <c r="Q260" s="57">
        <f>Boosters_And!B260/(C260+D260)</f>
        <v>0.78834149958023</v>
      </c>
      <c r="R260" s="57">
        <f>Boosters_And!N260/B260</f>
        <v>3.97485036485381</v>
      </c>
      <c r="S260" s="54">
        <v>13.875</v>
      </c>
      <c r="T260" s="58">
        <v>0.71875</v>
      </c>
      <c r="U260" s="60">
        <v>2418.625</v>
      </c>
      <c r="V260" s="59">
        <v>51750</v>
      </c>
    </row>
    <row r="261" spans="1:22" s="168" customFormat="1" ht="22.500000" customHeight="1">
      <c r="A261" s="34">
        <v>259</v>
      </c>
      <c r="B261" s="49">
        <v>94</v>
      </c>
      <c r="C261" s="49">
        <v>94</v>
      </c>
      <c r="D261" s="49">
        <v>15</v>
      </c>
      <c r="E261" s="49">
        <v>5</v>
      </c>
      <c r="F261" s="50">
        <f>(C261*100)/B261</f>
        <v>100</v>
      </c>
      <c r="G261" s="156">
        <f>(D261*100)/B261</f>
        <v>15.9574468085106</v>
      </c>
      <c r="H261" s="152">
        <f>((B261-B262)/B261)*100</f>
        <v>-1.06382978723404</v>
      </c>
      <c r="I261" s="152">
        <f>((B261-C261)/B261)*100</f>
        <v>0</v>
      </c>
      <c r="J261" s="152">
        <f>((C261-B262)/C261)*100</f>
        <v>-1.06382978723404</v>
      </c>
      <c r="K261" s="161"/>
      <c r="L261" s="54">
        <v>1.04255319148936</v>
      </c>
      <c r="M261" s="55" t="s">
        <v>28</v>
      </c>
      <c r="N261" s="54">
        <v>0</v>
      </c>
      <c r="O261" s="56">
        <f>N261/C261</f>
        <v>0</v>
      </c>
      <c r="P261" s="57">
        <f>(Boosters_And!B261*100)/Boosters_And!N261</f>
        <v>13.083360161542</v>
      </c>
      <c r="Q261" s="57">
        <f>Boosters_And!B261/(C261+D261)</f>
        <v>0.313122913052866</v>
      </c>
      <c r="R261" s="57">
        <f>Boosters_And!N261/B261</f>
        <v>2.77519942022098</v>
      </c>
      <c r="S261" s="54">
        <v>13.6808510638297</v>
      </c>
      <c r="T261" s="58">
        <v>0.521276595744681</v>
      </c>
      <c r="U261" s="60">
        <v>2507.15957446809</v>
      </c>
      <c r="V261" s="59">
        <v>59905</v>
      </c>
    </row>
    <row r="262" spans="1:22" s="168" customFormat="1" ht="22.500000" customHeight="1">
      <c r="A262" s="34">
        <v>260</v>
      </c>
      <c r="B262" s="49">
        <v>95</v>
      </c>
      <c r="C262" s="49">
        <v>94</v>
      </c>
      <c r="D262" s="49">
        <v>64</v>
      </c>
      <c r="E262" s="49">
        <v>16</v>
      </c>
      <c r="F262" s="50">
        <f>(C262*100)/B262</f>
        <v>98.9473684210526</v>
      </c>
      <c r="G262" s="156">
        <f>(D262*100)/B262</f>
        <v>67.3684210526316</v>
      </c>
      <c r="H262" s="152">
        <f>((B262-B263)/B262)*100</f>
        <v>-2.10526315789474</v>
      </c>
      <c r="I262" s="152">
        <f>((B262-C262)/B262)*100</f>
        <v>1.05263157894737</v>
      </c>
      <c r="J262" s="152">
        <f>((C262-B263)/C262)*100</f>
        <v>-3.19148936170213</v>
      </c>
      <c r="K262" s="161"/>
      <c r="L262" s="54">
        <v>1.12765957446808</v>
      </c>
      <c r="M262" s="69" t="s">
        <v>28</v>
      </c>
      <c r="N262" s="54">
        <v>0</v>
      </c>
      <c r="O262" s="56">
        <f>N262/C262</f>
        <v>0</v>
      </c>
      <c r="P262" s="57">
        <f>(Boosters_And!B262*100)/Boosters_And!N262</f>
        <v>3.03949705665424</v>
      </c>
      <c r="Q262" s="57">
        <f>Boosters_And!B262/(C262+D262)</f>
        <v>0.0855796841205659</v>
      </c>
      <c r="R262" s="57">
        <f>Boosters_And!N262/B262</f>
        <v>4.6827657543738</v>
      </c>
      <c r="S262" s="54">
        <v>7.93617021276595</v>
      </c>
      <c r="T262" s="58">
        <v>0.702127659574468</v>
      </c>
      <c r="U262" s="60">
        <v>2483.91489361702</v>
      </c>
      <c r="V262" s="59">
        <v>50250</v>
      </c>
    </row>
    <row r="263" spans="1:22" s="168" customFormat="1" ht="22.500000" customHeight="1">
      <c r="A263" s="34">
        <v>261</v>
      </c>
      <c r="B263" s="49">
        <v>97</v>
      </c>
      <c r="C263" s="49">
        <v>95</v>
      </c>
      <c r="D263" s="49">
        <v>29</v>
      </c>
      <c r="E263" s="49">
        <v>14</v>
      </c>
      <c r="F263" s="50">
        <f>(C263*100)/B263</f>
        <v>97.9381443298969</v>
      </c>
      <c r="G263" s="156">
        <f>(D263*100)/B263</f>
        <v>29.8969072164948</v>
      </c>
      <c r="H263" s="152">
        <f>((B263-B264)/B263)*100</f>
        <v>0</v>
      </c>
      <c r="I263" s="152">
        <f>((B263-C263)/B263)*100</f>
        <v>2.06185567010309</v>
      </c>
      <c r="J263" s="152">
        <f>((C263-B264)/C263)*100</f>
        <v>-2.10526315789474</v>
      </c>
      <c r="K263" s="161"/>
      <c r="L263" s="54">
        <v>1.06315789473684</v>
      </c>
      <c r="M263" s="55" t="s">
        <v>28</v>
      </c>
      <c r="N263" s="54">
        <v>0</v>
      </c>
      <c r="O263" s="56">
        <f>N263/C263</f>
        <v>0</v>
      </c>
      <c r="P263" s="57">
        <f>(Boosters_And!B263*100)/Boosters_And!N263</f>
        <v>20.9886463219138</v>
      </c>
      <c r="Q263" s="57">
        <f>Boosters_And!B263/(C263+D263)</f>
        <v>0.515070528232031</v>
      </c>
      <c r="R263" s="57">
        <f>Boosters_And!N263/B263</f>
        <v>3.13712787936316</v>
      </c>
      <c r="S263" s="54">
        <v>10.1052631578947</v>
      </c>
      <c r="T263" s="58">
        <v>0.442105263157895</v>
      </c>
      <c r="U263" s="60">
        <v>2423.03157894737</v>
      </c>
      <c r="V263" s="59">
        <v>55210</v>
      </c>
    </row>
    <row r="264" spans="1:22" s="168" customFormat="1" ht="22.500000" customHeight="1">
      <c r="A264" s="34">
        <v>262</v>
      </c>
      <c r="B264" s="49">
        <v>97</v>
      </c>
      <c r="C264" s="49">
        <v>96</v>
      </c>
      <c r="D264" s="49">
        <v>60</v>
      </c>
      <c r="E264" s="49">
        <v>14</v>
      </c>
      <c r="F264" s="50">
        <f>(C264*100)/B264</f>
        <v>98.9690721649485</v>
      </c>
      <c r="G264" s="156">
        <f>(D264*100)/B264</f>
        <v>61.8556701030928</v>
      </c>
      <c r="H264" s="152">
        <f>((B264-B265)/B264)*100</f>
        <v>-1.03092783505155</v>
      </c>
      <c r="I264" s="152">
        <f>((B264-C264)/B264)*100</f>
        <v>1.03092783505155</v>
      </c>
      <c r="J264" s="152">
        <f>((C264-B265)/C264)*100</f>
        <v>-2.08333333333333</v>
      </c>
      <c r="K264" s="161"/>
      <c r="L264" s="54">
        <v>1.07291666666666</v>
      </c>
      <c r="M264" s="69" t="s">
        <v>28</v>
      </c>
      <c r="N264" s="54">
        <v>6.32</v>
      </c>
      <c r="O264" s="56">
        <f>N264/C264</f>
        <v>0.0658333333333333</v>
      </c>
      <c r="P264" s="57">
        <f>(Boosters_And!B264*100)/Boosters_And!N264</f>
        <v>9.35781331864012</v>
      </c>
      <c r="Q264" s="57">
        <f>Boosters_And!B264/(C264+D264)</f>
        <v>0.251389473634359</v>
      </c>
      <c r="R264" s="57">
        <f>Boosters_And!N264/B264</f>
        <v>4.32041609823646</v>
      </c>
      <c r="S264" s="54">
        <v>8.42708333333333</v>
      </c>
      <c r="T264" s="58">
        <v>0.697916666666667</v>
      </c>
      <c r="U264" s="60">
        <v>2322.84375</v>
      </c>
      <c r="V264" s="59">
        <v>48350</v>
      </c>
    </row>
    <row r="265" spans="1:22" s="168" customFormat="1" ht="22.500000" customHeight="1">
      <c r="A265" s="34">
        <v>263</v>
      </c>
      <c r="B265" s="49">
        <v>98</v>
      </c>
      <c r="C265" s="49">
        <v>96</v>
      </c>
      <c r="D265" s="49">
        <v>32</v>
      </c>
      <c r="E265" s="49">
        <v>8</v>
      </c>
      <c r="F265" s="50">
        <f>(C265*100)/B265</f>
        <v>97.9591836734694</v>
      </c>
      <c r="G265" s="156">
        <f>(D265*100)/B265</f>
        <v>32.6530612244898</v>
      </c>
      <c r="H265" s="152">
        <f>((B265-B266)/B265)*100</f>
        <v>-2.04081632653061</v>
      </c>
      <c r="I265" s="152">
        <f>((B265-C265)/B265)*100</f>
        <v>2.04081632653061</v>
      </c>
      <c r="J265" s="152">
        <f>((C265-B266)/C265)*100</f>
        <v>-4.16666666666667</v>
      </c>
      <c r="K265" s="161"/>
      <c r="L265" s="54">
        <v>1.03125</v>
      </c>
      <c r="M265" s="55" t="s">
        <v>28</v>
      </c>
      <c r="N265" s="54">
        <v>2.49</v>
      </c>
      <c r="O265" s="56">
        <f>N265/C265</f>
        <v>0.0259375</v>
      </c>
      <c r="P265" s="57">
        <f>(Boosters_And!B265*100)/Boosters_And!N265</f>
        <v>18.860709435093</v>
      </c>
      <c r="Q265" s="57">
        <f>Boosters_And!B265/(C265+D265)</f>
        <v>0.390280959698713</v>
      </c>
      <c r="R265" s="57">
        <f>Boosters_And!N265/B265</f>
        <v>2.70273355637047</v>
      </c>
      <c r="S265" s="54">
        <v>10.6979166666666</v>
      </c>
      <c r="T265" s="58">
        <v>0.541666666666667</v>
      </c>
      <c r="U265" s="60">
        <v>2330.34375</v>
      </c>
      <c r="V265" s="59">
        <v>55360</v>
      </c>
    </row>
    <row r="266" spans="1:22" s="168" customFormat="1" ht="22.500000" customHeight="1">
      <c r="A266" s="34">
        <v>264</v>
      </c>
      <c r="B266" s="49">
        <v>100</v>
      </c>
      <c r="C266" s="49">
        <v>97</v>
      </c>
      <c r="D266" s="49">
        <v>46</v>
      </c>
      <c r="E266" s="49">
        <v>19</v>
      </c>
      <c r="F266" s="50">
        <f>(C266*100)/B266</f>
        <v>97</v>
      </c>
      <c r="G266" s="156">
        <f>(D266*100)/B266</f>
        <v>46</v>
      </c>
      <c r="H266" s="152">
        <f>((B266-B267)/B266)*100</f>
        <v>1</v>
      </c>
      <c r="I266" s="152">
        <f>((B266-C266)/B266)*100</f>
        <v>3</v>
      </c>
      <c r="J266" s="152">
        <f>((C266-B267)/C266)*100</f>
        <v>-2.06185567010309</v>
      </c>
      <c r="K266" s="161"/>
      <c r="L266" s="54">
        <v>1.09278350515463</v>
      </c>
      <c r="M266" s="69" t="s">
        <v>28</v>
      </c>
      <c r="N266" s="54">
        <v>0</v>
      </c>
      <c r="O266" s="56">
        <f>N266/C266</f>
        <v>0</v>
      </c>
      <c r="P266" s="57">
        <f>(Boosters_And!B266*100)/Boosters_And!N266</f>
        <v>23.4247681368404</v>
      </c>
      <c r="Q266" s="57">
        <f>Boosters_And!B266/(C266+D266)</f>
        <v>0.644262521302773</v>
      </c>
      <c r="R266" s="57">
        <f>Boosters_And!N266/B266</f>
        <v>3.93299690345295</v>
      </c>
      <c r="S266" s="54">
        <v>9.72164948453608</v>
      </c>
      <c r="T266" s="58">
        <v>0.721649484536083</v>
      </c>
      <c r="U266" s="60">
        <v>2239.87628865979</v>
      </c>
      <c r="V266" s="59">
        <v>58755</v>
      </c>
    </row>
    <row r="267" spans="1:22" s="168" customFormat="1" ht="22.500000" customHeight="1">
      <c r="A267" s="34">
        <v>265</v>
      </c>
      <c r="B267" s="49">
        <v>99</v>
      </c>
      <c r="C267" s="49">
        <v>93</v>
      </c>
      <c r="D267" s="49">
        <v>99</v>
      </c>
      <c r="E267" s="49">
        <v>44</v>
      </c>
      <c r="F267" s="50">
        <f>(C267*100)/B267</f>
        <v>93.9393939393939</v>
      </c>
      <c r="G267" s="156">
        <f>(D267*100)/B267</f>
        <v>100</v>
      </c>
      <c r="H267" s="152">
        <f>((B267-B268)/B267)*100</f>
        <v>4.04040404040404</v>
      </c>
      <c r="I267" s="152">
        <f>((B267-C267)/B267)*100</f>
        <v>6.06060606060606</v>
      </c>
      <c r="J267" s="152">
        <f>((C267-B268)/C267)*100</f>
        <v>-2.1505376344086</v>
      </c>
      <c r="K267" s="161"/>
      <c r="L267" s="54">
        <v>1.89247311827957</v>
      </c>
      <c r="M267" s="70" t="s">
        <v>29</v>
      </c>
      <c r="N267" s="54">
        <v>12.48</v>
      </c>
      <c r="O267" s="56">
        <f>N267/C267</f>
        <v>0.134193548387097</v>
      </c>
      <c r="P267" s="57">
        <f>(Boosters_And!B267*100)/Boosters_And!N267</f>
        <v>5.83188700613778</v>
      </c>
      <c r="Q267" s="57">
        <f>Boosters_And!B267/(C267+D267)</f>
        <v>0.289170484971789</v>
      </c>
      <c r="R267" s="57">
        <f>Boosters_And!N267/B267</f>
        <v>9.61636405876284</v>
      </c>
      <c r="S267" s="54">
        <v>6.10752688172043</v>
      </c>
      <c r="T267" s="58">
        <v>0.967741935483871</v>
      </c>
      <c r="U267" s="60">
        <v>2206.59139784946</v>
      </c>
      <c r="V267" s="59">
        <v>34590</v>
      </c>
    </row>
    <row r="268" spans="1:22" s="168" customFormat="1" ht="22.500000" customHeight="1">
      <c r="A268" s="34">
        <v>266</v>
      </c>
      <c r="B268" s="49">
        <v>95</v>
      </c>
      <c r="C268" s="49">
        <v>95</v>
      </c>
      <c r="D268" s="49">
        <v>41</v>
      </c>
      <c r="E268" s="49">
        <v>8</v>
      </c>
      <c r="F268" s="50">
        <f>(C268*100)/B268</f>
        <v>100</v>
      </c>
      <c r="G268" s="156">
        <f>(D268*100)/B268</f>
        <v>43.1578947368421</v>
      </c>
      <c r="H268" s="152">
        <f>((B268-B269)/B268)*100</f>
        <v>-2.10526315789474</v>
      </c>
      <c r="I268" s="152">
        <f>((B268-C268)/B268)*100</f>
        <v>0</v>
      </c>
      <c r="J268" s="152">
        <f>((C268-B269)/C268)*100</f>
        <v>-2.10526315789474</v>
      </c>
      <c r="K268" s="161"/>
      <c r="L268" s="54">
        <v>1.07368421052631</v>
      </c>
      <c r="M268" s="69" t="s">
        <v>28</v>
      </c>
      <c r="N268" s="54">
        <v>6.49</v>
      </c>
      <c r="O268" s="56">
        <f>N268/C268</f>
        <v>0.0683157894736842</v>
      </c>
      <c r="P268" s="57">
        <f>(Boosters_And!B268*100)/Boosters_And!N268</f>
        <v>4.87263407325629</v>
      </c>
      <c r="Q268" s="57">
        <f>Boosters_And!B268/(C268+D268)</f>
        <v>0.118605864137958</v>
      </c>
      <c r="R268" s="57">
        <f>Boosters_And!N268/B268</f>
        <v>3.4846379921337</v>
      </c>
      <c r="S268" s="54">
        <v>7.73684210526315</v>
      </c>
      <c r="T268" s="58">
        <v>0.578947368421053</v>
      </c>
      <c r="U268" s="60">
        <v>2256.45263157895</v>
      </c>
      <c r="V268" s="59">
        <v>37820</v>
      </c>
    </row>
    <row r="269" spans="1:22" s="168" customFormat="1" ht="22.500000" customHeight="1">
      <c r="A269" s="34">
        <v>267</v>
      </c>
      <c r="B269" s="49">
        <v>97</v>
      </c>
      <c r="C269" s="49">
        <v>95</v>
      </c>
      <c r="D269" s="49">
        <v>85</v>
      </c>
      <c r="E269" s="49">
        <v>23</v>
      </c>
      <c r="F269" s="50">
        <f>(C269*100)/B269</f>
        <v>97.9381443298969</v>
      </c>
      <c r="G269" s="156">
        <f>(D269*100)/B269</f>
        <v>87.6288659793815</v>
      </c>
      <c r="H269" s="152">
        <f>((B269-B270)/B269)*100</f>
        <v>3.09278350515464</v>
      </c>
      <c r="I269" s="152">
        <f>((B269-C269)/B269)*100</f>
        <v>2.06185567010309</v>
      </c>
      <c r="J269" s="152">
        <f>((C269-B270)/C269)*100</f>
        <v>1.05263157894737</v>
      </c>
      <c r="K269" s="161"/>
      <c r="L269" s="54">
        <v>1.1578947368421</v>
      </c>
      <c r="M269" s="55" t="s">
        <v>28</v>
      </c>
      <c r="N269" s="54">
        <v>10.82</v>
      </c>
      <c r="O269" s="56">
        <f>N269/C269</f>
        <v>0.113894736842105</v>
      </c>
      <c r="P269" s="57">
        <f>(Boosters_And!B269*100)/Boosters_And!N269</f>
        <v>10.969148987028</v>
      </c>
      <c r="Q269" s="57">
        <f>Boosters_And!B269/(C269+D269)</f>
        <v>0.377288476015948</v>
      </c>
      <c r="R269" s="57">
        <f>Boosters_And!N269/B269</f>
        <v>6.38265508119356</v>
      </c>
      <c r="S269" s="54">
        <v>9.01052631578947</v>
      </c>
      <c r="T269" s="58">
        <v>0.926315789473684</v>
      </c>
      <c r="U269" s="60">
        <v>2450.08421052632</v>
      </c>
      <c r="V269" s="59">
        <v>30315</v>
      </c>
    </row>
    <row r="270" spans="1:22" s="168" customFormat="1" ht="22.500000" customHeight="1">
      <c r="A270" s="34">
        <v>268</v>
      </c>
      <c r="B270" s="49">
        <v>94</v>
      </c>
      <c r="C270" s="49">
        <v>94</v>
      </c>
      <c r="D270" s="49">
        <v>64</v>
      </c>
      <c r="E270" s="49">
        <v>19</v>
      </c>
      <c r="F270" s="50">
        <f>(C270*100)/B270</f>
        <v>100</v>
      </c>
      <c r="G270" s="156">
        <f>(D270*100)/B270</f>
        <v>68.0851063829787</v>
      </c>
      <c r="H270" s="152">
        <f>((B270-B271)/B270)*100</f>
        <v>-3.19148936170213</v>
      </c>
      <c r="I270" s="152">
        <f>((B270-C270)/B270)*100</f>
        <v>0</v>
      </c>
      <c r="J270" s="152">
        <f>((C270-B271)/C270)*100</f>
        <v>-3.19148936170213</v>
      </c>
      <c r="K270" s="161"/>
      <c r="L270" s="54">
        <v>1.20212765957446</v>
      </c>
      <c r="M270" s="68" t="s">
        <v>29</v>
      </c>
      <c r="N270" s="54">
        <v>6.4</v>
      </c>
      <c r="O270" s="56">
        <f>N270/C270</f>
        <v>0.0680851063829787</v>
      </c>
      <c r="P270" s="57">
        <f>(Boosters_And!B270*100)/Boosters_And!N270</f>
        <v>21.1096667090086</v>
      </c>
      <c r="Q270" s="57">
        <f>Boosters_And!B270/(C270+D270)</f>
        <v>0.461746600262249</v>
      </c>
      <c r="R270" s="57">
        <f>Boosters_And!N270/B270</f>
        <v>3.67664385690834</v>
      </c>
      <c r="S270" s="54">
        <v>14.7659574468085</v>
      </c>
      <c r="T270" s="58">
        <v>0.797872340425532</v>
      </c>
      <c r="U270" s="60">
        <v>2490.67021276596</v>
      </c>
      <c r="V270" s="59">
        <v>34570</v>
      </c>
    </row>
    <row r="271" spans="1:22" s="168" customFormat="1" ht="22.500000" customHeight="1">
      <c r="A271" s="34">
        <v>269</v>
      </c>
      <c r="B271" s="49">
        <v>97</v>
      </c>
      <c r="C271" s="49">
        <v>96</v>
      </c>
      <c r="D271" s="49">
        <v>80</v>
      </c>
      <c r="E271" s="49">
        <v>29</v>
      </c>
      <c r="F271" s="50">
        <f>(C271*100)/B271</f>
        <v>98.9690721649485</v>
      </c>
      <c r="G271" s="156">
        <f>(D271*100)/B271</f>
        <v>82.4742268041237</v>
      </c>
      <c r="H271" s="152">
        <f>((B271-B272)/B271)*100</f>
        <v>-1.03092783505155</v>
      </c>
      <c r="I271" s="152">
        <f>((B271-C271)/B271)*100</f>
        <v>1.03092783505155</v>
      </c>
      <c r="J271" s="152">
        <f>((C271-B272)/C271)*100</f>
        <v>-2.08333333333333</v>
      </c>
      <c r="K271" s="161"/>
      <c r="L271" s="54">
        <v>1.32291666666666</v>
      </c>
      <c r="M271" s="55" t="s">
        <v>28</v>
      </c>
      <c r="N271" s="54">
        <v>4.99</v>
      </c>
      <c r="O271" s="56">
        <f>N271/C271</f>
        <v>0.0519791666666667</v>
      </c>
      <c r="P271" s="57">
        <f>(Boosters_And!B271*100)/Boosters_And!N271</f>
        <v>22.4829531542062</v>
      </c>
      <c r="Q271" s="57">
        <f>Boosters_And!B271/(C271+D271)</f>
        <v>0.615603968370776</v>
      </c>
      <c r="R271" s="57">
        <f>Boosters_And!N271/B271</f>
        <v>4.9680846690173</v>
      </c>
      <c r="S271" s="54">
        <v>11.4895833333333</v>
      </c>
      <c r="T271" s="58">
        <v>0.885416666666667</v>
      </c>
      <c r="U271" s="60">
        <v>2412.6875</v>
      </c>
      <c r="V271" s="59">
        <v>44320</v>
      </c>
    </row>
    <row r="272" spans="1:22" s="168" customFormat="1" ht="22.500000" customHeight="1">
      <c r="A272" s="34">
        <v>270</v>
      </c>
      <c r="B272" s="49">
        <v>98</v>
      </c>
      <c r="C272" s="49">
        <v>98</v>
      </c>
      <c r="D272" s="49">
        <v>20</v>
      </c>
      <c r="E272" s="49">
        <v>4</v>
      </c>
      <c r="F272" s="50">
        <f>(C272*100)/B272</f>
        <v>100</v>
      </c>
      <c r="G272" s="156">
        <f>(D272*100)/B272</f>
        <v>20.4081632653061</v>
      </c>
      <c r="H272" s="152">
        <f>((B272-B273)/B272)*100</f>
        <v>-2.04081632653061</v>
      </c>
      <c r="I272" s="152">
        <f>((B272-C272)/B272)*100</f>
        <v>0</v>
      </c>
      <c r="J272" s="152">
        <f>((C272-B273)/C272)*100</f>
        <v>-2.04081632653061</v>
      </c>
      <c r="K272" s="161"/>
      <c r="L272" s="54">
        <v>1.01020408163265</v>
      </c>
      <c r="M272" s="69" t="s">
        <v>28</v>
      </c>
      <c r="N272" s="54">
        <v>0</v>
      </c>
      <c r="O272" s="56">
        <f>N272/C272</f>
        <v>0</v>
      </c>
      <c r="P272" s="57">
        <f>(Boosters_And!B272*100)/Boosters_And!N272</f>
        <v>11.8449323560529</v>
      </c>
      <c r="Q272" s="57">
        <f>Boosters_And!B272/(C272+D272)</f>
        <v>0.310610064523829</v>
      </c>
      <c r="R272" s="57">
        <f>Boosters_And!N272/B272</f>
        <v>3.15746736552029</v>
      </c>
      <c r="S272" s="54">
        <v>8.66326530612245</v>
      </c>
      <c r="T272" s="58">
        <v>0.530612244897959</v>
      </c>
      <c r="U272" s="60">
        <v>2394.41836734694</v>
      </c>
      <c r="V272" s="59">
        <v>50755</v>
      </c>
    </row>
    <row r="273" spans="1:22" s="168" customFormat="1" ht="22.500000" customHeight="1">
      <c r="A273" s="34">
        <v>271</v>
      </c>
      <c r="B273" s="49">
        <v>100</v>
      </c>
      <c r="C273" s="49">
        <v>92</v>
      </c>
      <c r="D273" s="49">
        <v>54</v>
      </c>
      <c r="E273" s="49">
        <v>31</v>
      </c>
      <c r="F273" s="50">
        <f>(C273*100)/B273</f>
        <v>92</v>
      </c>
      <c r="G273" s="156">
        <f>(D273*100)/B273</f>
        <v>54</v>
      </c>
      <c r="H273" s="152">
        <f>((B273-B274)/B273)*100</f>
        <v>4</v>
      </c>
      <c r="I273" s="152">
        <f>((B273-C273)/B273)*100</f>
        <v>8</v>
      </c>
      <c r="J273" s="152">
        <f>((C273-B274)/C273)*100</f>
        <v>-4.34782608695652</v>
      </c>
      <c r="K273" s="161"/>
      <c r="L273" s="54">
        <v>1.09782608695652</v>
      </c>
      <c r="M273" s="70" t="s">
        <v>29</v>
      </c>
      <c r="N273" s="54">
        <v>5.84</v>
      </c>
      <c r="O273" s="56">
        <f>N273/C273</f>
        <v>0.0634782608695652</v>
      </c>
      <c r="P273" s="57">
        <f>(Boosters_And!B273*100)/Boosters_And!N273</f>
        <v>29.6030156267553</v>
      </c>
      <c r="Q273" s="57">
        <f>Boosters_And!B273/(C273+D273)</f>
        <v>0.941319580804481</v>
      </c>
      <c r="R273" s="57">
        <f>Boosters_And!N273/B273</f>
        <v>4.64252225280867</v>
      </c>
      <c r="S273" s="54">
        <v>8.66304347826087</v>
      </c>
      <c r="T273" s="58">
        <v>0.717391304347826</v>
      </c>
      <c r="U273" s="60">
        <v>2463.13043478261</v>
      </c>
      <c r="V273" s="59">
        <v>46610</v>
      </c>
    </row>
    <row r="274" spans="1:22" s="168" customFormat="1" ht="22.500000" customHeight="1">
      <c r="A274" s="34">
        <v>272</v>
      </c>
      <c r="B274" s="49">
        <v>96</v>
      </c>
      <c r="C274" s="49">
        <v>95</v>
      </c>
      <c r="D274" s="49">
        <v>60</v>
      </c>
      <c r="E274" s="49">
        <v>16</v>
      </c>
      <c r="F274" s="50">
        <f>(C274*100)/B274</f>
        <v>98.9583333333333</v>
      </c>
      <c r="G274" s="156">
        <f>(D274*100)/B274</f>
        <v>62.5</v>
      </c>
      <c r="H274" s="152">
        <f>((B274-B275)/B274)*100</f>
        <v>-2.08333333333333</v>
      </c>
      <c r="I274" s="152">
        <f>((B274-C274)/B274)*100</f>
        <v>1.04166666666667</v>
      </c>
      <c r="J274" s="152">
        <f>((C274-B275)/C274)*100</f>
        <v>-3.15789473684211</v>
      </c>
      <c r="K274" s="161"/>
      <c r="L274" s="54">
        <v>1.1578947368421</v>
      </c>
      <c r="M274" s="69" t="s">
        <v>28</v>
      </c>
      <c r="N274" s="54">
        <v>6.49</v>
      </c>
      <c r="O274" s="56">
        <f>N274/C274</f>
        <v>0.0683157894736842</v>
      </c>
      <c r="P274" s="57">
        <f>(Boosters_And!B274*100)/Boosters_And!N274</f>
        <v>19.3866121099173</v>
      </c>
      <c r="Q274" s="57">
        <f>Boosters_And!B274/(C274+D274)</f>
        <v>0.359886355719833</v>
      </c>
      <c r="R274" s="57">
        <f>Boosters_And!N274/B274</f>
        <v>2.99725660442789</v>
      </c>
      <c r="S274" s="54">
        <v>4.78947368421052</v>
      </c>
      <c r="T274" s="58">
        <v>0.810526315789474</v>
      </c>
      <c r="U274" s="60">
        <v>2488.4</v>
      </c>
      <c r="V274" s="59">
        <v>40750</v>
      </c>
    </row>
    <row r="275" spans="1:22" s="168" customFormat="1" ht="22.500000" customHeight="1">
      <c r="A275" s="34">
        <v>273</v>
      </c>
      <c r="B275" s="49">
        <v>98</v>
      </c>
      <c r="C275" s="49">
        <v>94</v>
      </c>
      <c r="D275" s="49">
        <v>94</v>
      </c>
      <c r="E275" s="49">
        <v>37</v>
      </c>
      <c r="F275" s="50">
        <f>(C275*100)/B275</f>
        <v>95.9183673469388</v>
      </c>
      <c r="G275" s="156">
        <f>(D275*100)/B275</f>
        <v>95.9183673469388</v>
      </c>
      <c r="H275" s="152">
        <f>((B275-B276)/B275)*100</f>
        <v>3.06122448979592</v>
      </c>
      <c r="I275" s="152">
        <f>((B275-C275)/B275)*100</f>
        <v>4.08163265306122</v>
      </c>
      <c r="J275" s="152">
        <f>((C275-B276)/C275)*100</f>
        <v>-1.06382978723404</v>
      </c>
      <c r="K275" s="161"/>
      <c r="L275" s="54">
        <v>1.35106382978723</v>
      </c>
      <c r="M275" s="70" t="s">
        <v>29</v>
      </c>
      <c r="N275" s="54">
        <v>47.27</v>
      </c>
      <c r="O275" s="56">
        <f>N275/C275</f>
        <v>0.502872340425532</v>
      </c>
      <c r="P275" s="57">
        <f>(Boosters_And!B275*100)/Boosters_And!N275</f>
        <v>25.8669023087037</v>
      </c>
      <c r="Q275" s="57">
        <f>Boosters_And!B275/(C275+D275)</f>
        <v>0.81080745649462</v>
      </c>
      <c r="R275" s="57">
        <f>Boosters_And!N275/B275</f>
        <v>6.01319218911803</v>
      </c>
      <c r="S275" s="54">
        <v>6.45744680851063</v>
      </c>
      <c r="T275" s="58">
        <v>0.978723404255319</v>
      </c>
      <c r="U275" s="60">
        <v>2617.90425531915</v>
      </c>
      <c r="V275" s="59">
        <v>27410</v>
      </c>
    </row>
    <row r="276" spans="1:22" s="168" customFormat="1" ht="22.500000" customHeight="1">
      <c r="A276" s="34">
        <v>274</v>
      </c>
      <c r="B276" s="49">
        <v>95</v>
      </c>
      <c r="C276" s="49">
        <v>93</v>
      </c>
      <c r="D276" s="49">
        <v>83</v>
      </c>
      <c r="E276" s="49">
        <v>16</v>
      </c>
      <c r="F276" s="50">
        <f>(C276*100)/B276</f>
        <v>97.8947368421053</v>
      </c>
      <c r="G276" s="156">
        <f>(D276*100)/B276</f>
        <v>87.3684210526316</v>
      </c>
      <c r="H276" s="152">
        <f>((B276-B277)/B276)*100</f>
        <v>-3.15789473684211</v>
      </c>
      <c r="I276" s="152">
        <f>((B276-C276)/B276)*100</f>
        <v>2.10526315789474</v>
      </c>
      <c r="J276" s="152">
        <f>((C276-B277)/C276)*100</f>
        <v>-5.37634408602151</v>
      </c>
      <c r="K276" s="161"/>
      <c r="L276" s="54">
        <v>1.09677419354838</v>
      </c>
      <c r="M276" s="69" t="s">
        <v>28</v>
      </c>
      <c r="N276" s="54">
        <v>6.84</v>
      </c>
      <c r="O276" s="56">
        <f>N276/C276</f>
        <v>0.0735483870967742</v>
      </c>
      <c r="P276" s="57">
        <f>(Boosters_And!B276*100)/Boosters_And!N276</f>
        <v>10.2173607297022</v>
      </c>
      <c r="Q276" s="57">
        <f>Boosters_And!B276/(C276+D276)</f>
        <v>0.315954263950267</v>
      </c>
      <c r="R276" s="57">
        <f>Boosters_And!N276/B276</f>
        <v>5.72894373001545</v>
      </c>
      <c r="S276" s="54">
        <v>17.6236559139784</v>
      </c>
      <c r="T276" s="58">
        <v>0.870967741935484</v>
      </c>
      <c r="U276" s="60">
        <v>2559.01075268817</v>
      </c>
      <c r="V276" s="59">
        <v>35905</v>
      </c>
    </row>
    <row r="277" spans="1:22" s="168" customFormat="1" ht="22.500000" customHeight="1">
      <c r="A277" s="34">
        <v>275</v>
      </c>
      <c r="B277" s="49">
        <v>98</v>
      </c>
      <c r="C277" s="49">
        <v>95</v>
      </c>
      <c r="D277" s="49">
        <v>97</v>
      </c>
      <c r="E277" s="49">
        <v>36</v>
      </c>
      <c r="F277" s="50">
        <f>(C277*100)/B277</f>
        <v>96.9387755102041</v>
      </c>
      <c r="G277" s="156">
        <f>(D277*100)/B277</f>
        <v>98.9795918367347</v>
      </c>
      <c r="H277" s="152">
        <f>((B277-B278)/B277)*100</f>
        <v>-1.02040816326531</v>
      </c>
      <c r="I277" s="152">
        <f>((B277-C277)/B277)*100</f>
        <v>3.06122448979592</v>
      </c>
      <c r="J277" s="152">
        <f>((C277-B278)/C277)*100</f>
        <v>-4.21052631578947</v>
      </c>
      <c r="K277" s="161"/>
      <c r="L277" s="54">
        <v>1.24210526315789</v>
      </c>
      <c r="M277" s="73" t="s">
        <v>30</v>
      </c>
      <c r="N277" s="54">
        <v>12.44</v>
      </c>
      <c r="O277" s="56">
        <f>N277/C277</f>
        <v>0.130947368421053</v>
      </c>
      <c r="P277" s="57">
        <f>(Boosters_And!B277*100)/Boosters_And!N277</f>
        <v>33.0700623282808</v>
      </c>
      <c r="Q277" s="57">
        <f>Boosters_And!B277/(C277+D277)</f>
        <v>1.06157363235838</v>
      </c>
      <c r="R277" s="57">
        <f>Boosters_And!N277/B277</f>
        <v>6.28912551798708</v>
      </c>
      <c r="S277" s="54">
        <v>9.91578947368421</v>
      </c>
      <c r="T277" s="58">
        <v>0.978947368421053</v>
      </c>
      <c r="U277" s="60">
        <v>2419.24210526316</v>
      </c>
      <c r="V277" s="59">
        <v>30015</v>
      </c>
    </row>
    <row r="278" spans="1:22" s="168" customFormat="1" ht="22.500000" customHeight="1">
      <c r="A278" s="34">
        <v>276</v>
      </c>
      <c r="B278" s="49">
        <v>99</v>
      </c>
      <c r="C278" s="49">
        <v>98</v>
      </c>
      <c r="D278" s="49">
        <v>77</v>
      </c>
      <c r="E278" s="49">
        <v>28</v>
      </c>
      <c r="F278" s="50">
        <f>(C278*100)/B278</f>
        <v>98.989898989899</v>
      </c>
      <c r="G278" s="156">
        <f>(D278*100)/B278</f>
        <v>77.7777777777778</v>
      </c>
      <c r="H278" s="152">
        <f>((B278-B279)/B278)*100</f>
        <v>1.01010101010101</v>
      </c>
      <c r="I278" s="152">
        <f>((B278-C278)/B278)*100</f>
        <v>1.01010101010101</v>
      </c>
      <c r="J278" s="152">
        <f>((C278-B279)/C278)*100</f>
        <v>0</v>
      </c>
      <c r="K278" s="161"/>
      <c r="L278" s="54">
        <v>1.31632653061224</v>
      </c>
      <c r="M278" s="68" t="s">
        <v>29</v>
      </c>
      <c r="N278" s="54">
        <v>8.96</v>
      </c>
      <c r="O278" s="56">
        <f>N278/C278</f>
        <v>0.0914285714285714</v>
      </c>
      <c r="P278" s="57">
        <f>(Boosters_And!B278*100)/Boosters_And!N278</f>
        <v>26.9930157230459</v>
      </c>
      <c r="Q278" s="57">
        <f>Boosters_And!B278/(C278+D278)</f>
        <v>0.901850579232807</v>
      </c>
      <c r="R278" s="57">
        <f>Boosters_And!N278/B278</f>
        <v>5.90589926365509</v>
      </c>
      <c r="S278" s="54">
        <v>5.81632653061224</v>
      </c>
      <c r="T278" s="58">
        <v>0.908163265306123</v>
      </c>
      <c r="U278" s="60">
        <v>2406.51020408163</v>
      </c>
      <c r="V278" s="59">
        <v>56135</v>
      </c>
    </row>
    <row r="279" spans="1:22" s="168" customFormat="1" ht="22.500000" customHeight="1">
      <c r="A279" s="34">
        <v>277</v>
      </c>
      <c r="B279" s="49">
        <v>98</v>
      </c>
      <c r="C279" s="49">
        <v>96</v>
      </c>
      <c r="D279" s="49">
        <v>88</v>
      </c>
      <c r="E279" s="49">
        <v>30</v>
      </c>
      <c r="F279" s="50">
        <f>(C279*100)/B279</f>
        <v>97.9591836734694</v>
      </c>
      <c r="G279" s="156">
        <f>(D279*100)/B279</f>
        <v>89.7959183673469</v>
      </c>
      <c r="H279" s="152">
        <f>((B279-B280)/B279)*100</f>
        <v>4.08163265306122</v>
      </c>
      <c r="I279" s="152">
        <f>((B279-C279)/B279)*100</f>
        <v>2.04081632653061</v>
      </c>
      <c r="J279" s="152">
        <f>((C279-B280)/C279)*100</f>
        <v>2.08333333333333</v>
      </c>
      <c r="K279" s="161"/>
      <c r="L279" s="54">
        <v>1.11458333333333</v>
      </c>
      <c r="M279" s="70" t="s">
        <v>29</v>
      </c>
      <c r="N279" s="54">
        <v>3.98</v>
      </c>
      <c r="O279" s="56">
        <f>N279/C279</f>
        <v>0.0414583333333333</v>
      </c>
      <c r="P279" s="57">
        <f>(Boosters_And!B279*100)/Boosters_And!N279</f>
        <v>22.1205232851854</v>
      </c>
      <c r="Q279" s="57">
        <f>Boosters_And!B279/(C279+D279)</f>
        <v>0.650273226417827</v>
      </c>
      <c r="R279" s="57">
        <f>Boosters_And!N279/B279</f>
        <v>5.5194045098498</v>
      </c>
      <c r="S279" s="54">
        <v>13</v>
      </c>
      <c r="T279" s="58">
        <v>0.90625</v>
      </c>
      <c r="U279" s="60">
        <v>2377.63541666667</v>
      </c>
      <c r="V279" s="59">
        <v>64780</v>
      </c>
    </row>
    <row r="280" spans="1:22" s="168" customFormat="1" ht="22.500000" customHeight="1">
      <c r="A280" s="34">
        <v>278</v>
      </c>
      <c r="B280" s="49">
        <v>94</v>
      </c>
      <c r="C280" s="49">
        <v>94</v>
      </c>
      <c r="D280" s="49">
        <v>71</v>
      </c>
      <c r="E280" s="49">
        <v>15</v>
      </c>
      <c r="F280" s="50">
        <f>(C280*100)/B280</f>
        <v>100</v>
      </c>
      <c r="G280" s="156">
        <f>(D280*100)/B280</f>
        <v>75.531914893617</v>
      </c>
      <c r="H280" s="152">
        <f>((B280-B281)/B280)*100</f>
        <v>-2.12765957446809</v>
      </c>
      <c r="I280" s="152">
        <f>((B280-C280)/B280)*100</f>
        <v>0</v>
      </c>
      <c r="J280" s="152">
        <f>((C280-B281)/C280)*100</f>
        <v>-2.12765957446809</v>
      </c>
      <c r="K280" s="161"/>
      <c r="L280" s="54">
        <v>1.0531914893617</v>
      </c>
      <c r="M280" s="69" t="s">
        <v>28</v>
      </c>
      <c r="N280" s="54">
        <v>3.98</v>
      </c>
      <c r="O280" s="56">
        <f>N280/C280</f>
        <v>0.0423404255319149</v>
      </c>
      <c r="P280" s="57">
        <f>(Boosters_And!B280*100)/Boosters_And!N280</f>
        <v>4.06997268472764</v>
      </c>
      <c r="Q280" s="57">
        <f>Boosters_And!B280/(C280+D280)</f>
        <v>0.140445925484007</v>
      </c>
      <c r="R280" s="57">
        <f>Boosters_And!N280/B280</f>
        <v>6.0572254776358</v>
      </c>
      <c r="S280" s="54">
        <v>6.80851063829787</v>
      </c>
      <c r="T280" s="58">
        <v>0.776595744680851</v>
      </c>
      <c r="U280" s="60">
        <v>2439.92553191489</v>
      </c>
      <c r="V280" s="59">
        <v>58760</v>
      </c>
    </row>
    <row r="281" spans="1:22" s="168" customFormat="1" ht="22.500000" customHeight="1">
      <c r="A281" s="34">
        <v>279</v>
      </c>
      <c r="B281" s="49">
        <v>96</v>
      </c>
      <c r="C281" s="49">
        <v>96</v>
      </c>
      <c r="D281" s="49">
        <v>87</v>
      </c>
      <c r="E281" s="49">
        <v>44</v>
      </c>
      <c r="F281" s="50">
        <f>(C281*100)/B281</f>
        <v>100</v>
      </c>
      <c r="G281" s="156">
        <f>(D281*100)/B281</f>
        <v>90.625</v>
      </c>
      <c r="H281" s="152">
        <f>((B281-B282)/B281)*100</f>
        <v>0</v>
      </c>
      <c r="I281" s="152">
        <f>((B281-C281)/B281)*100</f>
        <v>0</v>
      </c>
      <c r="J281" s="152">
        <f>((C281-B282)/C281)*100</f>
        <v>0</v>
      </c>
      <c r="K281" s="161"/>
      <c r="L281" s="54">
        <v>1.30208333333333</v>
      </c>
      <c r="M281" s="55" t="s">
        <v>28</v>
      </c>
      <c r="N281" s="54">
        <v>8.39</v>
      </c>
      <c r="O281" s="56">
        <f>N281/C281</f>
        <v>0.0873958333333333</v>
      </c>
      <c r="P281" s="57">
        <f>(Boosters_And!B281*100)/Boosters_And!N281</f>
        <v>28.3650530947042</v>
      </c>
      <c r="Q281" s="57">
        <f>Boosters_And!B281/(C281+D281)</f>
        <v>1.06294077696823</v>
      </c>
      <c r="R281" s="57">
        <f>Boosters_And!N281/B281</f>
        <v>7.14340582875196</v>
      </c>
      <c r="S281" s="54">
        <v>5.51041666666666</v>
      </c>
      <c r="T281" s="58">
        <v>0.90625</v>
      </c>
      <c r="U281" s="60">
        <v>2266.69791666667</v>
      </c>
      <c r="V281" s="59">
        <v>60850</v>
      </c>
    </row>
    <row r="282" spans="1:22" s="168" customFormat="1" ht="22.500000" customHeight="1">
      <c r="A282" s="34">
        <v>280</v>
      </c>
      <c r="B282" s="49">
        <v>96</v>
      </c>
      <c r="C282" s="49">
        <v>96</v>
      </c>
      <c r="D282" s="49">
        <v>84</v>
      </c>
      <c r="E282" s="49">
        <v>19</v>
      </c>
      <c r="F282" s="50">
        <f>(C282*100)/B282</f>
        <v>100</v>
      </c>
      <c r="G282" s="156">
        <f>(D282*100)/B282</f>
        <v>87.5</v>
      </c>
      <c r="H282" s="152">
        <f>((B282-B283)/B282)*100</f>
        <v>-3.125</v>
      </c>
      <c r="I282" s="152">
        <f>((B282-C282)/B282)*100</f>
        <v>0</v>
      </c>
      <c r="J282" s="152">
        <f>((C282-B283)/C282)*100</f>
        <v>-3.125</v>
      </c>
      <c r="K282" s="161"/>
      <c r="L282" s="54">
        <v>1.21875</v>
      </c>
      <c r="M282" s="69" t="s">
        <v>28</v>
      </c>
      <c r="N282" s="54">
        <v>6.4</v>
      </c>
      <c r="O282" s="56">
        <f>N282/C282</f>
        <v>0.0666666666666667</v>
      </c>
      <c r="P282" s="57">
        <f>(Boosters_And!B282*100)/Boosters_And!N282</f>
        <v>7.49984233056019</v>
      </c>
      <c r="Q282" s="57">
        <f>Boosters_And!B282/(C282+D282)</f>
        <v>0.194684334344994</v>
      </c>
      <c r="R282" s="57">
        <f>Boosters_And!N282/B282</f>
        <v>4.86721068000902</v>
      </c>
      <c r="S282" s="54">
        <v>9.5</v>
      </c>
      <c r="T282" s="58">
        <v>0.864583333333333</v>
      </c>
      <c r="U282" s="60">
        <v>2204.04166666667</v>
      </c>
      <c r="V282" s="59">
        <v>63905</v>
      </c>
    </row>
    <row r="283" spans="1:22" s="168" customFormat="1" ht="22.500000" customHeight="1">
      <c r="A283" s="34">
        <v>281</v>
      </c>
      <c r="B283" s="49">
        <v>99</v>
      </c>
      <c r="C283" s="49">
        <v>93</v>
      </c>
      <c r="D283" s="49">
        <v>101</v>
      </c>
      <c r="E283" s="49">
        <v>40</v>
      </c>
      <c r="F283" s="50">
        <f>(C283*100)/B283</f>
        <v>93.9393939393939</v>
      </c>
      <c r="G283" s="156">
        <f>(D283*100)/B283</f>
        <v>102.020202020202</v>
      </c>
      <c r="H283" s="152">
        <f>((B283-B284)/B283)*100</f>
        <v>6.06060606060606</v>
      </c>
      <c r="I283" s="152">
        <f>((B283-C283)/B283)*100</f>
        <v>6.06060606060606</v>
      </c>
      <c r="J283" s="152">
        <f>((C283-B284)/C283)*100</f>
        <v>0</v>
      </c>
      <c r="K283" s="161"/>
      <c r="L283" s="54">
        <v>1.27956989247311</v>
      </c>
      <c r="M283" s="73" t="s">
        <v>30</v>
      </c>
      <c r="N283" s="54">
        <v>10.76</v>
      </c>
      <c r="O283" s="56">
        <f>N283/C283</f>
        <v>0.115698924731183</v>
      </c>
      <c r="P283" s="57">
        <f>(Boosters_And!B283*100)/Boosters_And!N283</f>
        <v>17.9460394520926</v>
      </c>
      <c r="Q283" s="57">
        <f>Boosters_And!B283/(C283+D283)</f>
        <v>0.637145548981008</v>
      </c>
      <c r="R283" s="57">
        <f>Boosters_And!N283/B283</f>
        <v>6.95723335943155</v>
      </c>
      <c r="S283" s="54">
        <v>5.93548387096774</v>
      </c>
      <c r="T283" s="58">
        <v>1</v>
      </c>
      <c r="U283" s="60">
        <v>2268.52688172043</v>
      </c>
      <c r="V283" s="59">
        <v>65515</v>
      </c>
    </row>
    <row r="284" spans="1:22" s="168" customFormat="1" ht="22.500000" customHeight="1">
      <c r="A284" s="34">
        <v>282</v>
      </c>
      <c r="B284" s="49">
        <v>93</v>
      </c>
      <c r="C284" s="49">
        <v>93</v>
      </c>
      <c r="D284" s="49">
        <v>63</v>
      </c>
      <c r="E284" s="49">
        <v>26</v>
      </c>
      <c r="F284" s="50">
        <f>(C284*100)/B284</f>
        <v>100</v>
      </c>
      <c r="G284" s="156">
        <f>(D284*100)/B284</f>
        <v>67.741935483871</v>
      </c>
      <c r="H284" s="152">
        <f>((B284-B285)/B284)*100</f>
        <v>0</v>
      </c>
      <c r="I284" s="152">
        <f>((B284-C284)/B284)*100</f>
        <v>0</v>
      </c>
      <c r="J284" s="152">
        <f>((C284-B285)/C284)*100</f>
        <v>0</v>
      </c>
      <c r="K284" s="161"/>
      <c r="L284" s="54">
        <v>1.09677419354838</v>
      </c>
      <c r="M284" s="69" t="s">
        <v>28</v>
      </c>
      <c r="N284" s="54">
        <v>4.41</v>
      </c>
      <c r="O284" s="56">
        <f>N284/C284</f>
        <v>0.0474193548387097</v>
      </c>
      <c r="P284" s="57">
        <f>(Boosters_And!B284*100)/Boosters_And!N284</f>
        <v>21.5176471554363</v>
      </c>
      <c r="Q284" s="57">
        <f>Boosters_And!B284/(C284+D284)</f>
        <v>0.644917265889624</v>
      </c>
      <c r="R284" s="57">
        <f>Boosters_And!N284/B284</f>
        <v>5.02748602697301</v>
      </c>
      <c r="S284" s="54">
        <v>9.78494623655914</v>
      </c>
      <c r="T284" s="58">
        <v>0.78494623655914</v>
      </c>
      <c r="U284" s="60">
        <v>2102.23655913979</v>
      </c>
      <c r="V284" s="59">
        <v>72090</v>
      </c>
    </row>
    <row r="285" spans="1:22" s="168" customFormat="1" ht="22.500000" customHeight="1">
      <c r="A285" s="34">
        <v>283</v>
      </c>
      <c r="B285" s="49">
        <v>93</v>
      </c>
      <c r="C285" s="49">
        <v>91</v>
      </c>
      <c r="D285" s="49">
        <v>63</v>
      </c>
      <c r="E285" s="49">
        <v>26</v>
      </c>
      <c r="F285" s="50">
        <f>(C285*100)/B285</f>
        <v>97.8494623655914</v>
      </c>
      <c r="G285" s="156">
        <f>(D285*100)/B285</f>
        <v>67.741935483871</v>
      </c>
      <c r="H285" s="152">
        <f>((B285-B286)/B285)*100</f>
        <v>0</v>
      </c>
      <c r="I285" s="152">
        <f>((B285-C285)/B285)*100</f>
        <v>2.1505376344086</v>
      </c>
      <c r="J285" s="152">
        <f>((C285-B286)/C285)*100</f>
        <v>-2.1978021978022</v>
      </c>
      <c r="K285" s="161"/>
      <c r="L285" s="54">
        <v>1.39560439560439</v>
      </c>
      <c r="M285" s="70" t="s">
        <v>29</v>
      </c>
      <c r="N285" s="54">
        <v>11.16</v>
      </c>
      <c r="O285" s="56">
        <f>N285/C285</f>
        <v>0.122637362637363</v>
      </c>
      <c r="P285" s="57">
        <f>(Boosters_And!B285*100)/Boosters_And!N285</f>
        <v>16.0312537577738</v>
      </c>
      <c r="Q285" s="57">
        <f>Boosters_And!B285/(C285+D285)</f>
        <v>0.466399774796577</v>
      </c>
      <c r="R285" s="57">
        <f>Boosters_And!N285/B285</f>
        <v>4.81757645610151</v>
      </c>
      <c r="S285" s="54">
        <v>6.17582417582417</v>
      </c>
      <c r="T285" s="58">
        <v>0.879120879120879</v>
      </c>
      <c r="U285" s="60">
        <v>2156.18681318681</v>
      </c>
      <c r="V285" s="59">
        <v>78215</v>
      </c>
    </row>
    <row r="286" spans="1:22" s="168" customFormat="1" ht="22.500000" customHeight="1">
      <c r="A286" s="34">
        <v>284</v>
      </c>
      <c r="B286" s="49">
        <v>93</v>
      </c>
      <c r="C286" s="49">
        <v>93</v>
      </c>
      <c r="D286" s="49">
        <v>19</v>
      </c>
      <c r="E286" s="49">
        <v>8</v>
      </c>
      <c r="F286" s="50">
        <f>(C286*100)/B286</f>
        <v>100</v>
      </c>
      <c r="G286" s="156">
        <f>(D286*100)/B286</f>
        <v>20.4301075268817</v>
      </c>
      <c r="H286" s="152">
        <f>((B286-B287)/B286)*100</f>
        <v>-2.1505376344086</v>
      </c>
      <c r="I286" s="152">
        <f>((B286-C286)/B286)*100</f>
        <v>0</v>
      </c>
      <c r="J286" s="152">
        <f>((C286-B287)/C286)*100</f>
        <v>-2.1505376344086</v>
      </c>
      <c r="K286" s="161"/>
      <c r="L286" s="54">
        <v>1</v>
      </c>
      <c r="M286" s="68" t="s">
        <v>29</v>
      </c>
      <c r="N286" s="54">
        <v>0</v>
      </c>
      <c r="O286" s="56">
        <f>N286/C286</f>
        <v>0</v>
      </c>
      <c r="P286" s="57">
        <f>(Boosters_And!B286*100)/Boosters_And!N286</f>
        <v>12.367424156289</v>
      </c>
      <c r="Q286" s="57">
        <f>Boosters_And!B286/(C286+D286)</f>
        <v>0.380042591724538</v>
      </c>
      <c r="R286" s="57">
        <f>Boosters_And!N286/B286</f>
        <v>3.70073586931254</v>
      </c>
      <c r="S286" s="54">
        <v>5.82795698924731</v>
      </c>
      <c r="T286" s="58">
        <v>0.548387096774194</v>
      </c>
      <c r="U286" s="60">
        <v>2160.35483870968</v>
      </c>
      <c r="V286" s="59">
        <v>89575</v>
      </c>
    </row>
    <row r="287" spans="1:22" s="168" customFormat="1" ht="22.500000" customHeight="1">
      <c r="A287" s="34">
        <v>285</v>
      </c>
      <c r="B287" s="49">
        <v>95</v>
      </c>
      <c r="C287" s="49">
        <v>92</v>
      </c>
      <c r="D287" s="49">
        <v>94</v>
      </c>
      <c r="E287" s="49">
        <v>39</v>
      </c>
      <c r="F287" s="50">
        <f>(C287*100)/B287</f>
        <v>96.8421052631579</v>
      </c>
      <c r="G287" s="156">
        <f>(D287*100)/B287</f>
        <v>98.9473684210526</v>
      </c>
      <c r="H287" s="152">
        <f>((B287-B288)/B287)*100</f>
        <v>4.21052631578947</v>
      </c>
      <c r="I287" s="152">
        <f>((B287-C287)/B287)*100</f>
        <v>3.15789473684211</v>
      </c>
      <c r="J287" s="152">
        <f>((C287-B288)/C287)*100</f>
        <v>1.08695652173913</v>
      </c>
      <c r="K287" s="161"/>
      <c r="L287" s="54">
        <v>1.3695652173913</v>
      </c>
      <c r="M287" s="55" t="s">
        <v>28</v>
      </c>
      <c r="N287" s="54">
        <v>16.96</v>
      </c>
      <c r="O287" s="56">
        <f>N287/C287</f>
        <v>0.184347826086957</v>
      </c>
      <c r="P287" s="57">
        <f>(Boosters_And!B287*100)/Boosters_And!N287</f>
        <v>7.391663655418</v>
      </c>
      <c r="Q287" s="57">
        <f>Boosters_And!B287/(C287+D287)</f>
        <v>0.31907072800926</v>
      </c>
      <c r="R287" s="57">
        <f>Boosters_And!N287/B287</f>
        <v>8.45150602316443</v>
      </c>
      <c r="S287" s="54">
        <v>7.29347826086956</v>
      </c>
      <c r="T287" s="58">
        <v>1.04347826086957</v>
      </c>
      <c r="U287" s="60">
        <v>2141.9347826087</v>
      </c>
      <c r="V287" s="59">
        <v>43300</v>
      </c>
    </row>
    <row r="288" spans="1:22" s="168" customFormat="1" ht="22.500000" customHeight="1">
      <c r="A288" s="34">
        <v>286</v>
      </c>
      <c r="B288" s="49">
        <v>91</v>
      </c>
      <c r="C288" s="49">
        <v>90</v>
      </c>
      <c r="D288" s="49">
        <v>84</v>
      </c>
      <c r="E288" s="49">
        <v>28</v>
      </c>
      <c r="F288" s="50">
        <f>(C288*100)/B288</f>
        <v>98.9010989010989</v>
      </c>
      <c r="G288" s="156">
        <f>(D288*100)/B288</f>
        <v>92.3076923076923</v>
      </c>
      <c r="H288" s="152">
        <f>((B288-B289)/B288)*100</f>
        <v>-1.0989010989011</v>
      </c>
      <c r="I288" s="152">
        <f>((B288-C288)/B288)*100</f>
        <v>1.0989010989011</v>
      </c>
      <c r="J288" s="152">
        <f>((C288-B289)/C288)*100</f>
        <v>-2.22222222222222</v>
      </c>
      <c r="K288" s="161"/>
      <c r="L288" s="54">
        <v>1.16666666666666</v>
      </c>
      <c r="M288" s="75" t="s">
        <v>30</v>
      </c>
      <c r="N288" s="54">
        <v>4.85</v>
      </c>
      <c r="O288" s="56">
        <f>N288/C288</f>
        <v>0.0538888888888889</v>
      </c>
      <c r="P288" s="57">
        <f>(Boosters_And!B288*100)/Boosters_And!N288</f>
        <v>16.7952008505034</v>
      </c>
      <c r="Q288" s="57">
        <f>Boosters_And!B288/(C288+D288)</f>
        <v>0.539222461736823</v>
      </c>
      <c r="R288" s="57">
        <f>Boosters_And!N288/B288</f>
        <v>6.13890098838779</v>
      </c>
      <c r="S288" s="54">
        <v>9.88888888888889</v>
      </c>
      <c r="T288" s="58">
        <v>0.944444444444444</v>
      </c>
      <c r="U288" s="60">
        <v>2105.97777777778</v>
      </c>
      <c r="V288" s="59">
        <v>51495</v>
      </c>
    </row>
    <row r="289" spans="1:22" s="168" customFormat="1" ht="22.500000" customHeight="1">
      <c r="A289" s="34">
        <v>287</v>
      </c>
      <c r="B289" s="49">
        <v>92</v>
      </c>
      <c r="C289" s="49">
        <v>92</v>
      </c>
      <c r="D289" s="49">
        <v>87</v>
      </c>
      <c r="E289" s="49">
        <v>52</v>
      </c>
      <c r="F289" s="50">
        <f>(C289*100)/B289</f>
        <v>100</v>
      </c>
      <c r="G289" s="156">
        <f>(D289*100)/B289</f>
        <v>94.5652173913044</v>
      </c>
      <c r="H289" s="152">
        <f>((B289-B290)/B289)*100</f>
        <v>0</v>
      </c>
      <c r="I289" s="152">
        <f>((B289-C289)/B289)*100</f>
        <v>0</v>
      </c>
      <c r="J289" s="152">
        <f>((C289-B290)/C289)*100</f>
        <v>0</v>
      </c>
      <c r="K289" s="161"/>
      <c r="L289" s="54">
        <v>1.43478260869565</v>
      </c>
      <c r="M289" s="55" t="s">
        <v>28</v>
      </c>
      <c r="N289" s="54">
        <v>14.61</v>
      </c>
      <c r="O289" s="56">
        <f>N289/C289</f>
        <v>0.158804347826087</v>
      </c>
      <c r="P289" s="57">
        <f>(Boosters_And!B289*100)/Boosters_And!N289</f>
        <v>5.93048091544721</v>
      </c>
      <c r="Q289" s="57">
        <f>Boosters_And!B289/(C289+D289)</f>
        <v>0.310171693377562</v>
      </c>
      <c r="R289" s="57">
        <f>Boosters_And!N289/B289</f>
        <v>10.1760082885426</v>
      </c>
      <c r="S289" s="54">
        <v>10.195652173913</v>
      </c>
      <c r="T289" s="58">
        <v>0.858695652173913</v>
      </c>
      <c r="U289" s="60">
        <v>2019.54347826087</v>
      </c>
      <c r="V289" s="59">
        <v>39460</v>
      </c>
    </row>
    <row r="290" spans="1:22" s="168" customFormat="1" ht="22.500000" customHeight="1">
      <c r="A290" s="34">
        <v>288</v>
      </c>
      <c r="B290" s="49">
        <v>92</v>
      </c>
      <c r="C290" s="49">
        <v>88</v>
      </c>
      <c r="D290" s="49">
        <v>81</v>
      </c>
      <c r="E290" s="49">
        <v>19</v>
      </c>
      <c r="F290" s="50">
        <f>(C290*100)/B290</f>
        <v>95.6521739130435</v>
      </c>
      <c r="G290" s="156">
        <f>(D290*100)/B290</f>
        <v>88.0434782608696</v>
      </c>
      <c r="H290" s="152">
        <f>((B290-B291)/B290)*100</f>
        <v>1.08695652173913</v>
      </c>
      <c r="I290" s="152">
        <f>((B290-C290)/B290)*100</f>
        <v>4.34782608695652</v>
      </c>
      <c r="J290" s="152">
        <f>((C290-B291)/C290)*100</f>
        <v>-3.40909090909091</v>
      </c>
      <c r="K290" s="161"/>
      <c r="L290" s="54">
        <v>1.11363636363636</v>
      </c>
      <c r="M290" s="69" t="s">
        <v>28</v>
      </c>
      <c r="N290" s="54">
        <v>23.02</v>
      </c>
      <c r="O290" s="56">
        <f>N290/C290</f>
        <v>0.261590909090909</v>
      </c>
      <c r="P290" s="57">
        <f>(Boosters_And!B290*100)/Boosters_And!N290</f>
        <v>10.4081222018375</v>
      </c>
      <c r="Q290" s="57">
        <f>Boosters_And!B290/(C290+D290)</f>
        <v>0.349107355168841</v>
      </c>
      <c r="R290" s="57">
        <f>Boosters_And!N290/B290</f>
        <v>6.16148638945924</v>
      </c>
      <c r="S290" s="54">
        <v>8.36363636363636</v>
      </c>
      <c r="T290" s="58">
        <v>0.943181818181818</v>
      </c>
      <c r="U290" s="60">
        <v>2551.28409090909</v>
      </c>
      <c r="V290" s="59">
        <v>40385</v>
      </c>
    </row>
    <row r="291" spans="1:22" s="168" customFormat="1" ht="22.500000" customHeight="1">
      <c r="A291" s="34">
        <v>289</v>
      </c>
      <c r="B291" s="49">
        <v>91</v>
      </c>
      <c r="C291" s="49">
        <v>90</v>
      </c>
      <c r="D291" s="49">
        <v>43</v>
      </c>
      <c r="E291" s="49">
        <v>11</v>
      </c>
      <c r="F291" s="50">
        <f>(C291*100)/B291</f>
        <v>98.9010989010989</v>
      </c>
      <c r="G291" s="156">
        <f>(D291*100)/B291</f>
        <v>47.2527472527473</v>
      </c>
      <c r="H291" s="152">
        <f>((B291-B292)/B291)*100</f>
        <v>-2.1978021978022</v>
      </c>
      <c r="I291" s="152">
        <f>((B291-C291)/B291)*100</f>
        <v>1.0989010989011</v>
      </c>
      <c r="J291" s="152">
        <f>((C291-B292)/C291)*100</f>
        <v>-3.33333333333333</v>
      </c>
      <c r="K291" s="161"/>
      <c r="L291" s="54">
        <v>1.11111111111111</v>
      </c>
      <c r="M291" s="70" t="s">
        <v>29</v>
      </c>
      <c r="N291" s="54">
        <v>0</v>
      </c>
      <c r="O291" s="56">
        <f>N291/C291</f>
        <v>0</v>
      </c>
      <c r="P291" s="57">
        <f>(Boosters_And!B291*100)/Boosters_And!N291</f>
        <v>15.1763216238634</v>
      </c>
      <c r="Q291" s="57">
        <f>Boosters_And!B291/(C291+D291)</f>
        <v>0.446550320062309</v>
      </c>
      <c r="R291" s="57">
        <f>Boosters_And!N291/B291</f>
        <v>4.30045227004903</v>
      </c>
      <c r="S291" s="54">
        <v>6.82222222222222</v>
      </c>
      <c r="T291" s="58">
        <v>0.744444444444445</v>
      </c>
      <c r="U291" s="60">
        <v>2520.2</v>
      </c>
      <c r="V291" s="59">
        <v>46405</v>
      </c>
    </row>
    <row r="292" spans="1:22" s="168" customFormat="1" ht="22.500000" customHeight="1">
      <c r="A292" s="34">
        <v>290</v>
      </c>
      <c r="B292" s="49">
        <v>93</v>
      </c>
      <c r="C292" s="49">
        <v>88</v>
      </c>
      <c r="D292" s="49">
        <v>92</v>
      </c>
      <c r="E292" s="49">
        <v>35</v>
      </c>
      <c r="F292" s="50">
        <f>(C292*100)/B292</f>
        <v>94.6236559139785</v>
      </c>
      <c r="G292" s="156">
        <f>(D292*100)/B292</f>
        <v>98.9247311827957</v>
      </c>
      <c r="H292" s="152">
        <f>((B292-B293)/B292)*100</f>
        <v>4.30107526881721</v>
      </c>
      <c r="I292" s="152">
        <f>((B292-C292)/B292)*100</f>
        <v>5.37634408602151</v>
      </c>
      <c r="J292" s="152">
        <f>((C292-B293)/C292)*100</f>
        <v>-1.13636363636364</v>
      </c>
      <c r="K292" s="161"/>
      <c r="L292" s="54">
        <v>1.25</v>
      </c>
      <c r="M292" s="68" t="s">
        <v>29</v>
      </c>
      <c r="N292" s="54">
        <v>35.47</v>
      </c>
      <c r="O292" s="56">
        <f>N292/C292</f>
        <v>0.403068181818182</v>
      </c>
      <c r="P292" s="57">
        <f>(Boosters_And!B292*100)/Boosters_And!N292</f>
        <v>16.9532309563698</v>
      </c>
      <c r="Q292" s="57">
        <f>Boosters_And!B292/(C292+D292)</f>
        <v>0.702888200767321</v>
      </c>
      <c r="R292" s="57">
        <f>Boosters_And!N292/B292</f>
        <v>8.0245988459653</v>
      </c>
      <c r="S292" s="54">
        <v>5.4090909090909</v>
      </c>
      <c r="T292" s="58">
        <v>1.01136363636364</v>
      </c>
      <c r="U292" s="60">
        <v>2779.92045454546</v>
      </c>
      <c r="V292" s="59">
        <v>42990</v>
      </c>
    </row>
    <row r="293" spans="1:22" s="168" customFormat="1" ht="22.500000" customHeight="1">
      <c r="A293" s="34">
        <v>291</v>
      </c>
      <c r="B293" s="49">
        <v>89</v>
      </c>
      <c r="C293" s="49">
        <v>88</v>
      </c>
      <c r="D293" s="49">
        <v>27</v>
      </c>
      <c r="E293" s="49">
        <v>3</v>
      </c>
      <c r="F293" s="50">
        <f>(C293*100)/B293</f>
        <v>98.876404494382</v>
      </c>
      <c r="G293" s="156">
        <f>(D293*100)/B293</f>
        <v>30.3370786516854</v>
      </c>
      <c r="H293" s="152">
        <f>((B293-B294)/B293)*100</f>
        <v>1.12359550561798</v>
      </c>
      <c r="I293" s="152">
        <f>((B293-C293)/B293)*100</f>
        <v>1.12359550561798</v>
      </c>
      <c r="J293" s="152">
        <f>((C293-B294)/C293)*100</f>
        <v>0</v>
      </c>
      <c r="K293" s="161"/>
      <c r="L293" s="54">
        <v>1.02272727272727</v>
      </c>
      <c r="M293" s="55" t="s">
        <v>28</v>
      </c>
      <c r="N293" s="54">
        <v>0</v>
      </c>
      <c r="O293" s="56">
        <f>N293/C293</f>
        <v>0</v>
      </c>
      <c r="P293" s="57">
        <f>(Boosters_And!B293*100)/Boosters_And!N293</f>
        <v>8.65289864750725</v>
      </c>
      <c r="Q293" s="57">
        <f>Boosters_And!B293/(C293+D293)</f>
        <v>0.229488631028583</v>
      </c>
      <c r="R293" s="57">
        <f>Boosters_And!N293/B293</f>
        <v>3.42694703423672</v>
      </c>
      <c r="S293" s="54">
        <v>6.52272727272727</v>
      </c>
      <c r="T293" s="58">
        <v>0.647727272727273</v>
      </c>
      <c r="U293" s="60">
        <v>2819.06818181818</v>
      </c>
      <c r="V293" s="59">
        <v>43540</v>
      </c>
    </row>
    <row r="294" spans="1:22" s="168" customFormat="1" ht="22.500000" customHeight="1">
      <c r="A294" s="34">
        <v>292</v>
      </c>
      <c r="B294" s="49">
        <v>88</v>
      </c>
      <c r="C294" s="49">
        <v>81</v>
      </c>
      <c r="D294" s="49">
        <v>77</v>
      </c>
      <c r="E294" s="49">
        <v>22</v>
      </c>
      <c r="F294" s="50">
        <f>(C294*100)/B294</f>
        <v>92.0454545454546</v>
      </c>
      <c r="G294" s="156">
        <f>(D294*100)/B294</f>
        <v>87.5</v>
      </c>
      <c r="H294" s="152">
        <f>((B294-B295)/B294)*100</f>
        <v>6.81818181818182</v>
      </c>
      <c r="I294" s="152">
        <f>((B294-C294)/B294)*100</f>
        <v>7.95454545454545</v>
      </c>
      <c r="J294" s="152">
        <f>((C294-B295)/C294)*100</f>
        <v>-1.23456790123457</v>
      </c>
      <c r="K294" s="161"/>
      <c r="L294" s="54">
        <v>1.29629629629629</v>
      </c>
      <c r="M294" s="68" t="s">
        <v>29</v>
      </c>
      <c r="N294" s="54">
        <v>3.98</v>
      </c>
      <c r="O294" s="56">
        <f>N294/C294</f>
        <v>0.0491358024691358</v>
      </c>
      <c r="P294" s="57">
        <f>(Boosters_And!B294*100)/Boosters_And!N294</f>
        <v>20.70860807597</v>
      </c>
      <c r="Q294" s="57">
        <f>Boosters_And!B294/(C294+D294)</f>
        <v>0.801032002026687</v>
      </c>
      <c r="R294" s="57">
        <f>Boosters_And!N294/B294</f>
        <v>6.94501795493567</v>
      </c>
      <c r="S294" s="54">
        <v>6.79012345679012</v>
      </c>
      <c r="T294" s="58">
        <v>0.962962962962963</v>
      </c>
      <c r="U294" s="60">
        <v>2923.49382716049</v>
      </c>
      <c r="V294" s="59">
        <v>32890</v>
      </c>
    </row>
    <row r="295" spans="1:22" s="168" customFormat="1" ht="22.500000" customHeight="1">
      <c r="A295" s="34">
        <v>293</v>
      </c>
      <c r="B295" s="49">
        <v>82</v>
      </c>
      <c r="C295" s="49">
        <v>80</v>
      </c>
      <c r="D295" s="49">
        <v>67</v>
      </c>
      <c r="E295" s="49">
        <v>24</v>
      </c>
      <c r="F295" s="50">
        <f>(C295*100)/B295</f>
        <v>97.5609756097561</v>
      </c>
      <c r="G295" s="156">
        <f>(D295*100)/B295</f>
        <v>81.7073170731707</v>
      </c>
      <c r="H295" s="152">
        <f>((B295-B296)/B295)*100</f>
        <v>0</v>
      </c>
      <c r="I295" s="152">
        <f>((B295-C295)/B295)*100</f>
        <v>2.4390243902439</v>
      </c>
      <c r="J295" s="152">
        <f>((C295-B296)/C295)*100</f>
        <v>-2.5</v>
      </c>
      <c r="K295" s="161"/>
      <c r="L295" s="54">
        <v>1.225</v>
      </c>
      <c r="M295" s="73" t="s">
        <v>30</v>
      </c>
      <c r="N295" s="54">
        <v>26.81</v>
      </c>
      <c r="O295" s="56">
        <f>N295/C295</f>
        <v>0.335125</v>
      </c>
      <c r="P295" s="57">
        <f>(Boosters_And!B295*100)/Boosters_And!N295</f>
        <v>15.1270915432324</v>
      </c>
      <c r="Q295" s="57">
        <f>Boosters_And!B295/(C295+D295)</f>
        <v>0.704216844476992</v>
      </c>
      <c r="R295" s="57">
        <f>Boosters_And!N295/B295</f>
        <v>8.34554025320408</v>
      </c>
      <c r="S295" s="54">
        <v>5.875</v>
      </c>
      <c r="T295" s="58">
        <v>0.8625</v>
      </c>
      <c r="U295" s="60">
        <v>3028.9125</v>
      </c>
      <c r="V295" s="59">
        <v>33850</v>
      </c>
    </row>
    <row r="296" spans="1:22" s="168" customFormat="1" ht="22.500000" customHeight="1">
      <c r="A296" s="34">
        <v>294</v>
      </c>
      <c r="B296" s="49">
        <v>82</v>
      </c>
      <c r="C296" s="49">
        <v>79</v>
      </c>
      <c r="D296" s="49">
        <v>79</v>
      </c>
      <c r="E296" s="49">
        <v>31</v>
      </c>
      <c r="F296" s="50">
        <f>(C296*100)/B296</f>
        <v>96.3414634146342</v>
      </c>
      <c r="G296" s="156">
        <f>(D296*100)/B296</f>
        <v>96.3414634146342</v>
      </c>
      <c r="H296" s="152">
        <f>((B296-B297)/B296)*100</f>
        <v>6.09756097560976</v>
      </c>
      <c r="I296" s="152">
        <f>((B296-C296)/B296)*100</f>
        <v>3.65853658536585</v>
      </c>
      <c r="J296" s="152">
        <f>((C296-B297)/C296)*100</f>
        <v>2.53164556962025</v>
      </c>
      <c r="K296" s="161"/>
      <c r="L296" s="54">
        <v>1.44303797468354</v>
      </c>
      <c r="M296" s="68" t="s">
        <v>29</v>
      </c>
      <c r="N296" s="54">
        <v>18.38</v>
      </c>
      <c r="O296" s="56">
        <f>N296/C296</f>
        <v>0.232658227848101</v>
      </c>
      <c r="P296" s="57">
        <f>(Boosters_And!B296*100)/Boosters_And!N296</f>
        <v>13.9111371791926</v>
      </c>
      <c r="Q296" s="57">
        <f>Boosters_And!B296/(C296+D296)</f>
        <v>0.992550597400478</v>
      </c>
      <c r="R296" s="57">
        <f>Boosters_And!N296/B296</f>
        <v>13.7478016117417</v>
      </c>
      <c r="S296" s="54">
        <v>14.2658227848101</v>
      </c>
      <c r="T296" s="58">
        <v>1</v>
      </c>
      <c r="U296" s="60">
        <v>3048.01265822785</v>
      </c>
      <c r="V296" s="59">
        <v>29800</v>
      </c>
    </row>
    <row r="297" spans="1:22" s="168" customFormat="1" ht="22.500000" customHeight="1">
      <c r="A297" s="34">
        <v>295</v>
      </c>
      <c r="B297" s="49">
        <v>77</v>
      </c>
      <c r="C297" s="49">
        <v>77</v>
      </c>
      <c r="D297" s="49">
        <v>60</v>
      </c>
      <c r="E297" s="49">
        <v>11</v>
      </c>
      <c r="F297" s="50">
        <f>(C297*100)/B297</f>
        <v>100</v>
      </c>
      <c r="G297" s="156">
        <f>(D297*100)/B297</f>
        <v>77.9220779220779</v>
      </c>
      <c r="H297" s="152">
        <f>((B297-B298)/B297)*100</f>
        <v>1.2987012987013</v>
      </c>
      <c r="I297" s="152">
        <f>((B297-C297)/B297)*100</f>
        <v>0</v>
      </c>
      <c r="J297" s="152">
        <f>((C297-B298)/C297)*100</f>
        <v>1.2987012987013</v>
      </c>
      <c r="K297" s="161"/>
      <c r="L297" s="54">
        <v>1.24675324675324</v>
      </c>
      <c r="M297" s="70" t="s">
        <v>29</v>
      </c>
      <c r="N297" s="54">
        <v>6.61</v>
      </c>
      <c r="O297" s="56">
        <f>N297/C297</f>
        <v>0.0858441558441559</v>
      </c>
      <c r="P297" s="57">
        <f>(Boosters_And!B297*100)/Boosters_And!N297</f>
        <v>8.22924716590413</v>
      </c>
      <c r="Q297" s="57">
        <f>Boosters_And!B297/(C297+D297)</f>
        <v>0.342744254317046</v>
      </c>
      <c r="R297" s="57">
        <f>Boosters_And!N297/B297</f>
        <v>7.41037043784576</v>
      </c>
      <c r="S297" s="54">
        <v>7.15584415584415</v>
      </c>
      <c r="T297" s="58">
        <v>0.87012987012987</v>
      </c>
      <c r="U297" s="60">
        <v>3039.51948051948</v>
      </c>
      <c r="V297" s="59">
        <v>31745</v>
      </c>
    </row>
    <row r="298" spans="1:22" s="168" customFormat="1" ht="22.500000" customHeight="1">
      <c r="A298" s="34">
        <v>296</v>
      </c>
      <c r="B298" s="49">
        <v>76</v>
      </c>
      <c r="C298" s="49">
        <v>74</v>
      </c>
      <c r="D298" s="49">
        <v>77</v>
      </c>
      <c r="E298" s="49">
        <v>12</v>
      </c>
      <c r="F298" s="50">
        <f>(C298*100)/B298</f>
        <v>97.3684210526316</v>
      </c>
      <c r="G298" s="156">
        <f>(D298*100)/B298</f>
        <v>101.315789473684</v>
      </c>
      <c r="H298" s="152">
        <f>((B298-B299)/B298)*100</f>
        <v>3.94736842105263</v>
      </c>
      <c r="I298" s="152">
        <f>((B298-C298)/B298)*100</f>
        <v>2.63157894736842</v>
      </c>
      <c r="J298" s="152">
        <f>((C298-B299)/C298)*100</f>
        <v>1.35135135135135</v>
      </c>
      <c r="K298" s="161"/>
      <c r="L298" s="54">
        <v>1.14864864864864</v>
      </c>
      <c r="M298" s="68" t="s">
        <v>29</v>
      </c>
      <c r="N298" s="54">
        <v>0</v>
      </c>
      <c r="O298" s="56">
        <f>N298/C298</f>
        <v>0</v>
      </c>
      <c r="P298" s="57">
        <f>(Boosters_And!B298*100)/Boosters_And!N298</f>
        <v>7.92371734782591</v>
      </c>
      <c r="Q298" s="57">
        <f>Boosters_And!B298/(C298+D298)</f>
        <v>0.336015549523241</v>
      </c>
      <c r="R298" s="57">
        <f>Boosters_And!N298/B298</f>
        <v>8.42546260183158</v>
      </c>
      <c r="S298" s="54">
        <v>10.5675675675675</v>
      </c>
      <c r="T298" s="58">
        <v>1.01351351351351</v>
      </c>
      <c r="U298" s="60">
        <v>3048.41891891892</v>
      </c>
      <c r="V298" s="59">
        <v>29780</v>
      </c>
    </row>
    <row r="299" spans="1:22" s="168" customFormat="1" ht="22.500000" customHeight="1">
      <c r="A299" s="34">
        <v>297</v>
      </c>
      <c r="B299" s="49">
        <v>73</v>
      </c>
      <c r="C299" s="49">
        <v>69</v>
      </c>
      <c r="D299" s="49">
        <v>41</v>
      </c>
      <c r="E299" s="49">
        <v>10</v>
      </c>
      <c r="F299" s="50">
        <f>(C299*100)/B299</f>
        <v>94.5205479452055</v>
      </c>
      <c r="G299" s="156">
        <f>(D299*100)/B299</f>
        <v>56.1643835616438</v>
      </c>
      <c r="H299" s="152">
        <f>((B299-B300)/B299)*100</f>
        <v>2.73972602739726</v>
      </c>
      <c r="I299" s="152">
        <f>((B299-C299)/B299)*100</f>
        <v>5.47945205479452</v>
      </c>
      <c r="J299" s="152">
        <f>((C299-B300)/C299)*100</f>
        <v>-2.89855072463768</v>
      </c>
      <c r="K299" s="161"/>
      <c r="L299" s="54">
        <v>1.36231884057971</v>
      </c>
      <c r="M299" s="55" t="s">
        <v>28</v>
      </c>
      <c r="N299" s="54">
        <v>7.41</v>
      </c>
      <c r="O299" s="56">
        <f>N299/C299</f>
        <v>0.107391304347826</v>
      </c>
      <c r="P299" s="57">
        <f>(Boosters_And!B299*100)/Boosters_And!N299</f>
        <v>24.4486349323321</v>
      </c>
      <c r="Q299" s="57">
        <f>Boosters_And!B299/(C299+D299)</f>
        <v>0.819359459511787</v>
      </c>
      <c r="R299" s="57">
        <f>Boosters_And!N299/B299</f>
        <v>5.0499802699719</v>
      </c>
      <c r="S299" s="54">
        <v>6.69565217391304</v>
      </c>
      <c r="T299" s="58">
        <v>0.840579710144928</v>
      </c>
      <c r="U299" s="60">
        <v>3289.89855072464</v>
      </c>
      <c r="V299" s="59">
        <v>29080</v>
      </c>
    </row>
    <row r="300" spans="1:22" s="168" customFormat="1" ht="22.500000" customHeight="1">
      <c r="A300" s="34">
        <v>298</v>
      </c>
      <c r="B300" s="49">
        <v>71</v>
      </c>
      <c r="C300" s="49">
        <v>66</v>
      </c>
      <c r="D300" s="49">
        <v>69</v>
      </c>
      <c r="E300" s="49">
        <v>32</v>
      </c>
      <c r="F300" s="50">
        <f>(C300*100)/B300</f>
        <v>92.9577464788732</v>
      </c>
      <c r="G300" s="156">
        <f>(D300*100)/B300</f>
        <v>97.1830985915493</v>
      </c>
      <c r="H300" s="152">
        <f>((B300-B301)/B300)*100</f>
        <v>1.40845070422535</v>
      </c>
      <c r="I300" s="152">
        <f>((B300-C300)/B300)*100</f>
        <v>7.04225352112676</v>
      </c>
      <c r="J300" s="152">
        <f>((C300-B301)/C300)*100</f>
        <v>-6.06060606060606</v>
      </c>
      <c r="K300" s="161"/>
      <c r="L300" s="54">
        <v>1.07575757575757</v>
      </c>
      <c r="M300" s="68" t="s">
        <v>29</v>
      </c>
      <c r="N300" s="54">
        <v>6.98</v>
      </c>
      <c r="O300" s="56">
        <f>N300/C300</f>
        <v>0.105757575757576</v>
      </c>
      <c r="P300" s="57">
        <f>(Boosters_And!B300*100)/Boosters_And!N300</f>
        <v>12.1089754703597</v>
      </c>
      <c r="Q300" s="57">
        <f>Boosters_And!B300/(C300+D300)</f>
        <v>0.903684659782241</v>
      </c>
      <c r="R300" s="57">
        <f>Boosters_And!N300/B300</f>
        <v>14.1900828281278</v>
      </c>
      <c r="S300" s="54">
        <v>10.2727272727272</v>
      </c>
      <c r="T300" s="58">
        <v>1.03030303030303</v>
      </c>
      <c r="U300" s="60">
        <v>3401.71212121212</v>
      </c>
      <c r="V300" s="59">
        <v>48620</v>
      </c>
    </row>
    <row r="301" spans="1:22" s="168" customFormat="1" ht="22.500000" customHeight="1">
      <c r="A301" s="34">
        <v>299</v>
      </c>
      <c r="B301" s="49">
        <v>70</v>
      </c>
      <c r="C301" s="49">
        <v>66</v>
      </c>
      <c r="D301" s="49">
        <v>70</v>
      </c>
      <c r="E301" s="49">
        <v>28</v>
      </c>
      <c r="F301" s="50">
        <f>(C301*100)/B301</f>
        <v>94.2857142857143</v>
      </c>
      <c r="G301" s="156">
        <f>(D301*100)/B301</f>
        <v>100</v>
      </c>
      <c r="H301" s="152">
        <f>((B301-B302)/B301)*100</f>
        <v>1.42857142857143</v>
      </c>
      <c r="I301" s="152">
        <f>((B301-C301)/B301)*100</f>
        <v>5.71428571428572</v>
      </c>
      <c r="J301" s="152">
        <f>((C301-B302)/C301)*100</f>
        <v>-4.54545454545455</v>
      </c>
      <c r="K301" s="161"/>
      <c r="L301" s="54">
        <v>1.36363636363636</v>
      </c>
      <c r="M301" s="73" t="s">
        <v>30</v>
      </c>
      <c r="N301" s="54">
        <v>16.27</v>
      </c>
      <c r="O301" s="56">
        <f>N301/C301</f>
        <v>0.246515151515152</v>
      </c>
      <c r="P301" s="57">
        <f>(Boosters_And!B301*100)/Boosters_And!N301</f>
        <v>20.2264222054298</v>
      </c>
      <c r="Q301" s="57">
        <f>Boosters_And!B301/(C301+D301)</f>
        <v>1.3139098521327</v>
      </c>
      <c r="R301" s="57">
        <f>Boosters_And!N301/B301</f>
        <v>12.6208140785329</v>
      </c>
      <c r="S301" s="54">
        <v>8.71212121212121</v>
      </c>
      <c r="T301" s="58">
        <v>1.04545454545455</v>
      </c>
      <c r="U301" s="60">
        <v>3422.39393939394</v>
      </c>
      <c r="V301" s="59">
        <v>40645</v>
      </c>
    </row>
    <row r="302" spans="1:22" s="168" customFormat="1" ht="22.500000" customHeight="1">
      <c r="A302" s="34">
        <v>300</v>
      </c>
      <c r="B302" s="49">
        <v>69</v>
      </c>
      <c r="C302" s="49">
        <v>69</v>
      </c>
      <c r="D302" s="49">
        <v>51</v>
      </c>
      <c r="E302" s="49">
        <v>13</v>
      </c>
      <c r="F302" s="50">
        <f>(C302*100)/B302</f>
        <v>100</v>
      </c>
      <c r="G302" s="156">
        <f>(D302*100)/B302</f>
        <v>73.9130434782609</v>
      </c>
      <c r="H302" s="152">
        <f>((B302-B303)/B302)*100</f>
        <v>1.44927536231884</v>
      </c>
      <c r="I302" s="152">
        <f>((B302-C302)/B302)*100</f>
        <v>0</v>
      </c>
      <c r="J302" s="152">
        <f>((C302-B303)/C302)*100</f>
        <v>1.44927536231884</v>
      </c>
      <c r="K302" s="161"/>
      <c r="L302" s="54">
        <v>1.05797101449275</v>
      </c>
      <c r="M302" s="68" t="s">
        <v>29</v>
      </c>
      <c r="N302" s="54">
        <v>6.49</v>
      </c>
      <c r="O302" s="56">
        <f>N302/C302</f>
        <v>0.0940579710144928</v>
      </c>
      <c r="P302" s="57">
        <f>(Boosters_And!B302*100)/Boosters_And!N302</f>
        <v>18.260682159742</v>
      </c>
      <c r="Q302" s="57">
        <f>Boosters_And!B302/(C302+D302)</f>
        <v>0.823899071035884</v>
      </c>
      <c r="R302" s="57">
        <f>Boosters_And!N302/B302</f>
        <v>7.84673834796032</v>
      </c>
      <c r="S302" s="54">
        <v>12.7391304347826</v>
      </c>
      <c r="T302" s="58">
        <v>0.884057971014493</v>
      </c>
      <c r="U302" s="60">
        <v>3355.69565217391</v>
      </c>
      <c r="V302" s="59">
        <v>45315</v>
      </c>
    </row>
    <row r="303" spans="1:22" s="168" customFormat="1" ht="22.500000" customHeight="1">
      <c r="A303" s="34">
        <v>301</v>
      </c>
      <c r="B303" s="49">
        <v>68</v>
      </c>
      <c r="C303" s="49">
        <v>68</v>
      </c>
      <c r="D303" s="49">
        <v>0</v>
      </c>
      <c r="E303" s="49">
        <v>0</v>
      </c>
      <c r="F303" s="50">
        <f>(C303*100)/B303</f>
        <v>100</v>
      </c>
      <c r="G303" s="156">
        <f>(D303*100)/B303</f>
        <v>0</v>
      </c>
      <c r="H303" s="152">
        <f>((B303-B304)/B303)*100</f>
        <v>0</v>
      </c>
      <c r="I303" s="152">
        <f>((B303-C303)/B303)*100</f>
        <v>0</v>
      </c>
      <c r="J303" s="152">
        <f>((C303-B304)/C303)*100</f>
        <v>0</v>
      </c>
      <c r="K303" s="155"/>
      <c r="L303" s="54">
        <v>1</v>
      </c>
      <c r="M303" s="79" t="s">
        <v>28</v>
      </c>
      <c r="N303" s="54">
        <v>0</v>
      </c>
      <c r="O303" s="56">
        <f>N303/C303</f>
        <v>0</v>
      </c>
      <c r="P303" s="57">
        <f>(Boosters_And!B303*100)/Boosters_And!N303</f>
        <v>0</v>
      </c>
      <c r="Q303" s="57">
        <f>Boosters_And!B303/(C303+D303)</f>
        <v>0</v>
      </c>
      <c r="R303" s="57">
        <f>Boosters_And!N303/B303</f>
        <v>3.63235294117647</v>
      </c>
      <c r="S303" s="54">
        <v>11.0294117647058</v>
      </c>
      <c r="T303" s="58">
        <v>0.470588235294118</v>
      </c>
      <c r="U303" s="60">
        <v>3485.04411764706</v>
      </c>
      <c r="V303" s="59">
        <v>56660</v>
      </c>
    </row>
    <row r="304" spans="1:22" s="168" customFormat="1" ht="22.500000" customHeight="1">
      <c r="A304" s="34">
        <v>302</v>
      </c>
      <c r="B304" s="49">
        <v>68</v>
      </c>
      <c r="C304" s="49">
        <v>68</v>
      </c>
      <c r="D304" s="49">
        <v>46</v>
      </c>
      <c r="E304" s="49">
        <v>17</v>
      </c>
      <c r="F304" s="50">
        <f>(C304*100)/B304</f>
        <v>100</v>
      </c>
      <c r="G304" s="156">
        <f>(D304*100)/B304</f>
        <v>67.6470588235294</v>
      </c>
      <c r="H304" s="152">
        <f>((B304-B305)/B304)*100</f>
        <v>-5.88235294117647</v>
      </c>
      <c r="I304" s="152">
        <f>((B304-C304)/B304)*100</f>
        <v>0</v>
      </c>
      <c r="J304" s="152">
        <f>((C304-B305)/C304)*100</f>
        <v>-5.88235294117647</v>
      </c>
      <c r="K304" s="155"/>
      <c r="L304" s="54">
        <v>1.22058823529411</v>
      </c>
      <c r="M304" s="80" t="s">
        <v>28</v>
      </c>
      <c r="N304" s="54">
        <v>0</v>
      </c>
      <c r="O304" s="56">
        <f>N304/C304</f>
        <v>0</v>
      </c>
      <c r="P304" s="57">
        <f>(Boosters_And!B304*100)/Boosters_And!N304</f>
        <v>0.637340203455193</v>
      </c>
      <c r="Q304" s="57">
        <f>Boosters_And!B304/(C304+D304)</f>
        <v>0.0274596273926522</v>
      </c>
      <c r="R304" s="57">
        <f>Boosters_And!N304/B304</f>
        <v>7.22302742524512</v>
      </c>
      <c r="S304" s="54">
        <v>5.5735294117647</v>
      </c>
      <c r="T304" s="58">
        <v>0.691176470588235</v>
      </c>
      <c r="U304" s="60">
        <v>3436.36764705882</v>
      </c>
      <c r="V304" s="59">
        <v>51190</v>
      </c>
    </row>
    <row r="305" spans="1:22" s="168" customFormat="1" ht="22.500000" customHeight="1">
      <c r="A305" s="34">
        <v>303</v>
      </c>
      <c r="B305" s="49">
        <v>72</v>
      </c>
      <c r="C305" s="49">
        <v>70</v>
      </c>
      <c r="D305" s="49">
        <v>73</v>
      </c>
      <c r="E305" s="49">
        <v>28</v>
      </c>
      <c r="F305" s="50">
        <f>(C305*100)/B305</f>
        <v>97.2222222222222</v>
      </c>
      <c r="G305" s="156">
        <f>(D305*100)/B305</f>
        <v>101.388888888889</v>
      </c>
      <c r="H305" s="152">
        <f>((B305-B306)/B305)*100</f>
        <v>4.16666666666667</v>
      </c>
      <c r="I305" s="152">
        <f>((B305-C305)/B305)*100</f>
        <v>2.77777777777778</v>
      </c>
      <c r="J305" s="152">
        <f>((C305-B306)/C305)*100</f>
        <v>1.42857142857143</v>
      </c>
      <c r="K305" s="155"/>
      <c r="L305" s="54">
        <v>1.54285714285714</v>
      </c>
      <c r="M305" s="81" t="s">
        <v>29</v>
      </c>
      <c r="N305" s="54">
        <v>8.79</v>
      </c>
      <c r="O305" s="56">
        <f>N305/C305</f>
        <v>0.125571428571429</v>
      </c>
      <c r="P305" s="57">
        <f>(Boosters_And!B305*100)/Boosters_And!N305</f>
        <v>9.30029173761515</v>
      </c>
      <c r="Q305" s="57">
        <f>Boosters_And!B305/(C305+D305)</f>
        <v>0.542706947404065</v>
      </c>
      <c r="R305" s="57">
        <f>Boosters_And!N305/B305</f>
        <v>11.5897041590311</v>
      </c>
      <c r="S305" s="54">
        <v>13.8285714285714</v>
      </c>
      <c r="T305" s="58">
        <v>1.02857142857143</v>
      </c>
      <c r="U305" s="60">
        <v>3206.4</v>
      </c>
      <c r="V305" s="59">
        <v>35255</v>
      </c>
    </row>
    <row r="306" spans="1:22" s="168" customFormat="1" ht="22.500000" customHeight="1">
      <c r="A306" s="34">
        <v>304</v>
      </c>
      <c r="B306" s="49">
        <v>69</v>
      </c>
      <c r="C306" s="49">
        <v>66</v>
      </c>
      <c r="D306" s="49">
        <v>70</v>
      </c>
      <c r="E306" s="49">
        <v>29</v>
      </c>
      <c r="F306" s="50">
        <f>(C306*100)/B306</f>
        <v>95.6521739130435</v>
      </c>
      <c r="G306" s="156">
        <f>(D306*100)/B306</f>
        <v>101.449275362319</v>
      </c>
      <c r="H306" s="152">
        <f>((B306-B307)/B306)*100</f>
        <v>5.79710144927536</v>
      </c>
      <c r="I306" s="152">
        <f>((B306-C306)/B306)*100</f>
        <v>4.34782608695652</v>
      </c>
      <c r="J306" s="152">
        <f>((C306-B307)/C306)*100</f>
        <v>1.51515151515152</v>
      </c>
      <c r="K306" s="155"/>
      <c r="L306" s="54">
        <v>1.48484848484848</v>
      </c>
      <c r="M306" s="82" t="s">
        <v>29</v>
      </c>
      <c r="N306" s="54">
        <v>14.97</v>
      </c>
      <c r="O306" s="56">
        <f>N306/C306</f>
        <v>0.226818181818182</v>
      </c>
      <c r="P306" s="57">
        <f>(Boosters_And!B306*100)/Boosters_And!N306</f>
        <v>12.4800341793211</v>
      </c>
      <c r="Q306" s="57">
        <f>Boosters_And!B306/(C306+D306)</f>
        <v>0.844934328723565</v>
      </c>
      <c r="R306" s="57">
        <f>Boosters_And!N306/B306</f>
        <v>13.3443369097391</v>
      </c>
      <c r="S306" s="54">
        <v>10.590909090909</v>
      </c>
      <c r="T306" s="58">
        <v>0.954545454545455</v>
      </c>
      <c r="U306" s="60">
        <v>3331.71212121212</v>
      </c>
      <c r="V306" s="59">
        <v>32350</v>
      </c>
    </row>
    <row r="307" spans="1:22" s="168" customFormat="1" ht="22.500000" customHeight="1">
      <c r="A307" s="34">
        <v>305</v>
      </c>
      <c r="B307" s="49">
        <v>65</v>
      </c>
      <c r="C307" s="49">
        <v>63</v>
      </c>
      <c r="D307" s="49">
        <v>31</v>
      </c>
      <c r="E307" s="49">
        <v>8</v>
      </c>
      <c r="F307" s="50">
        <f>(C307*100)/B307</f>
        <v>96.9230769230769</v>
      </c>
      <c r="G307" s="156">
        <f>(D307*100)/B307</f>
        <v>47.6923076923077</v>
      </c>
      <c r="H307" s="152">
        <f>((B307-B308)/B307)*100</f>
        <v>-4.61538461538462</v>
      </c>
      <c r="I307" s="152">
        <f>((B307-C307)/B307)*100</f>
        <v>3.07692307692308</v>
      </c>
      <c r="J307" s="152">
        <f>((C307-B308)/C307)*100</f>
        <v>-7.93650793650794</v>
      </c>
      <c r="K307" s="155"/>
      <c r="L307" s="54">
        <v>1.03174603174603</v>
      </c>
      <c r="M307" s="81" t="s">
        <v>29</v>
      </c>
      <c r="N307" s="54">
        <v>0</v>
      </c>
      <c r="O307" s="56">
        <f>N307/C307</f>
        <v>0</v>
      </c>
      <c r="P307" s="57">
        <f>(Boosters_And!B307*100)/Boosters_And!N307</f>
        <v>11.6492310427535</v>
      </c>
      <c r="Q307" s="57">
        <f>Boosters_And!B307/(C307+D307)</f>
        <v>0.51294423284</v>
      </c>
      <c r="R307" s="57">
        <f>Boosters_And!N307/B307</f>
        <v>6.3677703057099</v>
      </c>
      <c r="S307" s="54">
        <v>13.3968253968253</v>
      </c>
      <c r="T307" s="58">
        <v>0.80952380952381</v>
      </c>
      <c r="U307" s="60">
        <v>3485.60317460317</v>
      </c>
      <c r="V307" s="59">
        <v>30145</v>
      </c>
    </row>
    <row r="308" spans="1:22" s="168" customFormat="1" ht="22.500000" customHeight="1">
      <c r="A308" s="34">
        <v>306</v>
      </c>
      <c r="B308" s="49">
        <v>68</v>
      </c>
      <c r="C308" s="49">
        <v>65</v>
      </c>
      <c r="D308" s="49">
        <v>68</v>
      </c>
      <c r="E308" s="49">
        <v>19</v>
      </c>
      <c r="F308" s="50">
        <f>(C308*100)/B308</f>
        <v>95.5882352941177</v>
      </c>
      <c r="G308" s="156">
        <f>(D308*100)/B308</f>
        <v>100</v>
      </c>
      <c r="H308" s="152">
        <f>((B308-B309)/B308)*100</f>
        <v>-1.47058823529412</v>
      </c>
      <c r="I308" s="152">
        <f>((B308-C308)/B308)*100</f>
        <v>4.41176470588235</v>
      </c>
      <c r="J308" s="152">
        <f>((C308-B309)/C308)*100</f>
        <v>-6.15384615384615</v>
      </c>
      <c r="K308" s="155"/>
      <c r="L308" s="54">
        <v>1.27692307692307</v>
      </c>
      <c r="M308" s="80" t="s">
        <v>28</v>
      </c>
      <c r="N308" s="54">
        <v>10.32</v>
      </c>
      <c r="O308" s="56">
        <f>N308/C308</f>
        <v>0.158769230769231</v>
      </c>
      <c r="P308" s="57">
        <f>(Boosters_And!B308*100)/Boosters_And!N308</f>
        <v>14.682319224912</v>
      </c>
      <c r="Q308" s="57">
        <f>Boosters_And!B308/(C308+D308)</f>
        <v>0.574032319047042</v>
      </c>
      <c r="R308" s="57">
        <f>Boosters_And!N308/B308</f>
        <v>7.6468823871982</v>
      </c>
      <c r="S308" s="54">
        <v>56.4</v>
      </c>
      <c r="T308" s="58">
        <v>1.04615384615385</v>
      </c>
      <c r="U308" s="60">
        <v>3227.66153846154</v>
      </c>
      <c r="V308" s="59">
        <v>27420</v>
      </c>
    </row>
    <row r="309" spans="1:22" s="168" customFormat="1" ht="22.500000" customHeight="1">
      <c r="A309" s="34">
        <v>307</v>
      </c>
      <c r="B309" s="49">
        <v>69</v>
      </c>
      <c r="C309" s="49">
        <v>62</v>
      </c>
      <c r="D309" s="49">
        <v>68</v>
      </c>
      <c r="E309" s="49">
        <v>33</v>
      </c>
      <c r="F309" s="50">
        <f>(C309*100)/B309</f>
        <v>89.8550724637681</v>
      </c>
      <c r="G309" s="156">
        <f>(D309*100)/B309</f>
        <v>98.5507246376812</v>
      </c>
      <c r="H309" s="152">
        <f>((B309-B310)/B309)*100</f>
        <v>10.1449275362319</v>
      </c>
      <c r="I309" s="152">
        <f>((B309-C309)/B309)*100</f>
        <v>10.1449275362319</v>
      </c>
      <c r="J309" s="152">
        <f>((C309-B310)/C309)*100</f>
        <v>0</v>
      </c>
      <c r="K309" s="155"/>
      <c r="L309" s="54">
        <v>1.43548387096774</v>
      </c>
      <c r="M309" s="81" t="s">
        <v>29</v>
      </c>
      <c r="N309" s="54">
        <v>20.88</v>
      </c>
      <c r="O309" s="56">
        <f>N309/C309</f>
        <v>0.336774193548387</v>
      </c>
      <c r="P309" s="57">
        <f>(Boosters_And!B309*100)/Boosters_And!N309</f>
        <v>13.0445706087391</v>
      </c>
      <c r="Q309" s="57">
        <f>Boosters_And!B309/(C309+D309)</f>
        <v>1.28592422922306</v>
      </c>
      <c r="R309" s="57">
        <f>Boosters_And!N309/B309</f>
        <v>18.5729056697756</v>
      </c>
      <c r="S309" s="54">
        <v>9.33870967741935</v>
      </c>
      <c r="T309" s="58">
        <v>1.11290322580645</v>
      </c>
      <c r="U309" s="60">
        <v>3397.70967741936</v>
      </c>
      <c r="V309" s="59">
        <v>25200</v>
      </c>
    </row>
    <row r="310" spans="1:22" s="168" customFormat="1" ht="22.500000" customHeight="1">
      <c r="A310" s="34">
        <v>308</v>
      </c>
      <c r="B310" s="49">
        <v>62</v>
      </c>
      <c r="C310" s="49">
        <v>62</v>
      </c>
      <c r="D310" s="49">
        <v>14</v>
      </c>
      <c r="E310" s="49">
        <v>2</v>
      </c>
      <c r="F310" s="50">
        <f>(C310*100)/B310</f>
        <v>100</v>
      </c>
      <c r="G310" s="156">
        <f>(D310*100)/B310</f>
        <v>22.5806451612903</v>
      </c>
      <c r="H310" s="152">
        <f>((B310-B311)/B310)*100</f>
        <v>0</v>
      </c>
      <c r="I310" s="152">
        <f>((B310-C310)/B310)*100</f>
        <v>0</v>
      </c>
      <c r="J310" s="152">
        <f>((C310-B311)/C310)*100</f>
        <v>0</v>
      </c>
      <c r="K310" s="155"/>
      <c r="L310" s="54">
        <v>1.01612903225806</v>
      </c>
      <c r="M310" s="80" t="s">
        <v>28</v>
      </c>
      <c r="N310" s="54">
        <v>0</v>
      </c>
      <c r="O310" s="56">
        <f>N310/C310</f>
        <v>0</v>
      </c>
      <c r="P310" s="57">
        <f>(Boosters_And!B310*100)/Boosters_And!N310</f>
        <v>4.55058273292647</v>
      </c>
      <c r="Q310" s="57">
        <f>Boosters_And!B310/(C310+D310)</f>
        <v>0.161326250599009</v>
      </c>
      <c r="R310" s="57">
        <f>Boosters_And!N310/B310</f>
        <v>4.34570186732129</v>
      </c>
      <c r="S310" s="54">
        <v>12.0806451612903</v>
      </c>
      <c r="T310" s="58">
        <v>0.596774193548387</v>
      </c>
      <c r="U310" s="60">
        <v>3410.12903225806</v>
      </c>
      <c r="V310" s="59">
        <v>30740</v>
      </c>
    </row>
    <row r="311" spans="1:22" s="168" customFormat="1" ht="22.500000" customHeight="1">
      <c r="A311" s="34">
        <v>309</v>
      </c>
      <c r="B311" s="49">
        <v>62</v>
      </c>
      <c r="C311" s="49">
        <v>62</v>
      </c>
      <c r="D311" s="49">
        <v>47</v>
      </c>
      <c r="E311" s="49">
        <v>11</v>
      </c>
      <c r="F311" s="50">
        <f>(C311*100)/B311</f>
        <v>100</v>
      </c>
      <c r="G311" s="156">
        <f>(D311*100)/B311</f>
        <v>75.8064516129032</v>
      </c>
      <c r="H311" s="152">
        <f>((B311-B312)/B311)*100</f>
        <v>0</v>
      </c>
      <c r="I311" s="152">
        <f>((B311-C311)/B311)*100</f>
        <v>0</v>
      </c>
      <c r="J311" s="152">
        <f>((C311-B312)/C311)*100</f>
        <v>0</v>
      </c>
      <c r="K311" s="155"/>
      <c r="L311" s="54">
        <v>1.27419354838709</v>
      </c>
      <c r="M311" s="81" t="s">
        <v>29</v>
      </c>
      <c r="N311" s="54">
        <v>4.79</v>
      </c>
      <c r="O311" s="56">
        <f>N311/C311</f>
        <v>0.077258064516129</v>
      </c>
      <c r="P311" s="57">
        <f>(Boosters_And!B311*100)/Boosters_And!N311</f>
        <v>14.6462956227962</v>
      </c>
      <c r="Q311" s="57">
        <f>Boosters_And!B311/(C311+D311)</f>
        <v>0.601907802341716</v>
      </c>
      <c r="R311" s="57">
        <f>Boosters_And!N311/B311</f>
        <v>7.22498559725336</v>
      </c>
      <c r="S311" s="54">
        <v>9.82258064516129</v>
      </c>
      <c r="T311" s="58">
        <v>0.887096774193548</v>
      </c>
      <c r="U311" s="60">
        <v>3409.24193548387</v>
      </c>
      <c r="V311" s="59">
        <v>28590</v>
      </c>
    </row>
    <row r="312" spans="1:22" s="168" customFormat="1" ht="22.500000" customHeight="1">
      <c r="A312" s="34">
        <v>310</v>
      </c>
      <c r="B312" s="49">
        <v>62</v>
      </c>
      <c r="C312" s="49">
        <v>61</v>
      </c>
      <c r="D312" s="49">
        <v>51</v>
      </c>
      <c r="E312" s="49">
        <v>13</v>
      </c>
      <c r="F312" s="50">
        <f>(C312*100)/B312</f>
        <v>98.3870967741936</v>
      </c>
      <c r="G312" s="156">
        <f>(D312*100)/B312</f>
        <v>82.258064516129</v>
      </c>
      <c r="H312" s="152">
        <f>((B312-B313)/B312)*100</f>
        <v>0</v>
      </c>
      <c r="I312" s="152">
        <f>((B312-C312)/B312)*100</f>
        <v>1.61290322580645</v>
      </c>
      <c r="J312" s="152">
        <f>((C312-B313)/C312)*100</f>
        <v>-1.63934426229508</v>
      </c>
      <c r="K312" s="155"/>
      <c r="L312" s="54">
        <v>1.22950819672131</v>
      </c>
      <c r="M312" s="80" t="s">
        <v>28</v>
      </c>
      <c r="N312" s="54">
        <v>0</v>
      </c>
      <c r="O312" s="56">
        <f>N312/C312</f>
        <v>0</v>
      </c>
      <c r="P312" s="57">
        <f>(Boosters_And!B312*100)/Boosters_And!N312</f>
        <v>4.91374968887533</v>
      </c>
      <c r="Q312" s="57">
        <f>Boosters_And!B312/(C312+D312)</f>
        <v>0.207685670049328</v>
      </c>
      <c r="R312" s="57">
        <f>Boosters_And!N312/B312</f>
        <v>7.63518977140584</v>
      </c>
      <c r="S312" s="54">
        <v>9.19672131147541</v>
      </c>
      <c r="T312" s="58">
        <v>0.901639344262295</v>
      </c>
      <c r="U312" s="60">
        <v>3397.18032786885</v>
      </c>
      <c r="V312" s="59">
        <v>26550</v>
      </c>
    </row>
    <row r="313" spans="1:22" s="168" customFormat="1" ht="22.500000" customHeight="1">
      <c r="A313" s="34">
        <v>311</v>
      </c>
      <c r="B313" s="49">
        <v>62</v>
      </c>
      <c r="C313" s="49">
        <v>60</v>
      </c>
      <c r="D313" s="49">
        <v>66</v>
      </c>
      <c r="E313" s="49">
        <v>32</v>
      </c>
      <c r="F313" s="50">
        <f>(C313*100)/B313</f>
        <v>96.7741935483871</v>
      </c>
      <c r="G313" s="156">
        <f>(D313*100)/B313</f>
        <v>106.451612903226</v>
      </c>
      <c r="H313" s="152">
        <f>((B313-B314)/B313)*100</f>
        <v>4.83870967741936</v>
      </c>
      <c r="I313" s="152">
        <f>((B313-C313)/B313)*100</f>
        <v>3.2258064516129</v>
      </c>
      <c r="J313" s="152">
        <f>((C313-B314)/C313)*100</f>
        <v>1.66666666666667</v>
      </c>
      <c r="K313" s="155"/>
      <c r="L313" s="54">
        <v>1.90163934426229</v>
      </c>
      <c r="M313" s="79" t="s">
        <v>28</v>
      </c>
      <c r="N313" s="54">
        <v>2.49</v>
      </c>
      <c r="O313" s="56">
        <f>N313/C313</f>
        <v>0.0415</v>
      </c>
      <c r="P313" s="57">
        <f>(Boosters_And!B313*100)/Boosters_And!N313</f>
        <v>3.44558134222073</v>
      </c>
      <c r="Q313" s="57">
        <f>Boosters_And!B313/(C313+D313)</f>
        <v>0.192545992424799</v>
      </c>
      <c r="R313" s="57">
        <f>Boosters_And!N313/B313</f>
        <v>11.3566654515072</v>
      </c>
      <c r="S313" s="54">
        <v>10.0163934426229</v>
      </c>
      <c r="T313" s="58">
        <v>0.966666666666667</v>
      </c>
      <c r="U313" s="60">
        <v>3387.96666666667</v>
      </c>
      <c r="V313" s="59">
        <v>22700</v>
      </c>
    </row>
    <row r="314" spans="1:22" s="168" customFormat="1" ht="22.500000" customHeight="1">
      <c r="A314" s="34">
        <v>312</v>
      </c>
      <c r="B314" s="49">
        <v>59</v>
      </c>
      <c r="C314" s="49">
        <v>59</v>
      </c>
      <c r="D314" s="49">
        <v>33</v>
      </c>
      <c r="E314" s="49">
        <v>10</v>
      </c>
      <c r="F314" s="50">
        <f>(C314*100)/B314</f>
        <v>100</v>
      </c>
      <c r="G314" s="156">
        <f>(D314*100)/B314</f>
        <v>55.9322033898305</v>
      </c>
      <c r="H314" s="152">
        <f>((B314-B315)/B314)*100</f>
        <v>-3.38983050847458</v>
      </c>
      <c r="I314" s="152">
        <f>((B314-C314)/B314)*100</f>
        <v>0</v>
      </c>
      <c r="J314" s="152">
        <f>((C314-B315)/C314)*100</f>
        <v>-3.38983050847458</v>
      </c>
      <c r="K314" s="155"/>
      <c r="L314" s="54">
        <v>1.06666666666666</v>
      </c>
      <c r="M314" s="80" t="s">
        <v>28</v>
      </c>
      <c r="N314" s="54">
        <v>0</v>
      </c>
      <c r="O314" s="56">
        <f>N314/C314</f>
        <v>0</v>
      </c>
      <c r="P314" s="57">
        <f>(Boosters_And!B314*100)/Boosters_And!N314</f>
        <v>8.26897432877112</v>
      </c>
      <c r="Q314" s="57">
        <f>Boosters_And!B314/(C314+D314)</f>
        <v>0.388938968875806</v>
      </c>
      <c r="R314" s="57">
        <f>Boosters_And!N314/B314</f>
        <v>7.33441754559011</v>
      </c>
      <c r="S314" s="54">
        <v>12.15</v>
      </c>
      <c r="T314" s="58">
        <v>0.745762711864407</v>
      </c>
      <c r="U314" s="60">
        <v>3446.74576271186</v>
      </c>
      <c r="V314" s="59">
        <v>26625</v>
      </c>
    </row>
    <row r="315" spans="1:22" s="168" customFormat="1" ht="22.500000" customHeight="1">
      <c r="A315" s="34">
        <v>313</v>
      </c>
      <c r="B315" s="49">
        <v>61</v>
      </c>
      <c r="C315" s="49">
        <v>59</v>
      </c>
      <c r="D315" s="49">
        <v>60</v>
      </c>
      <c r="E315" s="49">
        <v>18</v>
      </c>
      <c r="F315" s="50">
        <f>(C315*100)/B315</f>
        <v>96.7213114754098</v>
      </c>
      <c r="G315" s="156">
        <f>(D315*100)/B315</f>
        <v>98.3606557377049</v>
      </c>
      <c r="H315" s="152">
        <f>((B315-B316)/B315)*100</f>
        <v>1.63934426229508</v>
      </c>
      <c r="I315" s="152">
        <f>((B315-C315)/B315)*100</f>
        <v>3.27868852459016</v>
      </c>
      <c r="J315" s="152">
        <f>((C315-B316)/C315)*100</f>
        <v>-1.69491525423729</v>
      </c>
      <c r="K315" s="155"/>
      <c r="L315" s="54">
        <v>1.5593220338983</v>
      </c>
      <c r="M315" s="81" t="s">
        <v>29</v>
      </c>
      <c r="N315" s="54">
        <v>1.99</v>
      </c>
      <c r="O315" s="56">
        <f>N315/C315</f>
        <v>0.033728813559322</v>
      </c>
      <c r="P315" s="57">
        <f>(Boosters_And!B315*100)/Boosters_And!N315</f>
        <v>5.98283435218567</v>
      </c>
      <c r="Q315" s="57">
        <f>Boosters_And!B315/(C315+D315)</f>
        <v>0.302150948247355</v>
      </c>
      <c r="R315" s="57">
        <f>Boosters_And!N315/B315</f>
        <v>9.85222018688656</v>
      </c>
      <c r="S315" s="54">
        <v>8.5593220338983</v>
      </c>
      <c r="T315" s="58">
        <v>0.966101694915254</v>
      </c>
      <c r="U315" s="60">
        <v>3286.66101694915</v>
      </c>
      <c r="V315" s="59">
        <v>18550</v>
      </c>
    </row>
    <row r="316" spans="1:22" s="168" customFormat="1" ht="22.500000" customHeight="1">
      <c r="A316" s="34">
        <v>314</v>
      </c>
      <c r="B316" s="49">
        <v>60</v>
      </c>
      <c r="C316" s="49">
        <v>60</v>
      </c>
      <c r="D316" s="49">
        <v>60</v>
      </c>
      <c r="E316" s="49">
        <v>23</v>
      </c>
      <c r="F316" s="50">
        <f>(C316*100)/B316</f>
        <v>100</v>
      </c>
      <c r="G316" s="156">
        <f>(D316*100)/B316</f>
        <v>100</v>
      </c>
      <c r="H316" s="152">
        <f>((B316-B317)/B316)*100</f>
        <v>0</v>
      </c>
      <c r="I316" s="152">
        <f>((B316-C316)/B316)*100</f>
        <v>0</v>
      </c>
      <c r="J316" s="152">
        <f>((C316-B317)/C316)*100</f>
        <v>0</v>
      </c>
      <c r="K316" s="155"/>
      <c r="L316" s="54">
        <v>1.3</v>
      </c>
      <c r="M316" s="82" t="s">
        <v>29</v>
      </c>
      <c r="N316" s="54">
        <v>2.49</v>
      </c>
      <c r="O316" s="56">
        <f>N316/C316</f>
        <v>0.0415</v>
      </c>
      <c r="P316" s="57">
        <f>(Boosters_And!B316*100)/Boosters_And!N316</f>
        <v>4.45572457571359</v>
      </c>
      <c r="Q316" s="57">
        <f>Boosters_And!B316/(C316+D316)</f>
        <v>0.165939855494471</v>
      </c>
      <c r="R316" s="57">
        <f>Boosters_And!N316/B316</f>
        <v>7.44838926530352</v>
      </c>
      <c r="S316" s="54">
        <v>8.18333333333333</v>
      </c>
      <c r="T316" s="58">
        <v>0.966666666666667</v>
      </c>
      <c r="U316" s="60">
        <v>3188.3</v>
      </c>
      <c r="V316" s="59">
        <v>16665</v>
      </c>
    </row>
    <row r="317" spans="1:22" s="168" customFormat="1" ht="22.500000" customHeight="1">
      <c r="A317" s="34">
        <v>315</v>
      </c>
      <c r="B317" s="49">
        <v>60</v>
      </c>
      <c r="C317" s="49">
        <v>59</v>
      </c>
      <c r="D317" s="49">
        <v>54</v>
      </c>
      <c r="E317" s="49">
        <v>16</v>
      </c>
      <c r="F317" s="50">
        <f>(C317*100)/B317</f>
        <v>98.3333333333333</v>
      </c>
      <c r="G317" s="156">
        <f>(D317*100)/B317</f>
        <v>90</v>
      </c>
      <c r="H317" s="152">
        <f>((B317-B318)/B317)*100</f>
        <v>-1.66666666666667</v>
      </c>
      <c r="I317" s="152">
        <f>((B317-C317)/B317)*100</f>
        <v>1.66666666666667</v>
      </c>
      <c r="J317" s="152">
        <f>((C317-B318)/C317)*100</f>
        <v>-3.38983050847458</v>
      </c>
      <c r="K317" s="155"/>
      <c r="L317" s="54">
        <v>1.06779661016949</v>
      </c>
      <c r="M317" s="83" t="s">
        <v>30</v>
      </c>
      <c r="N317" s="54">
        <v>1.99</v>
      </c>
      <c r="O317" s="56">
        <f>N317/C317</f>
        <v>0.033728813559322</v>
      </c>
      <c r="P317" s="57">
        <f>(Boosters_And!B317*100)/Boosters_And!N317</f>
        <v>24.8783451183727</v>
      </c>
      <c r="Q317" s="57">
        <f>Boosters_And!B317/(C317+D317)</f>
        <v>0.884940584487331</v>
      </c>
      <c r="R317" s="57">
        <f>Boosters_And!N317/B317</f>
        <v>6.69915178382848</v>
      </c>
      <c r="S317" s="54">
        <v>13.9661016949152</v>
      </c>
      <c r="T317" s="58">
        <v>1</v>
      </c>
      <c r="U317" s="60">
        <v>3025.64406779661</v>
      </c>
      <c r="V317" s="59">
        <v>19680</v>
      </c>
    </row>
    <row r="318" spans="1:22" s="168" customFormat="1" ht="22.500000" customHeight="1">
      <c r="A318" s="34">
        <v>316</v>
      </c>
      <c r="B318" s="49">
        <v>61</v>
      </c>
      <c r="C318" s="49">
        <v>56</v>
      </c>
      <c r="D318" s="49">
        <v>50</v>
      </c>
      <c r="E318" s="49">
        <v>21</v>
      </c>
      <c r="F318" s="50">
        <f>(C318*100)/B318</f>
        <v>91.8032786885246</v>
      </c>
      <c r="G318" s="156">
        <f>(D318*100)/B318</f>
        <v>81.9672131147541</v>
      </c>
      <c r="H318" s="152">
        <f>((B318-B319)/B318)*100</f>
        <v>3.27868852459016</v>
      </c>
      <c r="I318" s="152">
        <f>((B318-C318)/B318)*100</f>
        <v>8.19672131147541</v>
      </c>
      <c r="J318" s="152">
        <f>((C318-B319)/C318)*100</f>
        <v>-5.35714285714286</v>
      </c>
      <c r="K318" s="155"/>
      <c r="L318" s="54">
        <v>1.14285714285714</v>
      </c>
      <c r="M318" s="80" t="s">
        <v>28</v>
      </c>
      <c r="N318" s="54">
        <v>6.47</v>
      </c>
      <c r="O318" s="56">
        <f>N318/C318</f>
        <v>0.115535714285714</v>
      </c>
      <c r="P318" s="57">
        <f>(Boosters_And!B318*100)/Boosters_And!N318</f>
        <v>13.3187914830164</v>
      </c>
      <c r="Q318" s="57">
        <f>Boosters_And!B318/(C318+D318)</f>
        <v>1.17101723201288</v>
      </c>
      <c r="R318" s="57">
        <f>Boosters_And!N318/B318</f>
        <v>15.278281109549</v>
      </c>
      <c r="S318" s="54">
        <v>6.53571428571428</v>
      </c>
      <c r="T318" s="58">
        <v>1.05357142857143</v>
      </c>
      <c r="U318" s="60">
        <v>3105.85714285714</v>
      </c>
      <c r="V318" s="59">
        <v>18950</v>
      </c>
    </row>
    <row r="319" spans="1:22" s="168" customFormat="1" ht="22.500000" customHeight="1">
      <c r="A319" s="34">
        <v>317</v>
      </c>
      <c r="B319" s="49">
        <v>59</v>
      </c>
      <c r="C319" s="49">
        <v>58</v>
      </c>
      <c r="D319" s="49">
        <v>17</v>
      </c>
      <c r="E319" s="49">
        <v>1</v>
      </c>
      <c r="F319" s="50">
        <f>(C319*100)/B319</f>
        <v>98.3050847457627</v>
      </c>
      <c r="G319" s="156">
        <f>(D319*100)/B319</f>
        <v>28.8135593220339</v>
      </c>
      <c r="H319" s="152">
        <f>((B319-B320)/B319)*100</f>
        <v>-1.69491525423729</v>
      </c>
      <c r="I319" s="152">
        <f>((B319-C319)/B319)*100</f>
        <v>1.69491525423729</v>
      </c>
      <c r="J319" s="152">
        <f>((C319-B320)/C319)*100</f>
        <v>-3.44827586206897</v>
      </c>
      <c r="K319" s="155"/>
      <c r="L319" s="54">
        <v>1</v>
      </c>
      <c r="M319" s="79" t="s">
        <v>28</v>
      </c>
      <c r="N319" s="54">
        <v>0</v>
      </c>
      <c r="O319" s="56">
        <f>N319/C319</f>
        <v>0</v>
      </c>
      <c r="P319" s="57">
        <f>(Boosters_And!B319*100)/Boosters_And!N319</f>
        <v>14.232711292974</v>
      </c>
      <c r="Q319" s="57">
        <f>Boosters_And!B319/(C319+D319)</f>
        <v>0.66607950455247</v>
      </c>
      <c r="R319" s="57">
        <f>Boosters_And!N319/B319</f>
        <v>5.94905086719897</v>
      </c>
      <c r="S319" s="54">
        <v>22.7068965517241</v>
      </c>
      <c r="T319" s="58">
        <v>0.603448275862069</v>
      </c>
      <c r="U319" s="60">
        <v>3033.24137931035</v>
      </c>
      <c r="V319" s="59">
        <v>25605</v>
      </c>
    </row>
    <row r="320" spans="1:22" s="168" customFormat="1" ht="22.500000" customHeight="1">
      <c r="A320" s="34">
        <v>318</v>
      </c>
      <c r="B320" s="49">
        <v>60</v>
      </c>
      <c r="C320" s="49">
        <v>58</v>
      </c>
      <c r="D320" s="49">
        <v>60</v>
      </c>
      <c r="E320" s="49">
        <v>27</v>
      </c>
      <c r="F320" s="50">
        <f>(C320*100)/B320</f>
        <v>96.6666666666667</v>
      </c>
      <c r="G320" s="156">
        <f>(D320*100)/B320</f>
        <v>100</v>
      </c>
      <c r="H320" s="152">
        <f>((B320-B321)/B320)*100</f>
        <v>3.33333333333333</v>
      </c>
      <c r="I320" s="152">
        <f>((B320-C320)/B320)*100</f>
        <v>3.33333333333333</v>
      </c>
      <c r="J320" s="152">
        <f>((C320-B321)/C320)*100</f>
        <v>0</v>
      </c>
      <c r="K320" s="155"/>
      <c r="L320" s="54">
        <v>1.46551724137931</v>
      </c>
      <c r="M320" s="82" t="s">
        <v>29</v>
      </c>
      <c r="N320" s="54">
        <v>8.98</v>
      </c>
      <c r="O320" s="56">
        <f>N320/C320</f>
        <v>0.154827586206897</v>
      </c>
      <c r="P320" s="57">
        <f>(Boosters_And!B320*100)/Boosters_And!N320</f>
        <v>13.0566160855262</v>
      </c>
      <c r="Q320" s="57">
        <f>Boosters_And!B320/(C320+D320)</f>
        <v>0.945449629832345</v>
      </c>
      <c r="R320" s="57">
        <f>Boosters_And!N320/B320</f>
        <v>14.2409354753473</v>
      </c>
      <c r="S320" s="54">
        <v>10.0172413793103</v>
      </c>
      <c r="T320" s="58">
        <v>1.01724137931035</v>
      </c>
      <c r="U320" s="60">
        <v>3737.98275862069</v>
      </c>
      <c r="V320" s="59">
        <v>20295</v>
      </c>
    </row>
    <row r="321" spans="1:22" s="168" customFormat="1" ht="22.500000" customHeight="1">
      <c r="A321" s="34">
        <v>319</v>
      </c>
      <c r="B321" s="49">
        <v>58</v>
      </c>
      <c r="C321" s="49">
        <v>58</v>
      </c>
      <c r="D321" s="49">
        <v>36</v>
      </c>
      <c r="E321" s="49">
        <v>6</v>
      </c>
      <c r="F321" s="50">
        <f>(C321*100)/B321</f>
        <v>100</v>
      </c>
      <c r="G321" s="156">
        <f>(D321*100)/B321</f>
        <v>62.0689655172414</v>
      </c>
      <c r="H321" s="152">
        <f>((B321-B322)/B321)*100</f>
        <v>0</v>
      </c>
      <c r="I321" s="152">
        <f>((B321-C321)/B321)*100</f>
        <v>0</v>
      </c>
      <c r="J321" s="152">
        <f>((C321-B322)/C321)*100</f>
        <v>0</v>
      </c>
      <c r="K321" s="155"/>
      <c r="L321" s="54">
        <v>1.08620689655172</v>
      </c>
      <c r="M321" s="79" t="s">
        <v>28</v>
      </c>
      <c r="N321" s="54">
        <v>6.49</v>
      </c>
      <c r="O321" s="56">
        <f>N321/C321</f>
        <v>0.111896551724138</v>
      </c>
      <c r="P321" s="57">
        <f>(Boosters_And!B321*100)/Boosters_And!N321</f>
        <v>13.0059826690136</v>
      </c>
      <c r="Q321" s="57">
        <f>Boosters_And!B321/(C321+D321)</f>
        <v>0.459293379838949</v>
      </c>
      <c r="R321" s="57">
        <f>Boosters_And!N321/B321</f>
        <v>5.72330479239838</v>
      </c>
      <c r="S321" s="54">
        <v>16.9482758620689</v>
      </c>
      <c r="T321" s="58">
        <v>0.862068965517241</v>
      </c>
      <c r="U321" s="60">
        <v>3884.96551724138</v>
      </c>
      <c r="V321" s="59">
        <v>28125</v>
      </c>
    </row>
    <row r="322" spans="1:22" s="168" customFormat="1" ht="22.500000" customHeight="1">
      <c r="A322" s="34">
        <v>320</v>
      </c>
      <c r="B322" s="49">
        <v>58</v>
      </c>
      <c r="C322" s="49">
        <v>58</v>
      </c>
      <c r="D322" s="49">
        <v>27</v>
      </c>
      <c r="E322" s="49">
        <v>4</v>
      </c>
      <c r="F322" s="50">
        <f>(C322*100)/B322</f>
        <v>100</v>
      </c>
      <c r="G322" s="156">
        <f>(D322*100)/B322</f>
        <v>46.551724137931</v>
      </c>
      <c r="H322" s="152">
        <f>((B322-B323)/B322)*100</f>
        <v>1.72413793103448</v>
      </c>
      <c r="I322" s="152">
        <f>((B322-C322)/B322)*100</f>
        <v>0</v>
      </c>
      <c r="J322" s="152">
        <f>((C322-B323)/C322)*100</f>
        <v>1.72413793103448</v>
      </c>
      <c r="K322" s="155"/>
      <c r="L322" s="54">
        <v>1.12068965517241</v>
      </c>
      <c r="M322" s="80" t="s">
        <v>28</v>
      </c>
      <c r="N322" s="54">
        <v>0</v>
      </c>
      <c r="O322" s="56">
        <f>N322/C322</f>
        <v>0</v>
      </c>
      <c r="P322" s="57">
        <f>(Boosters_And!B322*100)/Boosters_And!N322</f>
        <v>13.7322910050922</v>
      </c>
      <c r="Q322" s="57">
        <f>Boosters_And!B322/(C322+D322)</f>
        <v>0.493091560698076</v>
      </c>
      <c r="R322" s="57">
        <f>Boosters_And!N322/B322</f>
        <v>5.26229879277753</v>
      </c>
      <c r="S322" s="54">
        <v>17.551724137931</v>
      </c>
      <c r="T322" s="58">
        <v>0.758620689655172</v>
      </c>
      <c r="U322" s="60">
        <v>3916.77586206897</v>
      </c>
      <c r="V322" s="59">
        <v>30645</v>
      </c>
    </row>
    <row r="323" spans="1:22" s="168" customFormat="1" ht="22.500000" customHeight="1">
      <c r="A323" s="34">
        <v>321</v>
      </c>
      <c r="B323" s="49">
        <v>57</v>
      </c>
      <c r="C323" s="49">
        <v>52</v>
      </c>
      <c r="D323" s="49">
        <v>53</v>
      </c>
      <c r="E323" s="49">
        <v>16</v>
      </c>
      <c r="F323" s="50">
        <f>(C323*100)/B323</f>
        <v>91.2280701754386</v>
      </c>
      <c r="G323" s="156">
        <f>(D323*100)/B323</f>
        <v>92.9824561403509</v>
      </c>
      <c r="H323" s="152">
        <f>((B323-B324)/B323)*100</f>
        <v>7.01754385964912</v>
      </c>
      <c r="I323" s="152">
        <f>((B323-C323)/B323)*100</f>
        <v>8.7719298245614</v>
      </c>
      <c r="J323" s="152">
        <f>((C323-B324)/C323)*100</f>
        <v>-1.92307692307692</v>
      </c>
      <c r="K323" s="155"/>
      <c r="L323" s="54">
        <v>1.13461538461538</v>
      </c>
      <c r="M323" s="81" t="s">
        <v>29</v>
      </c>
      <c r="N323" s="54">
        <v>4.99</v>
      </c>
      <c r="O323" s="56">
        <f>N323/C323</f>
        <v>0.0959615384615385</v>
      </c>
      <c r="P323" s="57">
        <f>(Boosters_And!B323*100)/Boosters_And!N323</f>
        <v>11.4075732906191</v>
      </c>
      <c r="Q323" s="57">
        <f>Boosters_And!B323/(C323+D323)</f>
        <v>0.640982078582455</v>
      </c>
      <c r="R323" s="57">
        <f>Boosters_And!N323/B323</f>
        <v>10.350636638185</v>
      </c>
      <c r="S323" s="54">
        <v>9.03846153846153</v>
      </c>
      <c r="T323" s="58">
        <v>1.03846153846154</v>
      </c>
      <c r="U323" s="60">
        <v>4247.65384615385</v>
      </c>
      <c r="V323" s="59">
        <v>20550</v>
      </c>
    </row>
    <row r="324" spans="1:22" s="168" customFormat="1" ht="22.500000" customHeight="1">
      <c r="A324" s="34">
        <v>322</v>
      </c>
      <c r="B324" s="49">
        <v>53</v>
      </c>
      <c r="C324" s="49">
        <v>52</v>
      </c>
      <c r="D324" s="49">
        <v>51</v>
      </c>
      <c r="E324" s="49">
        <v>6</v>
      </c>
      <c r="F324" s="50">
        <f>(C324*100)/B324</f>
        <v>98.1132075471698</v>
      </c>
      <c r="G324" s="156">
        <f>(D324*100)/B324</f>
        <v>96.2264150943396</v>
      </c>
      <c r="H324" s="152">
        <f>((B324-B325)/B324)*100</f>
        <v>-1.88679245283019</v>
      </c>
      <c r="I324" s="152">
        <f>((B324-C324)/B324)*100</f>
        <v>1.88679245283019</v>
      </c>
      <c r="J324" s="152">
        <f>((C324-B325)/C324)*100</f>
        <v>-3.84615384615385</v>
      </c>
      <c r="K324" s="155"/>
      <c r="L324" s="54">
        <v>1.11538461538461</v>
      </c>
      <c r="M324" s="84" t="s">
        <v>30</v>
      </c>
      <c r="N324" s="54">
        <v>6.29</v>
      </c>
      <c r="O324" s="56">
        <f>N324/C324</f>
        <v>0.120961538461538</v>
      </c>
      <c r="P324" s="57">
        <f>(Boosters_And!B324*100)/Boosters_And!N324</f>
        <v>20.6985099689154</v>
      </c>
      <c r="Q324" s="57">
        <f>Boosters_And!B324/(C324+D324)</f>
        <v>0.890655252442172</v>
      </c>
      <c r="R324" s="57">
        <f>Boosters_And!N324/B324</f>
        <v>8.36241864381701</v>
      </c>
      <c r="S324" s="54">
        <v>8.71153846153846</v>
      </c>
      <c r="T324" s="58">
        <v>1</v>
      </c>
      <c r="U324" s="60">
        <v>4150.53846153846</v>
      </c>
      <c r="V324" s="59">
        <v>17530</v>
      </c>
    </row>
    <row r="325" spans="1:22" s="168" customFormat="1" ht="22.500000" customHeight="1">
      <c r="A325" s="34">
        <v>323</v>
      </c>
      <c r="B325" s="49">
        <v>54</v>
      </c>
      <c r="C325" s="49">
        <v>54</v>
      </c>
      <c r="D325" s="49">
        <v>26</v>
      </c>
      <c r="E325" s="49">
        <v>4</v>
      </c>
      <c r="F325" s="50">
        <f>(C325*100)/B325</f>
        <v>100</v>
      </c>
      <c r="G325" s="156">
        <f>(D325*100)/B325</f>
        <v>48.1481481481481</v>
      </c>
      <c r="H325" s="152">
        <f>((B325-B326)/B325)*100</f>
        <v>0</v>
      </c>
      <c r="I325" s="152">
        <f>((B325-C325)/B325)*100</f>
        <v>0</v>
      </c>
      <c r="J325" s="152">
        <f>((C325-B326)/C325)*100</f>
        <v>0</v>
      </c>
      <c r="K325" s="155"/>
      <c r="L325" s="54">
        <v>1.03703703703703</v>
      </c>
      <c r="M325" s="79" t="s">
        <v>28</v>
      </c>
      <c r="N325" s="54">
        <v>0</v>
      </c>
      <c r="O325" s="56">
        <f>N325/C325</f>
        <v>0</v>
      </c>
      <c r="P325" s="57">
        <f>(Boosters_And!B325*100)/Boosters_And!N325</f>
        <v>7.84032185697713</v>
      </c>
      <c r="Q325" s="57">
        <f>Boosters_And!B325/(C325+D325)</f>
        <v>0.3125</v>
      </c>
      <c r="R325" s="57">
        <f>Boosters_And!N325/B325</f>
        <v>5.90489741886005</v>
      </c>
      <c r="S325" s="54">
        <v>8.44444444444444</v>
      </c>
      <c r="T325" s="58">
        <v>0.814814814814815</v>
      </c>
      <c r="U325" s="60">
        <v>4008.48148148148</v>
      </c>
      <c r="V325" s="59">
        <v>22790</v>
      </c>
    </row>
    <row r="326" spans="1:22" s="168" customFormat="1" ht="22.500000" customHeight="1">
      <c r="A326" s="34">
        <v>324</v>
      </c>
      <c r="B326" s="49">
        <v>54</v>
      </c>
      <c r="C326" s="49">
        <v>52</v>
      </c>
      <c r="D326" s="49">
        <v>44</v>
      </c>
      <c r="E326" s="49">
        <v>6</v>
      </c>
      <c r="F326" s="50">
        <f>(C326*100)/B326</f>
        <v>96.2962962962963</v>
      </c>
      <c r="G326" s="156">
        <f>(D326*100)/B326</f>
        <v>81.4814814814815</v>
      </c>
      <c r="H326" s="152">
        <f>((B326-B327)/B326)*100</f>
        <v>1.85185185185185</v>
      </c>
      <c r="I326" s="152">
        <f>((B326-C326)/B326)*100</f>
        <v>3.7037037037037</v>
      </c>
      <c r="J326" s="152">
        <f>((C326-B327)/C326)*100</f>
        <v>-1.92307692307692</v>
      </c>
      <c r="K326" s="155"/>
      <c r="L326" s="54">
        <v>1.0576923076923</v>
      </c>
      <c r="M326" s="80" t="s">
        <v>28</v>
      </c>
      <c r="N326" s="54">
        <v>0</v>
      </c>
      <c r="O326" s="56">
        <f>N326/C326</f>
        <v>0</v>
      </c>
      <c r="P326" s="57">
        <f>(Boosters_And!B326*100)/Boosters_And!N326</f>
        <v>6.73364290750257</v>
      </c>
      <c r="Q326" s="57">
        <f>Boosters_And!B326/(C326+D326)</f>
        <v>0.23369138281652</v>
      </c>
      <c r="R326" s="57">
        <f>Boosters_And!N326/B326</f>
        <v>6.16978584900123</v>
      </c>
      <c r="S326" s="54">
        <v>10.7692307692307</v>
      </c>
      <c r="T326" s="58">
        <v>0.903846153846154</v>
      </c>
      <c r="U326" s="60">
        <v>4162.84615384615</v>
      </c>
      <c r="V326" s="59">
        <v>18110</v>
      </c>
    </row>
    <row r="327" spans="1:22" s="168" customFormat="1" ht="22.500000" customHeight="1">
      <c r="A327" s="34">
        <v>325</v>
      </c>
      <c r="B327" s="49">
        <v>53</v>
      </c>
      <c r="C327" s="49">
        <v>53</v>
      </c>
      <c r="D327" s="49">
        <v>24</v>
      </c>
      <c r="E327" s="49">
        <v>3</v>
      </c>
      <c r="F327" s="50">
        <f>(C327*100)/B327</f>
        <v>100</v>
      </c>
      <c r="G327" s="156">
        <f>(D327*100)/B327</f>
        <v>45.2830188679245</v>
      </c>
      <c r="H327" s="152">
        <f>((B327-B328)/B327)*100</f>
        <v>0</v>
      </c>
      <c r="I327" s="152">
        <f>((B327-C327)/B327)*100</f>
        <v>0</v>
      </c>
      <c r="J327" s="152">
        <f>((C327-B328)/C327)*100</f>
        <v>0</v>
      </c>
      <c r="K327" s="155"/>
      <c r="L327" s="54">
        <v>1.0188679245283</v>
      </c>
      <c r="M327" s="79" t="s">
        <v>28</v>
      </c>
      <c r="N327" s="54">
        <v>0</v>
      </c>
      <c r="O327" s="56">
        <f>N327/C327</f>
        <v>0</v>
      </c>
      <c r="P327" s="57">
        <f>(Boosters_And!B327*100)/Boosters_And!N327</f>
        <v>4.36873613685517</v>
      </c>
      <c r="Q327" s="57">
        <f>Boosters_And!B327/(C327+D327)</f>
        <v>0.159231104487334</v>
      </c>
      <c r="R327" s="57">
        <f>Boosters_And!N327/B327</f>
        <v>5.2952558435462</v>
      </c>
      <c r="S327" s="54">
        <v>6.77358490566037</v>
      </c>
      <c r="T327" s="58">
        <v>0.660377358490566</v>
      </c>
      <c r="U327" s="60">
        <v>4131.66037735849</v>
      </c>
      <c r="V327" s="59">
        <v>20460</v>
      </c>
    </row>
    <row r="328" spans="1:22" s="168" customFormat="1" ht="22.500000" customHeight="1">
      <c r="A328" s="34">
        <v>326</v>
      </c>
      <c r="B328" s="49">
        <v>53</v>
      </c>
      <c r="C328" s="49">
        <v>53</v>
      </c>
      <c r="D328" s="49">
        <v>50</v>
      </c>
      <c r="E328" s="49">
        <v>16</v>
      </c>
      <c r="F328" s="50">
        <f>(C328*100)/B328</f>
        <v>100</v>
      </c>
      <c r="G328" s="156">
        <f>(D328*100)/B328</f>
        <v>94.3396226415094</v>
      </c>
      <c r="H328" s="152">
        <f>((B328-B329)/B328)*100</f>
        <v>-1.88679245283019</v>
      </c>
      <c r="I328" s="152">
        <f>((B328-C328)/B328)*100</f>
        <v>0</v>
      </c>
      <c r="J328" s="152">
        <f>((C328-B329)/C328)*100</f>
        <v>-1.88679245283019</v>
      </c>
      <c r="K328" s="155"/>
      <c r="L328" s="54">
        <v>1.16981132075471</v>
      </c>
      <c r="M328" s="80" t="s">
        <v>28</v>
      </c>
      <c r="N328" s="54">
        <v>9.66</v>
      </c>
      <c r="O328" s="56">
        <f>N328/C328</f>
        <v>0.182264150943396</v>
      </c>
      <c r="P328" s="57">
        <f>(Boosters_And!B328*100)/Boosters_And!N328</f>
        <v>10.1306066493655</v>
      </c>
      <c r="Q328" s="57">
        <f>Boosters_And!B328/(C328+D328)</f>
        <v>0.533972262364409</v>
      </c>
      <c r="R328" s="57">
        <f>Boosters_And!N328/B328</f>
        <v>10.2434110375248</v>
      </c>
      <c r="S328" s="54">
        <v>9.09433962264151</v>
      </c>
      <c r="T328" s="58">
        <v>0.943396226415094</v>
      </c>
      <c r="U328" s="60">
        <v>4047.88679245283</v>
      </c>
      <c r="V328" s="59">
        <v>18135</v>
      </c>
    </row>
    <row r="329" spans="1:22" s="168" customFormat="1" ht="22.500000" customHeight="1">
      <c r="A329" s="34">
        <v>327</v>
      </c>
      <c r="B329" s="49">
        <v>54</v>
      </c>
      <c r="C329" s="49">
        <v>54</v>
      </c>
      <c r="D329" s="49">
        <v>51</v>
      </c>
      <c r="E329" s="49">
        <v>21</v>
      </c>
      <c r="F329" s="50">
        <f>(C329*100)/B329</f>
        <v>100</v>
      </c>
      <c r="G329" s="156">
        <f>(D329*100)/B329</f>
        <v>94.4444444444444</v>
      </c>
      <c r="H329" s="152">
        <f>((B329-B330)/B329)*100</f>
        <v>0</v>
      </c>
      <c r="I329" s="152">
        <f>((B329-C329)/B329)*100</f>
        <v>0</v>
      </c>
      <c r="J329" s="152">
        <f>((C329-B330)/C329)*100</f>
        <v>0</v>
      </c>
      <c r="K329" s="155"/>
      <c r="L329" s="54">
        <v>1.29629629629629</v>
      </c>
      <c r="M329" s="81" t="s">
        <v>29</v>
      </c>
      <c r="N329" s="54">
        <v>17.81</v>
      </c>
      <c r="O329" s="56">
        <f>N329/C329</f>
        <v>0.329814814814815</v>
      </c>
      <c r="P329" s="57">
        <f>(Boosters_And!B329*100)/Boosters_And!N329</f>
        <v>14.9193582721464</v>
      </c>
      <c r="Q329" s="57">
        <f>Boosters_And!B329/(C329+D329)</f>
        <v>0.945735821663733</v>
      </c>
      <c r="R329" s="57">
        <f>Boosters_And!N329/B329</f>
        <v>12.3258033676912</v>
      </c>
      <c r="S329" s="54">
        <v>23.7222222222222</v>
      </c>
      <c r="T329" s="58">
        <v>0.944444444444444</v>
      </c>
      <c r="U329" s="60">
        <v>4136.35185185185</v>
      </c>
      <c r="V329" s="59">
        <v>18310</v>
      </c>
    </row>
    <row r="330" spans="1:22" s="168" customFormat="1" ht="22.500000" customHeight="1">
      <c r="A330" s="34">
        <v>328</v>
      </c>
      <c r="B330" s="49">
        <v>54</v>
      </c>
      <c r="C330" s="49">
        <v>54</v>
      </c>
      <c r="D330" s="49">
        <v>35</v>
      </c>
      <c r="E330" s="49">
        <v>10</v>
      </c>
      <c r="F330" s="50">
        <f>(C330*100)/B330</f>
        <v>100</v>
      </c>
      <c r="G330" s="156">
        <f>(D330*100)/B330</f>
        <v>64.8148148148148</v>
      </c>
      <c r="H330" s="152">
        <f>((B330-B331)/B330)*100</f>
        <v>-1.85185185185185</v>
      </c>
      <c r="I330" s="152">
        <f>((B330-C330)/B330)*100</f>
        <v>0</v>
      </c>
      <c r="J330" s="152">
        <f>((C330-B331)/C330)*100</f>
        <v>-1.85185185185185</v>
      </c>
      <c r="K330" s="155"/>
      <c r="L330" s="54">
        <v>1.01851851851851</v>
      </c>
      <c r="M330" s="80" t="s">
        <v>28</v>
      </c>
      <c r="N330" s="54">
        <v>0</v>
      </c>
      <c r="O330" s="56">
        <f>N330/C330</f>
        <v>0</v>
      </c>
      <c r="P330" s="57">
        <f>(Boosters_And!B330*100)/Boosters_And!N330</f>
        <v>12.0798870082016</v>
      </c>
      <c r="Q330" s="57">
        <f>Boosters_And!B330/(C330+D330)</f>
        <v>0.630183824316828</v>
      </c>
      <c r="R330" s="57">
        <f>Boosters_And!N330/B330</f>
        <v>8.59806306412899</v>
      </c>
      <c r="S330" s="54">
        <v>22.8333333333333</v>
      </c>
      <c r="T330" s="58">
        <v>0.796296296296296</v>
      </c>
      <c r="U330" s="60">
        <v>4131.35185185185</v>
      </c>
      <c r="V330" s="59">
        <v>26260</v>
      </c>
    </row>
    <row r="331" spans="1:22" s="168" customFormat="1" ht="22.500000" customHeight="1">
      <c r="A331" s="34">
        <v>329</v>
      </c>
      <c r="B331" s="49">
        <v>55</v>
      </c>
      <c r="C331" s="49">
        <v>55</v>
      </c>
      <c r="D331" s="49">
        <v>57</v>
      </c>
      <c r="E331" s="49">
        <v>12</v>
      </c>
      <c r="F331" s="50">
        <f>(C331*100)/B331</f>
        <v>100</v>
      </c>
      <c r="G331" s="156">
        <f>(D331*100)/B331</f>
        <v>103.636363636364</v>
      </c>
      <c r="H331" s="152">
        <f>((B331-B332)/B331)*100</f>
        <v>0</v>
      </c>
      <c r="I331" s="152">
        <f>((B331-C331)/B331)*100</f>
        <v>0</v>
      </c>
      <c r="J331" s="152">
        <f>((C331-B332)/C331)*100</f>
        <v>0</v>
      </c>
      <c r="K331" s="155"/>
      <c r="L331" s="54">
        <v>1.1090909090909</v>
      </c>
      <c r="M331" s="81" t="s">
        <v>29</v>
      </c>
      <c r="N331" s="54">
        <v>11.27</v>
      </c>
      <c r="O331" s="56">
        <f>N331/C331</f>
        <v>0.204909090909091</v>
      </c>
      <c r="P331" s="57">
        <f>(Boosters_And!B331*100)/Boosters_And!N331</f>
        <v>13.6493728401124</v>
      </c>
      <c r="Q331" s="57">
        <f>Boosters_And!B331/(C331+D331)</f>
        <v>0.83616315768643</v>
      </c>
      <c r="R331" s="57">
        <f>Boosters_And!N331/B331</f>
        <v>12.474802090362</v>
      </c>
      <c r="S331" s="54">
        <v>21.2363636363636</v>
      </c>
      <c r="T331" s="58">
        <v>0.945454545454545</v>
      </c>
      <c r="U331" s="60">
        <v>4029.69090909091</v>
      </c>
      <c r="V331" s="59">
        <v>16330</v>
      </c>
    </row>
    <row r="332" spans="1:22" s="168" customFormat="1" ht="22.500000" customHeight="1">
      <c r="A332" s="34">
        <v>330</v>
      </c>
      <c r="B332" s="49">
        <v>55</v>
      </c>
      <c r="C332" s="49">
        <v>52</v>
      </c>
      <c r="D332" s="49">
        <v>35</v>
      </c>
      <c r="E332" s="49">
        <v>6</v>
      </c>
      <c r="F332" s="50">
        <f>(C332*100)/B332</f>
        <v>94.5454545454546</v>
      </c>
      <c r="G332" s="156">
        <f>(D332*100)/B332</f>
        <v>63.6363636363636</v>
      </c>
      <c r="H332" s="152">
        <f>((B332-B333)/B332)*100</f>
        <v>3.63636363636364</v>
      </c>
      <c r="I332" s="152">
        <f>((B332-C332)/B332)*100</f>
        <v>5.45454545454545</v>
      </c>
      <c r="J332" s="152">
        <f>((C332-B333)/C332)*100</f>
        <v>-1.92307692307692</v>
      </c>
      <c r="K332" s="155"/>
      <c r="L332" s="54">
        <v>1.01923076923076</v>
      </c>
      <c r="M332" s="82" t="s">
        <v>29</v>
      </c>
      <c r="N332" s="54">
        <v>0</v>
      </c>
      <c r="O332" s="56">
        <f>N332/C332</f>
        <v>0</v>
      </c>
      <c r="P332" s="57">
        <f>(Boosters_And!B332*100)/Boosters_And!N332</f>
        <v>22.7128342044745</v>
      </c>
      <c r="Q332" s="57">
        <f>Boosters_And!B332/(C332+D332)</f>
        <v>0.92552566798372</v>
      </c>
      <c r="R332" s="57">
        <f>Boosters_And!N332/B332</f>
        <v>6.44575360422281</v>
      </c>
      <c r="S332" s="54">
        <v>6.88461538461538</v>
      </c>
      <c r="T332" s="58">
        <v>0.865384615384615</v>
      </c>
      <c r="U332" s="60">
        <v>4230.53846153846</v>
      </c>
      <c r="V332" s="59">
        <v>17315</v>
      </c>
    </row>
    <row r="333" spans="1:22" s="168" customFormat="1" ht="22.500000" customHeight="1">
      <c r="A333" s="34">
        <v>331</v>
      </c>
      <c r="B333" s="49">
        <v>53</v>
      </c>
      <c r="C333" s="49">
        <v>51</v>
      </c>
      <c r="D333" s="49">
        <v>50</v>
      </c>
      <c r="E333" s="49">
        <v>16</v>
      </c>
      <c r="F333" s="50">
        <f>(C333*100)/B333</f>
        <v>96.2264150943396</v>
      </c>
      <c r="G333" s="156">
        <f>(D333*100)/B333</f>
        <v>94.3396226415094</v>
      </c>
      <c r="H333" s="152">
        <f>((B333-B334)/B333)*100</f>
        <v>0</v>
      </c>
      <c r="I333" s="152">
        <f>((B333-C333)/B333)*100</f>
        <v>3.77358490566038</v>
      </c>
      <c r="J333" s="152">
        <f>((C333-B334)/C333)*100</f>
        <v>-3.92156862745098</v>
      </c>
      <c r="K333" s="155"/>
      <c r="L333" s="54">
        <v>1.35294117647058</v>
      </c>
      <c r="M333" s="83" t="s">
        <v>30</v>
      </c>
      <c r="N333" s="54">
        <v>0</v>
      </c>
      <c r="O333" s="56">
        <f>N333/C333</f>
        <v>0</v>
      </c>
      <c r="P333" s="57">
        <f>(Boosters_And!B333*100)/Boosters_And!N333</f>
        <v>16.3530910726616</v>
      </c>
      <c r="Q333" s="57">
        <f>Boosters_And!B333/(C333+D333)</f>
        <v>1.04346018431045</v>
      </c>
      <c r="R333" s="57">
        <f>Boosters_And!N333/B333</f>
        <v>12.1596627803038</v>
      </c>
      <c r="S333" s="54">
        <v>12.235294117647</v>
      </c>
      <c r="T333" s="58">
        <v>0.980392156862745</v>
      </c>
      <c r="U333" s="60">
        <v>4321.43137254902</v>
      </c>
      <c r="V333" s="59">
        <v>13340</v>
      </c>
    </row>
    <row r="334" spans="1:22" s="168" customFormat="1" ht="22.500000" customHeight="1">
      <c r="A334" s="34">
        <v>332</v>
      </c>
      <c r="B334" s="49">
        <v>53</v>
      </c>
      <c r="C334" s="49">
        <v>52</v>
      </c>
      <c r="D334" s="49">
        <v>49</v>
      </c>
      <c r="E334" s="49">
        <v>18</v>
      </c>
      <c r="F334" s="50">
        <f>(C334*100)/B334</f>
        <v>98.1132075471698</v>
      </c>
      <c r="G334" s="156">
        <f>(D334*100)/B334</f>
        <v>92.4528301886792</v>
      </c>
      <c r="H334" s="152">
        <f>((B334-B335)/B334)*100</f>
        <v>1.88679245283019</v>
      </c>
      <c r="I334" s="152">
        <f>((B334-C334)/B334)*100</f>
        <v>1.88679245283019</v>
      </c>
      <c r="J334" s="152">
        <f>((C334-B335)/C334)*100</f>
        <v>0</v>
      </c>
      <c r="K334" s="155"/>
      <c r="L334" s="54">
        <v>1.11538461538461</v>
      </c>
      <c r="M334" s="82" t="s">
        <v>29</v>
      </c>
      <c r="N334" s="54">
        <v>2.41</v>
      </c>
      <c r="O334" s="56">
        <f>N334/C334</f>
        <v>0.0463461538461539</v>
      </c>
      <c r="P334" s="57">
        <f>(Boosters_And!B334*100)/Boosters_And!N334</f>
        <v>20.9985590439366</v>
      </c>
      <c r="Q334" s="57">
        <f>Boosters_And!B334/(C334+D334)</f>
        <v>1.12438669623977</v>
      </c>
      <c r="R334" s="57">
        <f>Boosters_And!N334/B334</f>
        <v>10.204029578267</v>
      </c>
      <c r="S334" s="54">
        <v>45.4807692307692</v>
      </c>
      <c r="T334" s="58">
        <v>0.961538461538462</v>
      </c>
      <c r="U334" s="60">
        <v>4207.46153846154</v>
      </c>
      <c r="V334" s="59">
        <v>15270</v>
      </c>
    </row>
    <row r="335" spans="1:22" s="168" customFormat="1" ht="22.500000" customHeight="1">
      <c r="A335" s="34">
        <v>333</v>
      </c>
      <c r="B335" s="49">
        <v>52</v>
      </c>
      <c r="C335" s="49">
        <v>52</v>
      </c>
      <c r="D335" s="49">
        <v>26</v>
      </c>
      <c r="E335" s="49">
        <v>6</v>
      </c>
      <c r="F335" s="50">
        <f>(C335*100)/B335</f>
        <v>100</v>
      </c>
      <c r="G335" s="156">
        <f>(D335*100)/B335</f>
        <v>50</v>
      </c>
      <c r="H335" s="152">
        <f>((B335-B336)/B335)*100</f>
        <v>0</v>
      </c>
      <c r="I335" s="152">
        <f>((B335-C335)/B335)*100</f>
        <v>0</v>
      </c>
      <c r="J335" s="152">
        <f>((C335-B336)/C335)*100</f>
        <v>0</v>
      </c>
      <c r="K335" s="155"/>
      <c r="L335" s="54">
        <v>1.11538461538461</v>
      </c>
      <c r="M335" s="79" t="s">
        <v>28</v>
      </c>
      <c r="N335" s="54">
        <v>0</v>
      </c>
      <c r="O335" s="56">
        <f>N335/C335</f>
        <v>0</v>
      </c>
      <c r="P335" s="57">
        <f>(Boosters_And!B335*100)/Boosters_And!N335</f>
        <v>11.5595777030234</v>
      </c>
      <c r="Q335" s="57">
        <f>Boosters_And!B335/(C335+D335)</f>
        <v>0.304902373545822</v>
      </c>
      <c r="R335" s="57">
        <f>Boosters_And!N335/B335</f>
        <v>3.95649021156815</v>
      </c>
      <c r="S335" s="54">
        <v>11.5192307692307</v>
      </c>
      <c r="T335" s="58">
        <v>0.730769230769231</v>
      </c>
      <c r="U335" s="60">
        <v>4210.44230769231</v>
      </c>
      <c r="V335" s="59">
        <v>16865</v>
      </c>
    </row>
    <row r="336" spans="1:22" s="168" customFormat="1" ht="22.500000" customHeight="1">
      <c r="A336" s="34">
        <v>334</v>
      </c>
      <c r="B336" s="49">
        <v>52</v>
      </c>
      <c r="C336" s="49">
        <v>52</v>
      </c>
      <c r="D336" s="49">
        <v>20</v>
      </c>
      <c r="E336" s="49">
        <v>8</v>
      </c>
      <c r="F336" s="50">
        <f>(C336*100)/B336</f>
        <v>100</v>
      </c>
      <c r="G336" s="156">
        <f>(D336*100)/B336</f>
        <v>38.4615384615385</v>
      </c>
      <c r="H336" s="152">
        <f>((B336-B337)/B336)*100</f>
        <v>-1.92307692307692</v>
      </c>
      <c r="I336" s="152">
        <f>((B336-C336)/B336)*100</f>
        <v>0</v>
      </c>
      <c r="J336" s="152">
        <f>((C336-B337)/C336)*100</f>
        <v>-1.92307692307692</v>
      </c>
      <c r="K336" s="155"/>
      <c r="L336" s="54">
        <v>1.01923076923076</v>
      </c>
      <c r="M336" s="80" t="s">
        <v>28</v>
      </c>
      <c r="N336" s="54">
        <v>0</v>
      </c>
      <c r="O336" s="56">
        <f>N336/C336</f>
        <v>0</v>
      </c>
      <c r="P336" s="57">
        <f>(Boosters_And!B336*100)/Boosters_And!N336</f>
        <v>29.0045714010904</v>
      </c>
      <c r="Q336" s="57">
        <f>Boosters_And!B336/(C336+D336)</f>
        <v>0.716177364904837</v>
      </c>
      <c r="R336" s="57">
        <f>Boosters_And!N336/B336</f>
        <v>3.41887554154054</v>
      </c>
      <c r="S336" s="54">
        <v>19.7884615384615</v>
      </c>
      <c r="T336" s="58">
        <v>0.711538461538462</v>
      </c>
      <c r="U336" s="60">
        <v>4300.53846153846</v>
      </c>
      <c r="V336" s="59">
        <v>19985</v>
      </c>
    </row>
    <row r="337" spans="1:22" s="168" customFormat="1" ht="22.500000" customHeight="1">
      <c r="A337" s="34">
        <v>335</v>
      </c>
      <c r="B337" s="49">
        <v>53</v>
      </c>
      <c r="C337" s="49">
        <v>53</v>
      </c>
      <c r="D337" s="49">
        <v>47</v>
      </c>
      <c r="E337" s="49">
        <v>20</v>
      </c>
      <c r="F337" s="50">
        <f>(C337*100)/B337</f>
        <v>100</v>
      </c>
      <c r="G337" s="156">
        <f>(D337*100)/B337</f>
        <v>88.6792452830189</v>
      </c>
      <c r="H337" s="152">
        <f>((B337-B338)/B337)*100</f>
        <v>0</v>
      </c>
      <c r="I337" s="152">
        <f>((B337-C337)/B337)*100</f>
        <v>0</v>
      </c>
      <c r="J337" s="152">
        <f>((C337-B338)/C337)*100</f>
        <v>0</v>
      </c>
      <c r="K337" s="155"/>
      <c r="L337" s="54">
        <v>1.22641509433962</v>
      </c>
      <c r="M337" s="81" t="s">
        <v>29</v>
      </c>
      <c r="N337" s="54">
        <v>7.4</v>
      </c>
      <c r="O337" s="56">
        <f>N337/C337</f>
        <v>0.139622641509434</v>
      </c>
      <c r="P337" s="57">
        <f>(Boosters_And!B337*100)/Boosters_And!N337</f>
        <v>23.3187138071439</v>
      </c>
      <c r="Q337" s="57">
        <f>Boosters_And!B337/(C337+D337)</f>
        <v>1.30997429070603</v>
      </c>
      <c r="R337" s="57">
        <f>Boosters_And!N337/B337</f>
        <v>10.5994251035771</v>
      </c>
      <c r="S337" s="54">
        <v>11.3207547169811</v>
      </c>
      <c r="T337" s="58">
        <v>0.867924528301887</v>
      </c>
      <c r="U337" s="60">
        <v>4140.05660377359</v>
      </c>
      <c r="V337" s="59">
        <v>14365</v>
      </c>
    </row>
    <row r="338" spans="1:22" s="168" customFormat="1" ht="22.500000" customHeight="1">
      <c r="A338" s="34">
        <v>336</v>
      </c>
      <c r="B338" s="49">
        <v>53</v>
      </c>
      <c r="C338" s="49">
        <v>53</v>
      </c>
      <c r="D338" s="49">
        <v>50</v>
      </c>
      <c r="E338" s="49">
        <v>4</v>
      </c>
      <c r="F338" s="50">
        <f>(C338*100)/B338</f>
        <v>100</v>
      </c>
      <c r="G338" s="156">
        <f>(D338*100)/B338</f>
        <v>94.3396226415094</v>
      </c>
      <c r="H338" s="152">
        <f>((B338-B339)/B338)*100</f>
        <v>0</v>
      </c>
      <c r="I338" s="152">
        <f>((B338-C338)/B338)*100</f>
        <v>0</v>
      </c>
      <c r="J338" s="152">
        <f>((C338-B339)/C338)*100</f>
        <v>0</v>
      </c>
      <c r="K338" s="155"/>
      <c r="L338" s="54">
        <v>1.0754716981132</v>
      </c>
      <c r="M338" s="80" t="s">
        <v>28</v>
      </c>
      <c r="N338" s="54">
        <v>0</v>
      </c>
      <c r="O338" s="56">
        <f>N338/C338</f>
        <v>0</v>
      </c>
      <c r="P338" s="57">
        <f>(Boosters_And!B338*100)/Boosters_And!N338</f>
        <v>6.65531615298914</v>
      </c>
      <c r="Q338" s="57">
        <f>Boosters_And!B338/(C338+D338)</f>
        <v>0.21401145807863</v>
      </c>
      <c r="R338" s="57">
        <f>Boosters_And!N338/B338</f>
        <v>6.24927577411632</v>
      </c>
      <c r="S338" s="54">
        <v>10.3584905660377</v>
      </c>
      <c r="T338" s="58">
        <v>0.849056603773585</v>
      </c>
      <c r="U338" s="60">
        <v>4069.39622641509</v>
      </c>
      <c r="V338" s="59">
        <v>13430</v>
      </c>
    </row>
    <row r="339" spans="1:22" s="168" customFormat="1" ht="22.500000" customHeight="1">
      <c r="A339" s="34">
        <v>337</v>
      </c>
      <c r="B339" s="49">
        <v>53</v>
      </c>
      <c r="C339" s="49">
        <v>51</v>
      </c>
      <c r="D339" s="49">
        <v>50</v>
      </c>
      <c r="E339" s="49">
        <v>17</v>
      </c>
      <c r="F339" s="50">
        <f>(C339*100)/B339</f>
        <v>96.2264150943396</v>
      </c>
      <c r="G339" s="156">
        <f>(D339*100)/B339</f>
        <v>94.3396226415094</v>
      </c>
      <c r="H339" s="152">
        <f>((B339-B340)/B339)*100</f>
        <v>-1.88679245283019</v>
      </c>
      <c r="I339" s="152">
        <f>((B339-C339)/B339)*100</f>
        <v>3.77358490566038</v>
      </c>
      <c r="J339" s="152">
        <f>((C339-B340)/C339)*100</f>
        <v>-5.88235294117647</v>
      </c>
      <c r="K339" s="155"/>
      <c r="L339" s="54">
        <v>1.27450980392156</v>
      </c>
      <c r="M339" s="81" t="s">
        <v>29</v>
      </c>
      <c r="N339" s="54">
        <v>12.98</v>
      </c>
      <c r="O339" s="56">
        <f>N339/C339</f>
        <v>0.254509803921569</v>
      </c>
      <c r="P339" s="57">
        <f>(Boosters_And!B339*100)/Boosters_And!N339</f>
        <v>26.7579743748758</v>
      </c>
      <c r="Q339" s="57">
        <f>Boosters_And!B339/(C339+D339)</f>
        <v>1.53978378401174</v>
      </c>
      <c r="R339" s="57">
        <f>Boosters_And!N339/B339</f>
        <v>10.966095212519</v>
      </c>
      <c r="S339" s="54">
        <v>13.8823529411764</v>
      </c>
      <c r="T339" s="58">
        <v>0.96078431372549</v>
      </c>
      <c r="U339" s="60">
        <v>4344.37254901961</v>
      </c>
      <c r="V339" s="59">
        <v>10815</v>
      </c>
    </row>
    <row r="340" spans="1:22" s="168" customFormat="1" ht="22.500000" customHeight="1">
      <c r="A340" s="34">
        <v>338</v>
      </c>
      <c r="B340" s="49">
        <v>54</v>
      </c>
      <c r="C340" s="49">
        <v>53</v>
      </c>
      <c r="D340" s="49">
        <v>51</v>
      </c>
      <c r="E340" s="49">
        <v>28</v>
      </c>
      <c r="F340" s="50">
        <f>(C340*100)/B340</f>
        <v>98.1481481481482</v>
      </c>
      <c r="G340" s="156">
        <f>(D340*100)/B340</f>
        <v>94.4444444444444</v>
      </c>
      <c r="H340" s="152">
        <f>((B340-B341)/B340)*100</f>
        <v>0</v>
      </c>
      <c r="I340" s="152">
        <f>((B340-C340)/B340)*100</f>
        <v>1.85185185185185</v>
      </c>
      <c r="J340" s="152">
        <f>((C340-B341)/C340)*100</f>
        <v>-1.88679245283019</v>
      </c>
      <c r="K340" s="155"/>
      <c r="L340" s="54">
        <v>1.20754716981132</v>
      </c>
      <c r="M340" s="80" t="s">
        <v>28</v>
      </c>
      <c r="N340" s="54">
        <v>0</v>
      </c>
      <c r="O340" s="56">
        <f>N340/C340</f>
        <v>0</v>
      </c>
      <c r="P340" s="57">
        <f>(Boosters_And!B340*100)/Boosters_And!N340</f>
        <v>36.6252315656101</v>
      </c>
      <c r="Q340" s="57">
        <f>Boosters_And!B340/(C340+D340)</f>
        <v>2.16591974218009</v>
      </c>
      <c r="R340" s="57">
        <f>Boosters_And!N340/B340</f>
        <v>11.3894187330033</v>
      </c>
      <c r="S340" s="54">
        <v>25.9056603773584</v>
      </c>
      <c r="T340" s="58">
        <v>0.886792452830189</v>
      </c>
      <c r="U340" s="60">
        <v>3984.20754716981</v>
      </c>
      <c r="V340" s="59">
        <v>24625</v>
      </c>
    </row>
    <row r="341" spans="1:22" s="168" customFormat="1" ht="22.500000" customHeight="1">
      <c r="A341" s="34">
        <v>339</v>
      </c>
      <c r="B341" s="49">
        <v>54</v>
      </c>
      <c r="C341" s="49">
        <v>54</v>
      </c>
      <c r="D341" s="49">
        <v>34</v>
      </c>
      <c r="E341" s="49">
        <v>3</v>
      </c>
      <c r="F341" s="50">
        <f>(C341*100)/B341</f>
        <v>100</v>
      </c>
      <c r="G341" s="156">
        <f>(D341*100)/B341</f>
        <v>62.962962962963</v>
      </c>
      <c r="H341" s="152">
        <f>((B341-B342)/B341)*100</f>
        <v>1.85185185185185</v>
      </c>
      <c r="I341" s="152">
        <f>((B341-C341)/B341)*100</f>
        <v>0</v>
      </c>
      <c r="J341" s="152">
        <f>((C341-B342)/C341)*100</f>
        <v>1.85185185185185</v>
      </c>
      <c r="K341" s="155"/>
      <c r="L341" s="54">
        <v>1</v>
      </c>
      <c r="M341" s="79" t="s">
        <v>28</v>
      </c>
      <c r="N341" s="54">
        <v>0</v>
      </c>
      <c r="O341" s="56">
        <f>N341/C341</f>
        <v>0</v>
      </c>
      <c r="P341" s="57">
        <f>(Boosters_And!B341*100)/Boosters_And!N341</f>
        <v>13.3737712042369</v>
      </c>
      <c r="Q341" s="57">
        <f>Boosters_And!B341/(C341+D341)</f>
        <v>0.51234500413861</v>
      </c>
      <c r="R341" s="57">
        <f>Boosters_And!N341/B341</f>
        <v>6.24306029007347</v>
      </c>
      <c r="S341" s="54">
        <v>6.59259259259259</v>
      </c>
      <c r="T341" s="58">
        <v>0.666666666666667</v>
      </c>
      <c r="U341" s="60">
        <v>3939.40740740741</v>
      </c>
      <c r="V341" s="59">
        <v>28465</v>
      </c>
    </row>
    <row r="342" spans="1:22" s="168" customFormat="1" ht="22.500000" customHeight="1">
      <c r="A342" s="34">
        <v>340</v>
      </c>
      <c r="B342" s="49">
        <v>53</v>
      </c>
      <c r="C342" s="49">
        <v>52</v>
      </c>
      <c r="D342" s="49">
        <v>10</v>
      </c>
      <c r="E342" s="49">
        <v>1</v>
      </c>
      <c r="F342" s="50">
        <f>(C342*100)/B342</f>
        <v>98.1132075471698</v>
      </c>
      <c r="G342" s="156">
        <f>(D342*100)/B342</f>
        <v>18.8679245283019</v>
      </c>
      <c r="H342" s="152">
        <f>((B342-B343)/B342)*100</f>
        <v>-1.88679245283019</v>
      </c>
      <c r="I342" s="152">
        <f>((B342-C342)/B342)*100</f>
        <v>1.88679245283019</v>
      </c>
      <c r="J342" s="152">
        <f>((C342-B343)/C342)*100</f>
        <v>-3.84615384615385</v>
      </c>
      <c r="K342" s="155"/>
      <c r="L342" s="54">
        <v>1</v>
      </c>
      <c r="M342" s="80" t="s">
        <v>28</v>
      </c>
      <c r="N342" s="54">
        <v>0</v>
      </c>
      <c r="O342" s="56">
        <f>N342/C342</f>
        <v>0</v>
      </c>
      <c r="P342" s="57">
        <f>(Boosters_And!B342*100)/Boosters_And!N342</f>
        <v>15.8547861679933</v>
      </c>
      <c r="Q342" s="57">
        <f>Boosters_And!B342/(C342+D342)</f>
        <v>0.520335403960076</v>
      </c>
      <c r="R342" s="57">
        <f>Boosters_And!N342/B342</f>
        <v>3.83918294256639</v>
      </c>
      <c r="S342" s="54">
        <v>8.8076923076923</v>
      </c>
      <c r="T342" s="58">
        <v>0.596153846153846</v>
      </c>
      <c r="U342" s="60">
        <v>4065.44230769231</v>
      </c>
      <c r="V342" s="59">
        <v>34745</v>
      </c>
    </row>
    <row r="343" spans="1:22" s="168" customFormat="1" ht="22.500000" customHeight="1">
      <c r="A343" s="34">
        <v>341</v>
      </c>
      <c r="B343" s="49">
        <v>54</v>
      </c>
      <c r="C343" s="49">
        <v>53</v>
      </c>
      <c r="D343" s="49">
        <v>40</v>
      </c>
      <c r="E343" s="49">
        <v>4</v>
      </c>
      <c r="F343" s="50">
        <f>(C343*100)/B343</f>
        <v>98.1481481481482</v>
      </c>
      <c r="G343" s="156">
        <f>(D343*100)/B343</f>
        <v>74.0740740740741</v>
      </c>
      <c r="H343" s="152">
        <f>((B343-B344)/B343)*100</f>
        <v>0</v>
      </c>
      <c r="I343" s="152">
        <f>((B343-C343)/B343)*100</f>
        <v>1.85185185185185</v>
      </c>
      <c r="J343" s="152">
        <f>((C343-B344)/C343)*100</f>
        <v>-1.88679245283019</v>
      </c>
      <c r="K343" s="155"/>
      <c r="L343" s="54">
        <v>1.0377358490566</v>
      </c>
      <c r="M343" s="79" t="s">
        <v>28</v>
      </c>
      <c r="N343" s="54">
        <v>0</v>
      </c>
      <c r="O343" s="56">
        <f>N343/C343</f>
        <v>0</v>
      </c>
      <c r="P343" s="57">
        <f>(Boosters_And!B343*100)/Boosters_And!N343</f>
        <v>7.66337160477536</v>
      </c>
      <c r="Q343" s="57">
        <f>Boosters_And!B343/(C343+D343)</f>
        <v>0.285642691109121</v>
      </c>
      <c r="R343" s="57">
        <f>Boosters_And!N343/B343</f>
        <v>6.41937016256576</v>
      </c>
      <c r="S343" s="54">
        <v>8.39622641509434</v>
      </c>
      <c r="T343" s="58">
        <v>0.811320754716981</v>
      </c>
      <c r="U343" s="60">
        <v>3834.20754716981</v>
      </c>
      <c r="V343" s="59">
        <v>28300</v>
      </c>
    </row>
    <row r="344" spans="1:22" s="168" customFormat="1" ht="22.500000" customHeight="1">
      <c r="A344" s="34">
        <v>342</v>
      </c>
      <c r="B344" s="49">
        <v>54</v>
      </c>
      <c r="C344" s="49">
        <v>54</v>
      </c>
      <c r="D344" s="49">
        <v>46</v>
      </c>
      <c r="E344" s="49">
        <v>16</v>
      </c>
      <c r="F344" s="50">
        <f>(C344*100)/B344</f>
        <v>100</v>
      </c>
      <c r="G344" s="156">
        <f>(D344*100)/B344</f>
        <v>85.1851851851852</v>
      </c>
      <c r="H344" s="152">
        <f>((B344-B345)/B344)*100</f>
        <v>-1.85185185185185</v>
      </c>
      <c r="I344" s="152">
        <f>((B344-C344)/B344)*100</f>
        <v>0</v>
      </c>
      <c r="J344" s="152">
        <f>((C344-B345)/C344)*100</f>
        <v>-1.85185185185185</v>
      </c>
      <c r="K344" s="155"/>
      <c r="L344" s="54">
        <v>1.12962962962962</v>
      </c>
      <c r="M344" s="82" t="s">
        <v>29</v>
      </c>
      <c r="N344" s="54">
        <v>4.99</v>
      </c>
      <c r="O344" s="56">
        <f>N344/C344</f>
        <v>0.0924074074074074</v>
      </c>
      <c r="P344" s="57">
        <f>(Boosters_And!B344*100)/Boosters_And!N344</f>
        <v>28.7733209319884</v>
      </c>
      <c r="Q344" s="57">
        <f>Boosters_And!B344/(C344+D344)</f>
        <v>1.68257367139662</v>
      </c>
      <c r="R344" s="57">
        <f>Boosters_And!N344/B344</f>
        <v>10.8290495095022</v>
      </c>
      <c r="S344" s="54">
        <v>9.66666666666666</v>
      </c>
      <c r="T344" s="58">
        <v>0.87037037037037</v>
      </c>
      <c r="U344" s="60">
        <v>3723.01851851852</v>
      </c>
      <c r="V344" s="59">
        <v>24195</v>
      </c>
    </row>
    <row r="345" spans="1:22" s="168" customFormat="1" ht="22.500000" customHeight="1">
      <c r="A345" s="34">
        <v>343</v>
      </c>
      <c r="B345" s="49">
        <v>55</v>
      </c>
      <c r="C345" s="49">
        <v>55</v>
      </c>
      <c r="D345" s="49">
        <v>54</v>
      </c>
      <c r="E345" s="49">
        <v>8</v>
      </c>
      <c r="F345" s="50">
        <f>(C345*100)/B345</f>
        <v>100</v>
      </c>
      <c r="G345" s="156">
        <f>(D345*100)/B345</f>
        <v>98.1818181818182</v>
      </c>
      <c r="H345" s="152">
        <f>((B345-B346)/B345)*100</f>
        <v>-1.81818181818182</v>
      </c>
      <c r="I345" s="152">
        <f>((B345-C345)/B345)*100</f>
        <v>0</v>
      </c>
      <c r="J345" s="152">
        <f>((C345-B346)/C345)*100</f>
        <v>-1.81818181818182</v>
      </c>
      <c r="K345" s="155"/>
      <c r="L345" s="54">
        <v>1.07272727272727</v>
      </c>
      <c r="M345" s="79" t="s">
        <v>28</v>
      </c>
      <c r="N345" s="54">
        <v>0</v>
      </c>
      <c r="O345" s="56">
        <f>N345/C345</f>
        <v>0</v>
      </c>
      <c r="P345" s="57">
        <f>(Boosters_And!B345*100)/Boosters_And!N345</f>
        <v>8.9418939827294</v>
      </c>
      <c r="Q345" s="57">
        <f>Boosters_And!B345/(C345+D345)</f>
        <v>0.365372158886908</v>
      </c>
      <c r="R345" s="57">
        <f>Boosters_And!N345/B345</f>
        <v>8.09785028776659</v>
      </c>
      <c r="S345" s="54">
        <v>5.41818181818181</v>
      </c>
      <c r="T345" s="58">
        <v>0.927272727272727</v>
      </c>
      <c r="U345" s="60">
        <v>3563.50909090909</v>
      </c>
      <c r="V345" s="59">
        <v>20965</v>
      </c>
    </row>
    <row r="346" spans="1:22" s="168" customFormat="1" ht="22.500000" customHeight="1">
      <c r="A346" s="34">
        <v>344</v>
      </c>
      <c r="B346" s="49">
        <v>56</v>
      </c>
      <c r="C346" s="49">
        <v>55</v>
      </c>
      <c r="D346" s="49">
        <v>53</v>
      </c>
      <c r="E346" s="49">
        <v>16</v>
      </c>
      <c r="F346" s="50">
        <f>(C346*100)/B346</f>
        <v>98.2142857142857</v>
      </c>
      <c r="G346" s="156">
        <f>(D346*100)/B346</f>
        <v>94.6428571428571</v>
      </c>
      <c r="H346" s="152">
        <f>((B346-B347)/B346)*100</f>
        <v>1.78571428571429</v>
      </c>
      <c r="I346" s="152">
        <f>((B346-C346)/B346)*100</f>
        <v>1.78571428571429</v>
      </c>
      <c r="J346" s="152">
        <f>((C346-B347)/C346)*100</f>
        <v>0</v>
      </c>
      <c r="K346" s="155"/>
      <c r="L346" s="54">
        <v>1.27272727272727</v>
      </c>
      <c r="M346" s="80" t="s">
        <v>28</v>
      </c>
      <c r="N346" s="54">
        <v>14.97</v>
      </c>
      <c r="O346" s="56">
        <f>N346/C346</f>
        <v>0.272181818181818</v>
      </c>
      <c r="P346" s="57">
        <f>(Boosters_And!B346*100)/Boosters_And!N346</f>
        <v>6.20643169595564</v>
      </c>
      <c r="Q346" s="57">
        <f>Boosters_And!B346/(C346+D346)</f>
        <v>0.418673684138519</v>
      </c>
      <c r="R346" s="57">
        <f>Boosters_And!N346/B346</f>
        <v>13.0097638172744</v>
      </c>
      <c r="S346" s="54">
        <v>12.0727272727272</v>
      </c>
      <c r="T346" s="58">
        <v>0.909090909090909</v>
      </c>
      <c r="U346" s="60">
        <v>3572.23636363636</v>
      </c>
      <c r="V346" s="59">
        <v>16565</v>
      </c>
    </row>
    <row r="347" spans="1:22" s="168" customFormat="1" ht="22.500000" customHeight="1">
      <c r="A347" s="34">
        <v>345</v>
      </c>
      <c r="B347" s="49">
        <v>55</v>
      </c>
      <c r="C347" s="49">
        <v>53</v>
      </c>
      <c r="D347" s="49">
        <v>49</v>
      </c>
      <c r="E347" s="49">
        <v>20</v>
      </c>
      <c r="F347" s="50">
        <f>(C347*100)/B347</f>
        <v>96.3636363636364</v>
      </c>
      <c r="G347" s="156">
        <f>(D347*100)/B347</f>
        <v>89.0909090909091</v>
      </c>
      <c r="H347" s="152">
        <f>((B347-B348)/B347)*100</f>
        <v>1.81818181818182</v>
      </c>
      <c r="I347" s="152">
        <f>((B347-C347)/B347)*100</f>
        <v>3.63636363636364</v>
      </c>
      <c r="J347" s="152">
        <f>((C347-B348)/C347)*100</f>
        <v>-1.88679245283019</v>
      </c>
      <c r="K347" s="155"/>
      <c r="L347" s="54">
        <v>1.0943396226415</v>
      </c>
      <c r="M347" s="81" t="s">
        <v>29</v>
      </c>
      <c r="N347" s="54">
        <v>0</v>
      </c>
      <c r="O347" s="56">
        <f>N347/C347</f>
        <v>0</v>
      </c>
      <c r="P347" s="57">
        <f>(Boosters_And!B347*100)/Boosters_And!N347</f>
        <v>29.3782336323239</v>
      </c>
      <c r="Q347" s="57">
        <f>Boosters_And!B347/(C347+D347)</f>
        <v>1.39937876495174</v>
      </c>
      <c r="R347" s="57">
        <f>Boosters_And!N347/B347</f>
        <v>8.83379021423965</v>
      </c>
      <c r="S347" s="54">
        <v>7.92452830188679</v>
      </c>
      <c r="T347" s="58">
        <v>0.962264150943396</v>
      </c>
      <c r="U347" s="60">
        <v>3632.79245283019</v>
      </c>
      <c r="V347" s="59">
        <v>22100</v>
      </c>
    </row>
    <row r="348" spans="1:22" s="168" customFormat="1" ht="22.500000" customHeight="1">
      <c r="A348" s="34">
        <v>346</v>
      </c>
      <c r="B348" s="49">
        <v>54</v>
      </c>
      <c r="C348" s="49">
        <v>54</v>
      </c>
      <c r="D348" s="49">
        <v>47</v>
      </c>
      <c r="E348" s="49">
        <v>14</v>
      </c>
      <c r="F348" s="50">
        <f>(C348*100)/B348</f>
        <v>100</v>
      </c>
      <c r="G348" s="156">
        <f>(D348*100)/B348</f>
        <v>87.037037037037</v>
      </c>
      <c r="H348" s="152">
        <f>((B348-B349)/B348)*100</f>
        <v>-1.85185185185185</v>
      </c>
      <c r="I348" s="152">
        <f>((B348-C348)/B348)*100</f>
        <v>0</v>
      </c>
      <c r="J348" s="152">
        <f>((C348-B349)/C348)*100</f>
        <v>-1.85185185185185</v>
      </c>
      <c r="K348" s="155"/>
      <c r="L348" s="54">
        <v>1.09259259259259</v>
      </c>
      <c r="M348" s="82" t="s">
        <v>29</v>
      </c>
      <c r="N348" s="54">
        <v>4.83</v>
      </c>
      <c r="O348" s="56">
        <f>N348/C348</f>
        <v>0.0894444444444445</v>
      </c>
      <c r="P348" s="57">
        <f>(Boosters_And!B348*100)/Boosters_And!N348</f>
        <v>14.144886499779</v>
      </c>
      <c r="Q348" s="57">
        <f>Boosters_And!B348/(C348+D348)</f>
        <v>0.734383373548469</v>
      </c>
      <c r="R348" s="57">
        <f>Boosters_And!N348/B348</f>
        <v>9.71070996150554</v>
      </c>
      <c r="S348" s="54">
        <v>10.0555555555555</v>
      </c>
      <c r="T348" s="58">
        <v>0.907407407407408</v>
      </c>
      <c r="U348" s="60">
        <v>3547.27777777778</v>
      </c>
      <c r="V348" s="59">
        <v>18655</v>
      </c>
    </row>
    <row r="349" spans="1:22" s="168" customFormat="1" ht="22.500000" customHeight="1">
      <c r="A349" s="34">
        <v>347</v>
      </c>
      <c r="B349" s="49">
        <v>55</v>
      </c>
      <c r="C349" s="49">
        <v>55</v>
      </c>
      <c r="D349" s="49">
        <v>33</v>
      </c>
      <c r="E349" s="49">
        <v>9</v>
      </c>
      <c r="F349" s="50">
        <f>(C349*100)/B349</f>
        <v>100</v>
      </c>
      <c r="G349" s="156">
        <f>(D349*100)/B349</f>
        <v>60</v>
      </c>
      <c r="H349" s="152">
        <f>((B349-B350)/B349)*100</f>
        <v>0</v>
      </c>
      <c r="I349" s="152">
        <f>((B349-C349)/B349)*100</f>
        <v>0</v>
      </c>
      <c r="J349" s="152">
        <f>((C349-B350)/C349)*100</f>
        <v>0</v>
      </c>
      <c r="K349" s="155"/>
      <c r="L349" s="54">
        <v>1.16363636363636</v>
      </c>
      <c r="M349" s="79" t="s">
        <v>28</v>
      </c>
      <c r="N349" s="54">
        <v>0</v>
      </c>
      <c r="O349" s="56">
        <f>N349/C349</f>
        <v>0</v>
      </c>
      <c r="P349" s="57">
        <f>(Boosters_And!B349*100)/Boosters_And!N349</f>
        <v>14.737973004132</v>
      </c>
      <c r="Q349" s="57">
        <f>Boosters_And!B349/(C349+D349)</f>
        <v>0.683290233480642</v>
      </c>
      <c r="R349" s="57">
        <f>Boosters_And!N349/B349</f>
        <v>7.41801042288864</v>
      </c>
      <c r="S349" s="54">
        <v>8.09090909090909</v>
      </c>
      <c r="T349" s="58">
        <v>0.672727272727273</v>
      </c>
      <c r="U349" s="60">
        <v>3954.69090909091</v>
      </c>
      <c r="V349" s="59">
        <v>18175</v>
      </c>
    </row>
    <row r="350" spans="1:22" s="168" customFormat="1" ht="22.500000" customHeight="1">
      <c r="A350" s="34">
        <v>348</v>
      </c>
      <c r="B350" s="49">
        <v>55</v>
      </c>
      <c r="C350" s="49">
        <v>54</v>
      </c>
      <c r="D350" s="49">
        <v>1</v>
      </c>
      <c r="E350" s="49">
        <v>2</v>
      </c>
      <c r="F350" s="50">
        <f>(C350*100)/B350</f>
        <v>98.1818181818182</v>
      </c>
      <c r="G350" s="156">
        <f>(D350*100)/B350</f>
        <v>1.81818181818182</v>
      </c>
      <c r="H350" s="152">
        <f>((B350-B351)/B350)*100</f>
        <v>-5.45454545454545</v>
      </c>
      <c r="I350" s="152">
        <f>((B350-C350)/B350)*100</f>
        <v>1.81818181818182</v>
      </c>
      <c r="J350" s="152">
        <f>((C350-B351)/C350)*100</f>
        <v>-7.40740740740741</v>
      </c>
      <c r="K350" s="155"/>
      <c r="L350" s="54">
        <v>1</v>
      </c>
      <c r="M350" s="80" t="s">
        <v>28</v>
      </c>
      <c r="N350" s="54">
        <v>0</v>
      </c>
      <c r="O350" s="56">
        <f>N350/C350</f>
        <v>0</v>
      </c>
      <c r="P350" s="57">
        <f>(Boosters_And!B350*100)/Boosters_And!N350</f>
        <v>0.78659393778813</v>
      </c>
      <c r="Q350" s="57">
        <f>Boosters_And!B350/(C350+D350)</f>
        <v>0.0181818181818182</v>
      </c>
      <c r="R350" s="57">
        <f>Boosters_And!N350/B350</f>
        <v>2.31146177314113</v>
      </c>
      <c r="S350" s="54">
        <v>8.07407407407407</v>
      </c>
      <c r="T350" s="58">
        <v>0.518518518518519</v>
      </c>
      <c r="U350" s="60">
        <v>3975.51851851852</v>
      </c>
      <c r="V350" s="59">
        <v>24770</v>
      </c>
    </row>
    <row r="351" spans="1:22" s="168" customFormat="1" ht="22.500000" customHeight="1">
      <c r="A351" s="34">
        <v>349</v>
      </c>
      <c r="B351" s="49">
        <v>58</v>
      </c>
      <c r="C351" s="49">
        <v>56</v>
      </c>
      <c r="D351" s="49">
        <v>57</v>
      </c>
      <c r="E351" s="49">
        <v>26</v>
      </c>
      <c r="F351" s="50">
        <f>(C351*100)/B351</f>
        <v>96.551724137931</v>
      </c>
      <c r="G351" s="156">
        <f>(D351*100)/B351</f>
        <v>98.2758620689655</v>
      </c>
      <c r="H351" s="152">
        <f>((B351-B352)/B351)*100</f>
        <v>3.44827586206897</v>
      </c>
      <c r="I351" s="152">
        <f>((B351-C351)/B351)*100</f>
        <v>3.44827586206897</v>
      </c>
      <c r="J351" s="152">
        <f>((C351-B352)/C351)*100</f>
        <v>0</v>
      </c>
      <c r="K351" s="155"/>
      <c r="L351" s="54">
        <v>1.28571428571428</v>
      </c>
      <c r="M351" s="79" t="s">
        <v>28</v>
      </c>
      <c r="N351" s="54">
        <v>14.81</v>
      </c>
      <c r="O351" s="56">
        <f>N351/C351</f>
        <v>0.264464285714286</v>
      </c>
      <c r="P351" s="57">
        <f>(Boosters_And!B351*100)/Boosters_And!N351</f>
        <v>11.1872016998498</v>
      </c>
      <c r="Q351" s="57">
        <f>Boosters_And!B351/(C351+D351)</f>
        <v>0.629075251218866</v>
      </c>
      <c r="R351" s="57">
        <f>Boosters_And!N351/B351</f>
        <v>10.9554843137506</v>
      </c>
      <c r="S351" s="54">
        <v>6.83928571428571</v>
      </c>
      <c r="T351" s="58">
        <v>0.982142857142857</v>
      </c>
      <c r="U351" s="60">
        <v>3819.25</v>
      </c>
      <c r="V351" s="59">
        <v>16345</v>
      </c>
    </row>
    <row r="352" spans="1:22" s="168" customFormat="1" ht="22.500000" customHeight="1">
      <c r="A352" s="34">
        <v>350</v>
      </c>
      <c r="B352" s="49">
        <v>56</v>
      </c>
      <c r="C352" s="49">
        <v>56</v>
      </c>
      <c r="D352" s="49">
        <v>27</v>
      </c>
      <c r="E352" s="49">
        <v>2</v>
      </c>
      <c r="F352" s="50">
        <f>(C352*100)/B352</f>
        <v>100</v>
      </c>
      <c r="G352" s="156">
        <f>(D352*100)/B352</f>
        <v>48.2142857142857</v>
      </c>
      <c r="H352" s="152">
        <f>((B352-B353)/B352)*100</f>
        <v>1.78571428571429</v>
      </c>
      <c r="I352" s="152">
        <f>((B352-C352)/B352)*100</f>
        <v>0</v>
      </c>
      <c r="J352" s="152">
        <f>((C352-B353)/C352)*100</f>
        <v>1.78571428571429</v>
      </c>
      <c r="K352" s="155"/>
      <c r="L352" s="54">
        <v>1</v>
      </c>
      <c r="M352" s="80" t="s">
        <v>28</v>
      </c>
      <c r="N352" s="54">
        <v>0</v>
      </c>
      <c r="O352" s="56">
        <f>N352/C352</f>
        <v>0</v>
      </c>
      <c r="P352" s="57">
        <f>(Boosters_And!B352*100)/Boosters_And!N352</f>
        <v>12.1486419415544</v>
      </c>
      <c r="Q352" s="57">
        <f>Boosters_And!B352/(C352+D352)</f>
        <v>0.39391768428808</v>
      </c>
      <c r="R352" s="57">
        <f>Boosters_And!N352/B352</f>
        <v>4.80582344000774</v>
      </c>
      <c r="S352" s="54">
        <v>13.875</v>
      </c>
      <c r="T352" s="58">
        <v>0.660714285714286</v>
      </c>
      <c r="U352" s="60">
        <v>3747.73214285714</v>
      </c>
      <c r="V352" s="59">
        <v>22700</v>
      </c>
    </row>
    <row r="353" spans="1:22" s="168" customFormat="1" ht="22.500000" customHeight="1">
      <c r="A353" s="34">
        <v>351</v>
      </c>
      <c r="B353" s="49">
        <v>55</v>
      </c>
      <c r="C353" s="49">
        <v>55</v>
      </c>
      <c r="D353" s="49">
        <v>0</v>
      </c>
      <c r="E353" s="49">
        <v>0</v>
      </c>
      <c r="F353" s="50">
        <f>(C353*100)/B353</f>
        <v>100</v>
      </c>
      <c r="G353" s="156">
        <f>(D353*100)/B353</f>
        <v>0</v>
      </c>
      <c r="H353" s="152">
        <f>((B353-B354)/B353)*100</f>
        <v>5.45454545454545</v>
      </c>
      <c r="I353" s="152">
        <f>((B353-C353)/B353)*100</f>
        <v>0</v>
      </c>
      <c r="J353" s="152">
        <f>((C353-B354)/C353)*100</f>
        <v>5.45454545454545</v>
      </c>
      <c r="K353" s="155"/>
      <c r="L353" s="54">
        <v>1</v>
      </c>
      <c r="M353" s="79" t="s">
        <v>28</v>
      </c>
      <c r="N353" s="54">
        <v>0</v>
      </c>
      <c r="O353" s="56">
        <f>N353/C353</f>
        <v>0</v>
      </c>
      <c r="P353" s="57">
        <f>(Boosters_And!B353*100)/Boosters_And!N353</f>
        <v>0</v>
      </c>
      <c r="Q353" s="57">
        <f>Boosters_And!B353/(C353+D353)</f>
        <v>0</v>
      </c>
      <c r="R353" s="57">
        <f>Boosters_And!N353/B353</f>
        <v>2.43636363636364</v>
      </c>
      <c r="S353" s="54">
        <v>10.7636363636363</v>
      </c>
      <c r="T353" s="58">
        <v>0.472727272727273</v>
      </c>
      <c r="U353" s="60">
        <v>2233.25454545455</v>
      </c>
      <c r="V353" s="59">
        <v>28575</v>
      </c>
    </row>
    <row r="354" spans="1:22" s="168" customFormat="1" ht="22.500000" customHeight="1">
      <c r="A354" s="34">
        <v>352</v>
      </c>
      <c r="B354" s="49">
        <v>52</v>
      </c>
      <c r="C354" s="49">
        <v>51</v>
      </c>
      <c r="D354" s="49">
        <v>2</v>
      </c>
      <c r="E354" s="49">
        <v>1</v>
      </c>
      <c r="F354" s="50">
        <f>(C354*100)/B354</f>
        <v>98.0769230769231</v>
      </c>
      <c r="G354" s="156">
        <f>(D354*100)/B354</f>
        <v>3.84615384615385</v>
      </c>
      <c r="H354" s="152">
        <f>((B354-B355)/B354)*100</f>
        <v>-15.3846153846154</v>
      </c>
      <c r="I354" s="152">
        <f>((B354-C354)/B354)*100</f>
        <v>1.92307692307692</v>
      </c>
      <c r="J354" s="152">
        <f>((C354-B355)/C354)*100</f>
        <v>-17.6470588235294</v>
      </c>
      <c r="K354" s="155"/>
      <c r="L354" s="54">
        <v>1.01960784313725</v>
      </c>
      <c r="M354" s="80" t="s">
        <v>28</v>
      </c>
      <c r="N354" s="54">
        <v>0</v>
      </c>
      <c r="O354" s="56">
        <f>N354/C354</f>
        <v>0</v>
      </c>
      <c r="P354" s="57">
        <f>(Boosters_And!B354*100)/Boosters_And!N354</f>
        <v>0</v>
      </c>
      <c r="Q354" s="57">
        <f>Boosters_And!B354/(C354+D354)</f>
        <v>0</v>
      </c>
      <c r="R354" s="57">
        <f>Boosters_And!N354/B354</f>
        <v>2.62290754939014</v>
      </c>
      <c r="S354" s="54">
        <v>5.31372549019607</v>
      </c>
      <c r="T354" s="58">
        <v>0.411764705882353</v>
      </c>
      <c r="U354" s="60">
        <v>2472.62745098039</v>
      </c>
      <c r="V354" s="59">
        <v>32710</v>
      </c>
    </row>
    <row r="355" spans="1:22" s="168" customFormat="1" ht="22.500000" customHeight="1">
      <c r="A355" s="34">
        <v>353</v>
      </c>
      <c r="B355" s="49">
        <v>60</v>
      </c>
      <c r="C355" s="49">
        <v>43</v>
      </c>
      <c r="D355" s="49">
        <v>59</v>
      </c>
      <c r="E355" s="49">
        <v>48</v>
      </c>
      <c r="F355" s="50">
        <f>(C355*100)/B355</f>
        <v>71.6666666666667</v>
      </c>
      <c r="G355" s="156">
        <f>(D355*100)/B355</f>
        <v>98.3333333333333</v>
      </c>
      <c r="H355" s="152">
        <f>((B355-B356)/B355)*100</f>
        <v>28.3333333333333</v>
      </c>
      <c r="I355" s="152">
        <f>((B355-C355)/B355)*100</f>
        <v>28.3333333333333</v>
      </c>
      <c r="J355" s="152">
        <f>((C355-B356)/C355)*100</f>
        <v>0</v>
      </c>
      <c r="K355" s="155"/>
      <c r="L355" s="54">
        <v>1.69767441860465</v>
      </c>
      <c r="M355" s="81" t="s">
        <v>29</v>
      </c>
      <c r="N355" s="54">
        <v>24.8</v>
      </c>
      <c r="O355" s="56">
        <f>N355/C355</f>
        <v>0.576744186046512</v>
      </c>
      <c r="P355" s="57">
        <f>(Boosters_And!B355*100)/Boosters_And!N355</f>
        <v>15.9906794565324</v>
      </c>
      <c r="Q355" s="57">
        <f>Boosters_And!B355/(C355+D355)</f>
        <v>2.88014384655276</v>
      </c>
      <c r="R355" s="57">
        <f>Boosters_And!N355/B355</f>
        <v>30.6193651898858</v>
      </c>
      <c r="S355" s="54">
        <v>10.4651162790697</v>
      </c>
      <c r="T355" s="58">
        <v>1.27906976744186</v>
      </c>
      <c r="U355" s="60">
        <v>2566.83720930233</v>
      </c>
      <c r="V355" s="59">
        <v>14165</v>
      </c>
    </row>
    <row r="356" spans="1:22" s="168" customFormat="1" ht="22.500000" customHeight="1">
      <c r="A356" s="34">
        <v>354</v>
      </c>
      <c r="B356" s="49">
        <v>43</v>
      </c>
      <c r="C356" s="49">
        <v>42</v>
      </c>
      <c r="D356" s="49">
        <v>10</v>
      </c>
      <c r="E356" s="49">
        <v>1</v>
      </c>
      <c r="F356" s="50">
        <f>(C356*100)/B356</f>
        <v>97.6744186046512</v>
      </c>
      <c r="G356" s="156">
        <f>(D356*100)/B356</f>
        <v>23.2558139534884</v>
      </c>
      <c r="H356" s="152">
        <f>((B356-B357)/B356)*100</f>
        <v>-4.65116279069767</v>
      </c>
      <c r="I356" s="152">
        <f>((B356-C356)/B356)*100</f>
        <v>2.32558139534884</v>
      </c>
      <c r="J356" s="152">
        <f>((C356-B357)/C356)*100</f>
        <v>-7.14285714285714</v>
      </c>
      <c r="K356" s="155"/>
      <c r="L356" s="54">
        <v>1</v>
      </c>
      <c r="M356" s="80" t="s">
        <v>28</v>
      </c>
      <c r="N356" s="54">
        <v>0</v>
      </c>
      <c r="O356" s="56">
        <f>N356/C356</f>
        <v>0</v>
      </c>
      <c r="P356" s="57">
        <f>(Boosters_And!B356*100)/Boosters_And!N356</f>
        <v>14.318496920708</v>
      </c>
      <c r="Q356" s="57">
        <f>Boosters_And!B356/(C356+D356)</f>
        <v>0.62792283872715</v>
      </c>
      <c r="R356" s="57">
        <f>Boosters_And!N356/B356</f>
        <v>5.30326998262096</v>
      </c>
      <c r="S356" s="54">
        <v>9.71428571428571</v>
      </c>
      <c r="T356" s="58">
        <v>0.571428571428571</v>
      </c>
      <c r="U356" s="60">
        <v>2665.09523809524</v>
      </c>
      <c r="V356" s="59">
        <v>31880</v>
      </c>
    </row>
    <row r="357" spans="1:22" s="168" customFormat="1" ht="22.500000" customHeight="1">
      <c r="A357" s="34">
        <v>355</v>
      </c>
      <c r="B357" s="49">
        <v>45</v>
      </c>
      <c r="C357" s="49">
        <v>44</v>
      </c>
      <c r="D357" s="49">
        <v>38</v>
      </c>
      <c r="E357" s="49">
        <v>7</v>
      </c>
      <c r="F357" s="50">
        <f>(C357*100)/B357</f>
        <v>97.7777777777778</v>
      </c>
      <c r="G357" s="156">
        <f>(D357*100)/B357</f>
        <v>84.4444444444444</v>
      </c>
      <c r="H357" s="152">
        <f>((B357-B358)/B357)*100</f>
        <v>2.22222222222222</v>
      </c>
      <c r="I357" s="152">
        <f>((B357-C357)/B357)*100</f>
        <v>2.22222222222222</v>
      </c>
      <c r="J357" s="152">
        <f>((C357-B358)/C357)*100</f>
        <v>0</v>
      </c>
      <c r="K357" s="155"/>
      <c r="L357" s="54">
        <v>1.04545454545454</v>
      </c>
      <c r="M357" s="79" t="s">
        <v>28</v>
      </c>
      <c r="N357" s="54">
        <v>0</v>
      </c>
      <c r="O357" s="56">
        <f>N357/C357</f>
        <v>0</v>
      </c>
      <c r="P357" s="57">
        <f>(Boosters_And!B357*100)/Boosters_And!N357</f>
        <v>11.6671884519946</v>
      </c>
      <c r="Q357" s="57">
        <f>Boosters_And!B357/(C357+D357)</f>
        <v>0.68609680572023</v>
      </c>
      <c r="R357" s="57">
        <f>Boosters_And!N357/B357</f>
        <v>10.715699425986</v>
      </c>
      <c r="S357" s="54">
        <v>10</v>
      </c>
      <c r="T357" s="58">
        <v>0.818181818181818</v>
      </c>
      <c r="U357" s="60">
        <v>2437.25</v>
      </c>
      <c r="V357" s="59">
        <v>27760</v>
      </c>
    </row>
    <row r="358" spans="1:22" s="168" customFormat="1" ht="22.500000" customHeight="1">
      <c r="A358" s="34">
        <v>356</v>
      </c>
      <c r="B358" s="49">
        <v>44</v>
      </c>
      <c r="C358" s="49">
        <v>43</v>
      </c>
      <c r="D358" s="49">
        <v>43</v>
      </c>
      <c r="E358" s="49">
        <v>8</v>
      </c>
      <c r="F358" s="50">
        <f>(C358*100)/B358</f>
        <v>97.7272727272727</v>
      </c>
      <c r="G358" s="156">
        <f>(D358*100)/B358</f>
        <v>97.7272727272727</v>
      </c>
      <c r="H358" s="152">
        <f>((B358-B359)/B358)*100</f>
        <v>-2.27272727272727</v>
      </c>
      <c r="I358" s="152">
        <f>((B358-C358)/B358)*100</f>
        <v>2.27272727272727</v>
      </c>
      <c r="J358" s="152">
        <f>((C358-B359)/C358)*100</f>
        <v>-4.65116279069767</v>
      </c>
      <c r="K358" s="155"/>
      <c r="L358" s="54">
        <v>1</v>
      </c>
      <c r="M358" s="80" t="s">
        <v>28</v>
      </c>
      <c r="N358" s="54">
        <v>6.49</v>
      </c>
      <c r="O358" s="56">
        <f>N358/C358</f>
        <v>0.15093023255814</v>
      </c>
      <c r="P358" s="57">
        <f>(Boosters_And!B358*100)/Boosters_And!N358</f>
        <v>30.7664806423869</v>
      </c>
      <c r="Q358" s="57">
        <f>Boosters_And!B358/(C358+D358)</f>
        <v>1.30482609225614</v>
      </c>
      <c r="R358" s="57">
        <f>Boosters_And!N358/B358</f>
        <v>8.28935209468824</v>
      </c>
      <c r="S358" s="54">
        <v>6.37209302325581</v>
      </c>
      <c r="T358" s="58">
        <v>0.953488372093023</v>
      </c>
      <c r="U358" s="60">
        <v>2595.09302325581</v>
      </c>
      <c r="V358" s="59">
        <v>20425</v>
      </c>
    </row>
    <row r="359" spans="1:22" s="168" customFormat="1" ht="22.500000" customHeight="1">
      <c r="A359" s="34">
        <v>357</v>
      </c>
      <c r="B359" s="49">
        <v>45</v>
      </c>
      <c r="C359" s="49">
        <v>42</v>
      </c>
      <c r="D359" s="49">
        <v>45</v>
      </c>
      <c r="E359" s="49">
        <v>17</v>
      </c>
      <c r="F359" s="50">
        <f>(C359*100)/B359</f>
        <v>93.3333333333333</v>
      </c>
      <c r="G359" s="156">
        <f>(D359*100)/B359</f>
        <v>100</v>
      </c>
      <c r="H359" s="152">
        <f>((B359-B360)/B359)*100</f>
        <v>11.1111111111111</v>
      </c>
      <c r="I359" s="152">
        <f>((B359-C359)/B359)*100</f>
        <v>6.66666666666667</v>
      </c>
      <c r="J359" s="152">
        <f>((C359-B360)/C359)*100</f>
        <v>4.76190476190476</v>
      </c>
      <c r="K359" s="155"/>
      <c r="L359" s="54">
        <v>1.45238095238095</v>
      </c>
      <c r="M359" s="83" t="s">
        <v>30</v>
      </c>
      <c r="N359" s="54">
        <v>10.98</v>
      </c>
      <c r="O359" s="56">
        <f>N359/C359</f>
        <v>0.261428571428571</v>
      </c>
      <c r="P359" s="57">
        <f>(Boosters_And!B359*100)/Boosters_And!N359</f>
        <v>15.1281091622632</v>
      </c>
      <c r="Q359" s="57">
        <f>Boosters_And!B359/(C359+D359)</f>
        <v>1.21936375185363</v>
      </c>
      <c r="R359" s="57">
        <f>Boosters_And!N359/B359</f>
        <v>15.5831542569617</v>
      </c>
      <c r="S359" s="54">
        <v>11.2619047619047</v>
      </c>
      <c r="T359" s="58">
        <v>1.04761904761905</v>
      </c>
      <c r="U359" s="60">
        <v>2508.78571428571</v>
      </c>
      <c r="V359" s="59">
        <v>14765</v>
      </c>
    </row>
    <row r="360" spans="1:22" s="168" customFormat="1" ht="22.500000" customHeight="1">
      <c r="A360" s="34">
        <v>358</v>
      </c>
      <c r="B360" s="49">
        <v>40</v>
      </c>
      <c r="C360" s="49">
        <v>39</v>
      </c>
      <c r="D360" s="49">
        <v>20</v>
      </c>
      <c r="E360" s="49">
        <v>4</v>
      </c>
      <c r="F360" s="50">
        <f>(C360*100)/B360</f>
        <v>97.5</v>
      </c>
      <c r="G360" s="156">
        <f>(D360*100)/B360</f>
        <v>50</v>
      </c>
      <c r="H360" s="152">
        <f>((B360-B361)/B360)*100</f>
        <v>0</v>
      </c>
      <c r="I360" s="152">
        <f>((B360-C360)/B360)*100</f>
        <v>2.5</v>
      </c>
      <c r="J360" s="152">
        <f>((C360-B361)/C360)*100</f>
        <v>-2.56410256410256</v>
      </c>
      <c r="K360" s="155"/>
      <c r="L360" s="54">
        <v>1.02564102564102</v>
      </c>
      <c r="M360" s="80" t="s">
        <v>28</v>
      </c>
      <c r="N360" s="54">
        <v>0</v>
      </c>
      <c r="O360" s="56">
        <f>N360/C360</f>
        <v>0</v>
      </c>
      <c r="P360" s="57">
        <f>(Boosters_And!B360*100)/Boosters_And!N360</f>
        <v>6.8682105442847</v>
      </c>
      <c r="Q360" s="57">
        <f>Boosters_And!B360/(C360+D360)</f>
        <v>0.356664070883031</v>
      </c>
      <c r="R360" s="57">
        <f>Boosters_And!N360/B360</f>
        <v>7.65962984332566</v>
      </c>
      <c r="S360" s="54">
        <v>8.38461538461538</v>
      </c>
      <c r="T360" s="58">
        <v>0.743589743589744</v>
      </c>
      <c r="U360" s="60">
        <v>2763.05128205128</v>
      </c>
      <c r="V360" s="59">
        <v>21885</v>
      </c>
    </row>
    <row r="361" spans="1:22" s="168" customFormat="1" ht="22.500000" customHeight="1">
      <c r="A361" s="34">
        <v>359</v>
      </c>
      <c r="B361" s="49">
        <v>40</v>
      </c>
      <c r="C361" s="49">
        <v>40</v>
      </c>
      <c r="D361" s="49">
        <v>26</v>
      </c>
      <c r="E361" s="49">
        <v>5</v>
      </c>
      <c r="F361" s="50">
        <f>(C361*100)/B361</f>
        <v>100</v>
      </c>
      <c r="G361" s="156">
        <f>(D361*100)/B361</f>
        <v>65</v>
      </c>
      <c r="H361" s="152">
        <f>((B361-B362)/B361)*100</f>
        <v>0</v>
      </c>
      <c r="I361" s="152">
        <f>((B361-C361)/B361)*100</f>
        <v>0</v>
      </c>
      <c r="J361" s="152">
        <f>((C361-B362)/C361)*100</f>
        <v>0</v>
      </c>
      <c r="K361" s="155"/>
      <c r="L361" s="54">
        <v>1</v>
      </c>
      <c r="M361" s="79" t="s">
        <v>28</v>
      </c>
      <c r="N361" s="54">
        <v>0</v>
      </c>
      <c r="O361" s="56">
        <f>N361/C361</f>
        <v>0</v>
      </c>
      <c r="P361" s="57">
        <f>(Boosters_And!B361*100)/Boosters_And!N361</f>
        <v>10.4123676856475</v>
      </c>
      <c r="Q361" s="57">
        <f>Boosters_And!B361/(C361+D361)</f>
        <v>0.554011670805277</v>
      </c>
      <c r="R361" s="57">
        <f>Boosters_And!N361/B361</f>
        <v>8.77916804732837</v>
      </c>
      <c r="S361" s="54">
        <v>25.85</v>
      </c>
      <c r="T361" s="58">
        <v>0.825</v>
      </c>
      <c r="U361" s="60">
        <v>2688.975</v>
      </c>
      <c r="V361" s="59">
        <v>24230</v>
      </c>
    </row>
    <row r="362" spans="1:22" s="168" customFormat="1" ht="22.500000" customHeight="1">
      <c r="A362" s="34">
        <v>360</v>
      </c>
      <c r="B362" s="49">
        <v>40</v>
      </c>
      <c r="C362" s="49">
        <v>38</v>
      </c>
      <c r="D362" s="49">
        <v>18</v>
      </c>
      <c r="E362" s="49">
        <v>3</v>
      </c>
      <c r="F362" s="50">
        <f>(C362*100)/B362</f>
        <v>95</v>
      </c>
      <c r="G362" s="156">
        <f>(D362*100)/B362</f>
        <v>45</v>
      </c>
      <c r="H362" s="152">
        <f>((B362-B363)/B362)*100</f>
        <v>2.5</v>
      </c>
      <c r="I362" s="152">
        <f>((B362-C362)/B362)*100</f>
        <v>5</v>
      </c>
      <c r="J362" s="152">
        <f>((C362-B363)/C362)*100</f>
        <v>-2.63157894736842</v>
      </c>
      <c r="K362" s="155"/>
      <c r="L362" s="54">
        <v>1</v>
      </c>
      <c r="M362" s="80" t="s">
        <v>28</v>
      </c>
      <c r="N362" s="54">
        <v>0</v>
      </c>
      <c r="O362" s="56">
        <f>N362/C362</f>
        <v>0</v>
      </c>
      <c r="P362" s="57">
        <f>(Boosters_And!B362*100)/Boosters_And!N362</f>
        <v>10.6781459577895</v>
      </c>
      <c r="Q362" s="57">
        <f>Boosters_And!B362/(C362+D362)</f>
        <v>0.701856700493278</v>
      </c>
      <c r="R362" s="57">
        <f>Boosters_And!N362/B362</f>
        <v>9.20196618940011</v>
      </c>
      <c r="S362" s="54">
        <v>6.6578947368421</v>
      </c>
      <c r="T362" s="58">
        <v>0.815789473684211</v>
      </c>
      <c r="U362" s="60">
        <v>2874.18421052632</v>
      </c>
      <c r="V362" s="59">
        <v>27430</v>
      </c>
    </row>
    <row r="363" spans="1:22" s="168" customFormat="1" ht="22.500000" customHeight="1">
      <c r="A363" s="34">
        <v>361</v>
      </c>
      <c r="B363" s="49">
        <v>39</v>
      </c>
      <c r="C363" s="49">
        <v>37</v>
      </c>
      <c r="D363" s="49">
        <v>38</v>
      </c>
      <c r="E363" s="49">
        <v>4</v>
      </c>
      <c r="F363" s="50">
        <f>(C363*100)/B363</f>
        <v>94.8717948717949</v>
      </c>
      <c r="G363" s="156">
        <f>(D363*100)/B363</f>
        <v>97.4358974358974</v>
      </c>
      <c r="H363" s="152">
        <f>((B363-B364)/B363)*100</f>
        <v>2.56410256410256</v>
      </c>
      <c r="I363" s="152">
        <f>((B363-C363)/B363)*100</f>
        <v>5.12820512820513</v>
      </c>
      <c r="J363" s="152">
        <f>((C363-B364)/C363)*100</f>
        <v>-2.7027027027027</v>
      </c>
      <c r="K363" s="155"/>
      <c r="L363" s="54">
        <v>1</v>
      </c>
      <c r="M363" s="79" t="s">
        <v>28</v>
      </c>
      <c r="N363" s="54">
        <v>0</v>
      </c>
      <c r="O363" s="56">
        <f>N363/C363</f>
        <v>0</v>
      </c>
      <c r="P363" s="57">
        <f>(Boosters_And!B363*100)/Boosters_And!N363</f>
        <v>1.26470833407729</v>
      </c>
      <c r="Q363" s="57">
        <f>Boosters_And!B363/(C363+D363)</f>
        <v>0.0585492342438276</v>
      </c>
      <c r="R363" s="57">
        <f>Boosters_And!N363/B363</f>
        <v>8.90281800192907</v>
      </c>
      <c r="S363" s="54">
        <v>8.83783783783783</v>
      </c>
      <c r="T363" s="58">
        <v>1.02702702702703</v>
      </c>
      <c r="U363" s="60">
        <v>2851.72972972973</v>
      </c>
      <c r="V363" s="59">
        <v>24350</v>
      </c>
    </row>
    <row r="364" spans="1:22" s="168" customFormat="1" ht="22.500000" customHeight="1">
      <c r="A364" s="34">
        <v>362</v>
      </c>
      <c r="B364" s="49">
        <v>38</v>
      </c>
      <c r="C364" s="49">
        <v>37</v>
      </c>
      <c r="D364" s="49">
        <v>37</v>
      </c>
      <c r="E364" s="49">
        <v>5</v>
      </c>
      <c r="F364" s="50">
        <f>(C364*100)/B364</f>
        <v>97.3684210526316</v>
      </c>
      <c r="G364" s="156">
        <f>(D364*100)/B364</f>
        <v>97.3684210526316</v>
      </c>
      <c r="H364" s="152">
        <f>((B364-B365)/B364)*100</f>
        <v>-2.63157894736842</v>
      </c>
      <c r="I364" s="152">
        <f>((B364-C364)/B364)*100</f>
        <v>2.63157894736842</v>
      </c>
      <c r="J364" s="152">
        <f>((C364-B365)/C364)*100</f>
        <v>-5.40540540540541</v>
      </c>
      <c r="K364" s="155"/>
      <c r="L364" s="54">
        <v>1.08108108108108</v>
      </c>
      <c r="M364" s="82" t="s">
        <v>29</v>
      </c>
      <c r="N364" s="54">
        <v>0</v>
      </c>
      <c r="O364" s="56">
        <f>N364/C364</f>
        <v>0</v>
      </c>
      <c r="P364" s="57">
        <f>(Boosters_And!B364*100)/Boosters_And!N364</f>
        <v>13.6987487776158</v>
      </c>
      <c r="Q364" s="57">
        <f>Boosters_And!B364/(C364+D364)</f>
        <v>0.622788653570239</v>
      </c>
      <c r="R364" s="57">
        <f>Boosters_And!N364/B364</f>
        <v>8.85335570891209</v>
      </c>
      <c r="S364" s="54">
        <v>8.18918918918919</v>
      </c>
      <c r="T364" s="58">
        <v>1.08108108108108</v>
      </c>
      <c r="U364" s="60">
        <v>2816.72972972973</v>
      </c>
      <c r="V364" s="59">
        <v>22515</v>
      </c>
    </row>
    <row r="365" spans="1:22" s="168" customFormat="1" ht="22.500000" customHeight="1">
      <c r="A365" s="34">
        <v>363</v>
      </c>
      <c r="B365" s="49">
        <v>39</v>
      </c>
      <c r="C365" s="49">
        <v>37</v>
      </c>
      <c r="D365" s="49">
        <v>32</v>
      </c>
      <c r="E365" s="49">
        <v>5</v>
      </c>
      <c r="F365" s="50">
        <f>(C365*100)/B365</f>
        <v>94.8717948717949</v>
      </c>
      <c r="G365" s="156">
        <f>(D365*100)/B365</f>
        <v>82.0512820512821</v>
      </c>
      <c r="H365" s="152">
        <f>((B365-B366)/B365)*100</f>
        <v>0</v>
      </c>
      <c r="I365" s="152">
        <f>((B365-C365)/B365)*100</f>
        <v>5.12820512820513</v>
      </c>
      <c r="J365" s="152">
        <f>((C365-B366)/C365)*100</f>
        <v>-5.40540540540541</v>
      </c>
      <c r="K365" s="155"/>
      <c r="L365" s="54">
        <v>1.02702702702702</v>
      </c>
      <c r="M365" s="79" t="s">
        <v>28</v>
      </c>
      <c r="N365" s="54">
        <v>0</v>
      </c>
      <c r="O365" s="56">
        <f>N365/C365</f>
        <v>0</v>
      </c>
      <c r="P365" s="57">
        <f>(Boosters_And!B365*100)/Boosters_And!N365</f>
        <v>15.4582490207496</v>
      </c>
      <c r="Q365" s="57">
        <f>Boosters_And!B365/(C365+D365)</f>
        <v>0.72273544204017</v>
      </c>
      <c r="R365" s="57">
        <f>Boosters_And!N365/B365</f>
        <v>8.27186688708852</v>
      </c>
      <c r="S365" s="54">
        <v>7.51351351351351</v>
      </c>
      <c r="T365" s="58">
        <v>0.945945945945946</v>
      </c>
      <c r="U365" s="60">
        <v>3061.72972972973</v>
      </c>
      <c r="V365" s="59">
        <v>21240</v>
      </c>
    </row>
    <row r="366" spans="1:22" s="168" customFormat="1" ht="22.500000" customHeight="1">
      <c r="A366" s="34">
        <v>364</v>
      </c>
      <c r="B366" s="49">
        <v>39</v>
      </c>
      <c r="C366" s="49">
        <v>37</v>
      </c>
      <c r="D366" s="49">
        <v>38</v>
      </c>
      <c r="E366" s="49">
        <v>8</v>
      </c>
      <c r="F366" s="50">
        <f>(C366*100)/B366</f>
        <v>94.8717948717949</v>
      </c>
      <c r="G366" s="156">
        <f>(D366*100)/B366</f>
        <v>97.4358974358974</v>
      </c>
      <c r="H366" s="152">
        <f>((B366-B367)/B366)*100</f>
        <v>0</v>
      </c>
      <c r="I366" s="152">
        <f>((B366-C366)/B366)*100</f>
        <v>5.12820512820513</v>
      </c>
      <c r="J366" s="152">
        <f>((C366-B367)/C366)*100</f>
        <v>-5.40540540540541</v>
      </c>
      <c r="K366" s="155"/>
      <c r="L366" s="54">
        <v>1.05405405405405</v>
      </c>
      <c r="M366" s="82" t="s">
        <v>29</v>
      </c>
      <c r="N366" s="54">
        <v>0</v>
      </c>
      <c r="O366" s="56">
        <f>N366/C366</f>
        <v>0</v>
      </c>
      <c r="P366" s="57">
        <f>(Boosters_And!B366*100)/Boosters_And!N366</f>
        <v>17.3553895056551</v>
      </c>
      <c r="Q366" s="57">
        <f>Boosters_And!B366/(C366+D366)</f>
        <v>1.08114004516976</v>
      </c>
      <c r="R366" s="57">
        <f>Boosters_And!N366/B366</f>
        <v>11.97965318383</v>
      </c>
      <c r="S366" s="54">
        <v>4.86486486486486</v>
      </c>
      <c r="T366" s="58">
        <v>1</v>
      </c>
      <c r="U366" s="60">
        <v>2975.78378378378</v>
      </c>
      <c r="V366" s="59">
        <v>15190</v>
      </c>
    </row>
    <row r="367" spans="1:22" s="168" customFormat="1" ht="22.500000" customHeight="1">
      <c r="A367" s="34">
        <v>365</v>
      </c>
      <c r="B367" s="49">
        <v>39</v>
      </c>
      <c r="C367" s="49">
        <v>39</v>
      </c>
      <c r="D367" s="49">
        <v>17</v>
      </c>
      <c r="E367" s="49">
        <v>3</v>
      </c>
      <c r="F367" s="50">
        <f>(C367*100)/B367</f>
        <v>100</v>
      </c>
      <c r="G367" s="156">
        <f>(D367*100)/B367</f>
        <v>43.5897435897436</v>
      </c>
      <c r="H367" s="152">
        <f>((B367-B368)/B367)*100</f>
        <v>0</v>
      </c>
      <c r="I367" s="152">
        <f>((B367-C367)/B367)*100</f>
        <v>0</v>
      </c>
      <c r="J367" s="152">
        <f>((C367-B368)/C367)*100</f>
        <v>0</v>
      </c>
      <c r="K367" s="155"/>
      <c r="L367" s="54">
        <v>1</v>
      </c>
      <c r="M367" s="81" t="s">
        <v>29</v>
      </c>
      <c r="N367" s="54">
        <v>12.99</v>
      </c>
      <c r="O367" s="56">
        <f>N367/C367</f>
        <v>0.333076923076923</v>
      </c>
      <c r="P367" s="57">
        <f>(Boosters_And!B367*100)/Boosters_And!N367</f>
        <v>14.3467970571863</v>
      </c>
      <c r="Q367" s="57">
        <f>Boosters_And!B367/(C367+D367)</f>
        <v>0.730585404631009</v>
      </c>
      <c r="R367" s="57">
        <f>Boosters_And!N367/B367</f>
        <v>7.31205512305123</v>
      </c>
      <c r="S367" s="54">
        <v>4.84615384615384</v>
      </c>
      <c r="T367" s="58">
        <v>0.743589743589744</v>
      </c>
      <c r="U367" s="60">
        <v>3107.66666666667</v>
      </c>
      <c r="V367" s="59">
        <v>16800</v>
      </c>
    </row>
    <row r="368" spans="1:22" s="168" customFormat="1" ht="22.500000" customHeight="1">
      <c r="A368" s="34">
        <v>366</v>
      </c>
      <c r="B368" s="49">
        <v>39</v>
      </c>
      <c r="C368" s="49">
        <v>39</v>
      </c>
      <c r="D368" s="49">
        <v>37</v>
      </c>
      <c r="E368" s="49">
        <v>0</v>
      </c>
      <c r="F368" s="50">
        <f>(C368*100)/B368</f>
        <v>100</v>
      </c>
      <c r="G368" s="156">
        <f>(D368*100)/B368</f>
        <v>94.8717948717949</v>
      </c>
      <c r="H368" s="152">
        <f>((B368-B369)/B368)*100</f>
        <v>2.56410256410256</v>
      </c>
      <c r="I368" s="152">
        <f>((B368-C368)/B368)*100</f>
        <v>0</v>
      </c>
      <c r="J368" s="152">
        <f>((C368-B369)/C368)*100</f>
        <v>2.56410256410256</v>
      </c>
      <c r="K368" s="155"/>
      <c r="L368" s="54">
        <v>1</v>
      </c>
      <c r="M368" s="80" t="s">
        <v>28</v>
      </c>
      <c r="N368" s="54">
        <v>0</v>
      </c>
      <c r="O368" s="56">
        <f>N368/C368</f>
        <v>0</v>
      </c>
      <c r="P368" s="57">
        <f>(Boosters_And!B368*100)/Boosters_And!N368</f>
        <v>5.66546147752913</v>
      </c>
      <c r="Q368" s="57">
        <f>Boosters_And!B368/(C368+D368)</f>
        <v>0.252283917169226</v>
      </c>
      <c r="R368" s="57">
        <f>Boosters_And!N368/B368</f>
        <v>8.67767258696387</v>
      </c>
      <c r="S368" s="54">
        <v>9.3076923076923</v>
      </c>
      <c r="T368" s="58">
        <v>0.923076923076923</v>
      </c>
      <c r="U368" s="60">
        <v>3044.20512820513</v>
      </c>
      <c r="V368" s="59">
        <v>19325</v>
      </c>
    </row>
    <row r="369" spans="1:22" s="168" customFormat="1" ht="22.500000" customHeight="1">
      <c r="A369" s="34">
        <v>367</v>
      </c>
      <c r="B369" s="49">
        <v>38</v>
      </c>
      <c r="C369" s="49">
        <v>36</v>
      </c>
      <c r="D369" s="49">
        <v>28</v>
      </c>
      <c r="E369" s="49">
        <v>7</v>
      </c>
      <c r="F369" s="50">
        <f>(C369*100)/B369</f>
        <v>94.7368421052632</v>
      </c>
      <c r="G369" s="156">
        <f>(D369*100)/B369</f>
        <v>73.6842105263158</v>
      </c>
      <c r="H369" s="152">
        <f>((B369-B370)/B369)*100</f>
        <v>0</v>
      </c>
      <c r="I369" s="152">
        <f>((B369-C369)/B369)*100</f>
        <v>5.26315789473684</v>
      </c>
      <c r="J369" s="152">
        <f>((C369-B370)/C369)*100</f>
        <v>-5.55555555555556</v>
      </c>
      <c r="K369" s="155"/>
      <c r="L369" s="54">
        <v>1.22222222222222</v>
      </c>
      <c r="M369" s="79" t="s">
        <v>28</v>
      </c>
      <c r="N369" s="54">
        <v>0</v>
      </c>
      <c r="O369" s="56">
        <f>N369/C369</f>
        <v>0</v>
      </c>
      <c r="P369" s="57">
        <f>(Boosters_And!B369*100)/Boosters_And!N369</f>
        <v>15.1738028707397</v>
      </c>
      <c r="Q369" s="57">
        <f>Boosters_And!B369/(C369+D369)</f>
        <v>0.815886841983749</v>
      </c>
      <c r="R369" s="57">
        <f>Boosters_And!N369/B369</f>
        <v>9.05590522861845</v>
      </c>
      <c r="S369" s="54">
        <v>29.6944444444444</v>
      </c>
      <c r="T369" s="58">
        <v>0.944444444444444</v>
      </c>
      <c r="U369" s="60">
        <v>3260.38888888889</v>
      </c>
      <c r="V369" s="59">
        <v>26365</v>
      </c>
    </row>
    <row r="370" spans="1:22" s="168" customFormat="1" ht="22.500000" customHeight="1">
      <c r="A370" s="34">
        <v>368</v>
      </c>
      <c r="B370" s="49">
        <v>38</v>
      </c>
      <c r="C370" s="49">
        <v>37</v>
      </c>
      <c r="D370" s="49">
        <v>32</v>
      </c>
      <c r="E370" s="49">
        <v>6</v>
      </c>
      <c r="F370" s="50">
        <f>(C370*100)/B370</f>
        <v>97.3684210526316</v>
      </c>
      <c r="G370" s="156">
        <f>(D370*100)/B370</f>
        <v>84.2105263157895</v>
      </c>
      <c r="H370" s="152">
        <f>((B370-B371)/B370)*100</f>
        <v>0</v>
      </c>
      <c r="I370" s="152">
        <f>((B370-C370)/B370)*100</f>
        <v>2.63157894736842</v>
      </c>
      <c r="J370" s="152">
        <f>((C370-B371)/C370)*100</f>
        <v>-2.7027027027027</v>
      </c>
      <c r="K370" s="155"/>
      <c r="L370" s="54">
        <v>1.1081081081081</v>
      </c>
      <c r="M370" s="82" t="s">
        <v>29</v>
      </c>
      <c r="N370" s="54">
        <v>0</v>
      </c>
      <c r="O370" s="56">
        <f>N370/C370</f>
        <v>0</v>
      </c>
      <c r="P370" s="57">
        <f>(Boosters_And!B370*100)/Boosters_And!N370</f>
        <v>12.252969224261</v>
      </c>
      <c r="Q370" s="57">
        <f>Boosters_And!B370/(C370+D370)</f>
        <v>0.906097581370776</v>
      </c>
      <c r="R370" s="57">
        <f>Boosters_And!N370/B370</f>
        <v>13.4276224829334</v>
      </c>
      <c r="S370" s="54">
        <v>7.02702702702702</v>
      </c>
      <c r="T370" s="58">
        <v>0.918918918918919</v>
      </c>
      <c r="U370" s="60">
        <v>3099.16216216216</v>
      </c>
      <c r="V370" s="59">
        <v>21275</v>
      </c>
    </row>
    <row r="371" spans="1:22" s="168" customFormat="1" ht="22.500000" customHeight="1">
      <c r="A371" s="34">
        <v>369</v>
      </c>
      <c r="B371" s="49">
        <v>38</v>
      </c>
      <c r="C371" s="49">
        <v>38</v>
      </c>
      <c r="D371" s="49">
        <v>38</v>
      </c>
      <c r="E371" s="49">
        <v>5</v>
      </c>
      <c r="F371" s="50">
        <f>(C371*100)/B371</f>
        <v>100</v>
      </c>
      <c r="G371" s="156">
        <f>(D371*100)/B371</f>
        <v>100</v>
      </c>
      <c r="H371" s="152">
        <f>((B371-B372)/B371)*100</f>
        <v>0</v>
      </c>
      <c r="I371" s="152">
        <f>((B371-C371)/B371)*100</f>
        <v>0</v>
      </c>
      <c r="J371" s="152">
        <f>((C371-B372)/C371)*100</f>
        <v>0</v>
      </c>
      <c r="K371" s="155"/>
      <c r="L371" s="54">
        <v>1</v>
      </c>
      <c r="M371" s="81" t="s">
        <v>29</v>
      </c>
      <c r="N371" s="54">
        <v>0</v>
      </c>
      <c r="O371" s="56">
        <f>N371/C371</f>
        <v>0</v>
      </c>
      <c r="P371" s="57">
        <f>(Boosters_And!B371*100)/Boosters_And!N371</f>
        <v>13.3639692142666</v>
      </c>
      <c r="Q371" s="57">
        <f>Boosters_And!B371/(C371+D371)</f>
        <v>0.732251718912446</v>
      </c>
      <c r="R371" s="57">
        <f>Boosters_And!N371/B371</f>
        <v>10.9585963147945</v>
      </c>
      <c r="S371" s="54">
        <v>7.10526315789473</v>
      </c>
      <c r="T371" s="58">
        <v>1</v>
      </c>
      <c r="U371" s="60">
        <v>2960.89473684211</v>
      </c>
      <c r="V371" s="59">
        <v>23190</v>
      </c>
    </row>
    <row r="372" spans="1:22" s="168" customFormat="1" ht="22.500000" customHeight="1">
      <c r="A372" s="34">
        <v>370</v>
      </c>
      <c r="B372" s="49">
        <v>38</v>
      </c>
      <c r="C372" s="49">
        <v>38</v>
      </c>
      <c r="D372" s="49">
        <v>41</v>
      </c>
      <c r="E372" s="49">
        <v>6</v>
      </c>
      <c r="F372" s="50">
        <f>(C372*100)/B372</f>
        <v>100</v>
      </c>
      <c r="G372" s="156">
        <f>(D372*100)/B372</f>
        <v>107.894736842105</v>
      </c>
      <c r="H372" s="152">
        <f>((B372-B373)/B372)*100</f>
        <v>2.63157894736842</v>
      </c>
      <c r="I372" s="152">
        <f>((B372-C372)/B372)*100</f>
        <v>0</v>
      </c>
      <c r="J372" s="152">
        <f>((C372-B373)/C372)*100</f>
        <v>2.63157894736842</v>
      </c>
      <c r="K372" s="155"/>
      <c r="L372" s="54">
        <v>1.18421052631578</v>
      </c>
      <c r="M372" s="82" t="s">
        <v>29</v>
      </c>
      <c r="N372" s="54">
        <v>0</v>
      </c>
      <c r="O372" s="56">
        <f>N372/C372</f>
        <v>0</v>
      </c>
      <c r="P372" s="57">
        <f>(Boosters_And!B372*100)/Boosters_And!N372</f>
        <v>9.90605152290846</v>
      </c>
      <c r="Q372" s="57">
        <f>Boosters_And!B372/(C372+D372)</f>
        <v>0.60868810587592</v>
      </c>
      <c r="R372" s="57">
        <f>Boosters_And!N372/B372</f>
        <v>12.774318132442</v>
      </c>
      <c r="S372" s="54">
        <v>10.3684210526315</v>
      </c>
      <c r="T372" s="58">
        <v>0.973684210526316</v>
      </c>
      <c r="U372" s="60">
        <v>2870.23684210526</v>
      </c>
      <c r="V372" s="59">
        <v>18770</v>
      </c>
    </row>
    <row r="373" spans="1:22" s="168" customFormat="1" ht="22.500000" customHeight="1">
      <c r="A373" s="34">
        <v>371</v>
      </c>
      <c r="B373" s="49">
        <v>37</v>
      </c>
      <c r="C373" s="49">
        <v>37</v>
      </c>
      <c r="D373" s="49">
        <v>19</v>
      </c>
      <c r="E373" s="49">
        <v>2</v>
      </c>
      <c r="F373" s="50">
        <f>(C373*100)/B373</f>
        <v>100</v>
      </c>
      <c r="G373" s="156">
        <f>(D373*100)/B373</f>
        <v>51.3513513513514</v>
      </c>
      <c r="H373" s="152">
        <f>((B373-B374)/B373)*100</f>
        <v>0</v>
      </c>
      <c r="I373" s="152">
        <f>((B373-C373)/B373)*100</f>
        <v>0</v>
      </c>
      <c r="J373" s="152">
        <f>((C373-B374)/C373)*100</f>
        <v>0</v>
      </c>
      <c r="K373" s="155"/>
      <c r="L373" s="54">
        <v>1.02702702702702</v>
      </c>
      <c r="M373" s="79" t="s">
        <v>28</v>
      </c>
      <c r="N373" s="54">
        <v>0</v>
      </c>
      <c r="O373" s="56">
        <f>N373/C373</f>
        <v>0</v>
      </c>
      <c r="P373" s="57">
        <f>(Boosters_And!B373*100)/Boosters_And!N373</f>
        <v>7.36680774685553</v>
      </c>
      <c r="Q373" s="57">
        <f>Boosters_And!B373/(C373+D373)</f>
        <v>0.328414153005126</v>
      </c>
      <c r="R373" s="57">
        <f>Boosters_And!N373/B373</f>
        <v>6.7472815320112</v>
      </c>
      <c r="S373" s="54">
        <v>12.1351351351351</v>
      </c>
      <c r="T373" s="58">
        <v>0.756756756756757</v>
      </c>
      <c r="U373" s="60">
        <v>2959.43243243243</v>
      </c>
      <c r="V373" s="59">
        <v>20465</v>
      </c>
    </row>
    <row r="374" spans="1:22" s="168" customFormat="1" ht="22.500000" customHeight="1">
      <c r="A374" s="34">
        <v>372</v>
      </c>
      <c r="B374" s="49">
        <v>37</v>
      </c>
      <c r="C374" s="49">
        <v>37</v>
      </c>
      <c r="D374" s="49">
        <v>27</v>
      </c>
      <c r="E374" s="49">
        <v>5</v>
      </c>
      <c r="F374" s="50">
        <f>(C374*100)/B374</f>
        <v>100</v>
      </c>
      <c r="G374" s="156">
        <f>(D374*100)/B374</f>
        <v>72.972972972973</v>
      </c>
      <c r="H374" s="152">
        <f>((B374-B375)/B374)*100</f>
        <v>-2.7027027027027</v>
      </c>
      <c r="I374" s="152">
        <f>((B374-C374)/B374)*100</f>
        <v>0</v>
      </c>
      <c r="J374" s="152">
        <f>((C374-B375)/C374)*100</f>
        <v>-2.7027027027027</v>
      </c>
      <c r="K374" s="155"/>
      <c r="L374" s="54">
        <v>1</v>
      </c>
      <c r="M374" s="80" t="s">
        <v>28</v>
      </c>
      <c r="N374" s="54">
        <v>6.49</v>
      </c>
      <c r="O374" s="56">
        <f>N374/C374</f>
        <v>0.175405405405405</v>
      </c>
      <c r="P374" s="57">
        <f>(Boosters_And!B374*100)/Boosters_And!N374</f>
        <v>6.6922662099726</v>
      </c>
      <c r="Q374" s="57">
        <f>Boosters_And!B374/(C374+D374)</f>
        <v>0.391299690345295</v>
      </c>
      <c r="R374" s="57">
        <f>Boosters_And!N374/B374</f>
        <v>10.1138042986946</v>
      </c>
      <c r="S374" s="54">
        <v>6.45945945945946</v>
      </c>
      <c r="T374" s="58">
        <v>0.837837837837838</v>
      </c>
      <c r="U374" s="60">
        <v>3057.67567567568</v>
      </c>
      <c r="V374" s="59">
        <v>23145</v>
      </c>
    </row>
    <row r="375" spans="1:22" s="168" customFormat="1" ht="22.500000" customHeight="1">
      <c r="A375" s="34">
        <v>373</v>
      </c>
      <c r="B375" s="49">
        <v>38</v>
      </c>
      <c r="C375" s="49">
        <v>38</v>
      </c>
      <c r="D375" s="49">
        <v>35</v>
      </c>
      <c r="E375" s="49">
        <v>8</v>
      </c>
      <c r="F375" s="50">
        <f>(C375*100)/B375</f>
        <v>100</v>
      </c>
      <c r="G375" s="156">
        <f>(D375*100)/B375</f>
        <v>92.1052631578947</v>
      </c>
      <c r="H375" s="152">
        <f>((B375-B376)/B375)*100</f>
        <v>0</v>
      </c>
      <c r="I375" s="152">
        <f>((B375-C375)/B375)*100</f>
        <v>0</v>
      </c>
      <c r="J375" s="152">
        <f>((C375-B376)/C375)*100</f>
        <v>0</v>
      </c>
      <c r="K375" s="155"/>
      <c r="L375" s="54">
        <v>1</v>
      </c>
      <c r="M375" s="79" t="s">
        <v>28</v>
      </c>
      <c r="N375" s="54">
        <v>6.49</v>
      </c>
      <c r="O375" s="56">
        <f>N375/C375</f>
        <v>0.170789473684211</v>
      </c>
      <c r="P375" s="57">
        <f>(Boosters_And!B375*100)/Boosters_And!N375</f>
        <v>8.0531613628647</v>
      </c>
      <c r="Q375" s="57">
        <f>Boosters_And!B375/(C375+D375)</f>
        <v>0.466344934001354</v>
      </c>
      <c r="R375" s="57">
        <f>Boosters_And!N375/B375</f>
        <v>11.124490399732</v>
      </c>
      <c r="S375" s="54">
        <v>7.05263157894736</v>
      </c>
      <c r="T375" s="58">
        <v>0.921052631578947</v>
      </c>
      <c r="U375" s="60">
        <v>3141.15789473684</v>
      </c>
      <c r="V375" s="59">
        <v>16870</v>
      </c>
    </row>
    <row r="376" spans="1:22" s="168" customFormat="1" ht="22.500000" customHeight="1">
      <c r="A376" s="34">
        <v>374</v>
      </c>
      <c r="B376" s="49">
        <v>38</v>
      </c>
      <c r="C376" s="49">
        <v>35</v>
      </c>
      <c r="D376" s="49">
        <v>36</v>
      </c>
      <c r="E376" s="49">
        <v>7</v>
      </c>
      <c r="F376" s="50">
        <f>(C376*100)/B376</f>
        <v>92.1052631578947</v>
      </c>
      <c r="G376" s="156">
        <f>(D376*100)/B376</f>
        <v>94.7368421052632</v>
      </c>
      <c r="H376" s="152">
        <f>((B376-B377)/B376)*100</f>
        <v>5.26315789473684</v>
      </c>
      <c r="I376" s="152">
        <f>((B376-C376)/B376)*100</f>
        <v>7.89473684210526</v>
      </c>
      <c r="J376" s="152">
        <f>((C376-B377)/C376)*100</f>
        <v>-2.85714285714286</v>
      </c>
      <c r="K376" s="155"/>
      <c r="L376" s="54">
        <v>1.02857142857142</v>
      </c>
      <c r="M376" s="82" t="s">
        <v>29</v>
      </c>
      <c r="N376" s="54">
        <v>0</v>
      </c>
      <c r="O376" s="56">
        <f>N376/C376</f>
        <v>0</v>
      </c>
      <c r="P376" s="57">
        <f>(Boosters_And!B376*100)/Boosters_And!N376</f>
        <v>10.9129278906767</v>
      </c>
      <c r="Q376" s="57">
        <f>Boosters_And!B376/(C376+D376)</f>
        <v>0.767897649501177</v>
      </c>
      <c r="R376" s="57">
        <f>Boosters_And!N376/B376</f>
        <v>13.147307019412</v>
      </c>
      <c r="S376" s="54">
        <v>10.2857142857142</v>
      </c>
      <c r="T376" s="58">
        <v>1.05714285714286</v>
      </c>
      <c r="U376" s="60">
        <v>3303.25714285714</v>
      </c>
      <c r="V376" s="59">
        <v>16785</v>
      </c>
    </row>
    <row r="377" spans="1:22" s="168" customFormat="1" ht="22.500000" customHeight="1">
      <c r="A377" s="34">
        <v>375</v>
      </c>
      <c r="B377" s="49">
        <v>36</v>
      </c>
      <c r="C377" s="49">
        <v>36</v>
      </c>
      <c r="D377" s="49">
        <v>21</v>
      </c>
      <c r="E377" s="49">
        <v>3</v>
      </c>
      <c r="F377" s="50">
        <f>(C377*100)/B377</f>
        <v>100</v>
      </c>
      <c r="G377" s="156">
        <f>(D377*100)/B377</f>
        <v>58.3333333333333</v>
      </c>
      <c r="H377" s="152">
        <f>((B377-B378)/B377)*100</f>
        <v>0</v>
      </c>
      <c r="I377" s="152">
        <f>((B377-C377)/B377)*100</f>
        <v>0</v>
      </c>
      <c r="J377" s="152">
        <f>((C377-B378)/C377)*100</f>
        <v>0</v>
      </c>
      <c r="K377" s="155"/>
      <c r="L377" s="54">
        <v>1</v>
      </c>
      <c r="M377" s="79" t="s">
        <v>28</v>
      </c>
      <c r="N377" s="54">
        <v>0</v>
      </c>
      <c r="O377" s="56">
        <f>N377/C377</f>
        <v>0</v>
      </c>
      <c r="P377" s="57">
        <f>(Boosters_And!B377*100)/Boosters_And!N377</f>
        <v>10.7348659312058</v>
      </c>
      <c r="Q377" s="57">
        <f>Boosters_And!B377/(C377+D377)</f>
        <v>0.797851805833065</v>
      </c>
      <c r="R377" s="57">
        <f>Boosters_And!N377/B377</f>
        <v>11.767872718032</v>
      </c>
      <c r="S377" s="54">
        <v>6.72222222222222</v>
      </c>
      <c r="T377" s="58">
        <v>0.694444444444444</v>
      </c>
      <c r="U377" s="60">
        <v>3103.30555555556</v>
      </c>
      <c r="V377" s="59">
        <v>18080</v>
      </c>
    </row>
    <row r="378" spans="1:22" s="168" customFormat="1" ht="22.500000" customHeight="1">
      <c r="A378" s="34">
        <v>376</v>
      </c>
      <c r="B378" s="49">
        <v>36</v>
      </c>
      <c r="C378" s="49">
        <v>36</v>
      </c>
      <c r="D378" s="49">
        <v>21</v>
      </c>
      <c r="E378" s="49">
        <v>1</v>
      </c>
      <c r="F378" s="50">
        <f>(C378*100)/B378</f>
        <v>100</v>
      </c>
      <c r="G378" s="156">
        <f>(D378*100)/B378</f>
        <v>58.3333333333333</v>
      </c>
      <c r="H378" s="152">
        <f>((B378-B379)/B378)*100</f>
        <v>-2.77777777777778</v>
      </c>
      <c r="I378" s="152">
        <f>((B378-C378)/B378)*100</f>
        <v>0</v>
      </c>
      <c r="J378" s="152">
        <f>((C378-B379)/C378)*100</f>
        <v>-2.77777777777778</v>
      </c>
      <c r="K378" s="155"/>
      <c r="L378" s="54">
        <v>1</v>
      </c>
      <c r="M378" s="80" t="s">
        <v>28</v>
      </c>
      <c r="N378" s="54">
        <v>0</v>
      </c>
      <c r="O378" s="56">
        <f>N378/C378</f>
        <v>0</v>
      </c>
      <c r="P378" s="57">
        <f>(Boosters_And!B378*100)/Boosters_And!N378</f>
        <v>2.50715346081561</v>
      </c>
      <c r="Q378" s="57">
        <f>Boosters_And!B378/(C378+D378)</f>
        <v>0.147213904706791</v>
      </c>
      <c r="R378" s="57">
        <f>Boosters_And!N378/B378</f>
        <v>9.29694516491988</v>
      </c>
      <c r="S378" s="54">
        <v>7.38888888888888</v>
      </c>
      <c r="T378" s="58">
        <v>0.777777777777778</v>
      </c>
      <c r="U378" s="60">
        <v>3053.44444444444</v>
      </c>
      <c r="V378" s="59">
        <v>20310</v>
      </c>
    </row>
    <row r="379" spans="1:22" s="168" customFormat="1" ht="22.500000" customHeight="1">
      <c r="A379" s="34">
        <v>377</v>
      </c>
      <c r="B379" s="49">
        <v>37</v>
      </c>
      <c r="C379" s="49">
        <v>37</v>
      </c>
      <c r="D379" s="49">
        <v>24</v>
      </c>
      <c r="E379" s="49">
        <v>6</v>
      </c>
      <c r="F379" s="50">
        <f>(C379*100)/B379</f>
        <v>100</v>
      </c>
      <c r="G379" s="156">
        <f>(D379*100)/B379</f>
        <v>64.8648648648649</v>
      </c>
      <c r="H379" s="152">
        <f>((B379-B380)/B379)*100</f>
        <v>0</v>
      </c>
      <c r="I379" s="152">
        <f>((B379-C379)/B379)*100</f>
        <v>0</v>
      </c>
      <c r="J379" s="152">
        <f>((C379-B380)/C379)*100</f>
        <v>0</v>
      </c>
      <c r="K379" s="155"/>
      <c r="L379" s="54">
        <v>1.02702702702702</v>
      </c>
      <c r="M379" s="79" t="s">
        <v>28</v>
      </c>
      <c r="N379" s="54">
        <v>0</v>
      </c>
      <c r="O379" s="56">
        <f>N379/C379</f>
        <v>0</v>
      </c>
      <c r="P379" s="57">
        <f>(Boosters_And!B379*100)/Boosters_And!N379</f>
        <v>9.53862640763023</v>
      </c>
      <c r="Q379" s="57">
        <f>Boosters_And!B379/(C379+D379)</f>
        <v>0.548104471317802</v>
      </c>
      <c r="R379" s="57">
        <f>Boosters_And!N379/B379</f>
        <v>9.47339435826456</v>
      </c>
      <c r="S379" s="54">
        <v>24.6756756756756</v>
      </c>
      <c r="T379" s="58">
        <v>0.756756756756757</v>
      </c>
      <c r="U379" s="60">
        <v>3007.67567567568</v>
      </c>
      <c r="V379" s="59">
        <v>21170</v>
      </c>
    </row>
    <row r="380" spans="1:22" s="168" customFormat="1" ht="22.500000" customHeight="1">
      <c r="A380" s="34">
        <v>378</v>
      </c>
      <c r="B380" s="49">
        <v>37</v>
      </c>
      <c r="C380" s="49">
        <v>35</v>
      </c>
      <c r="D380" s="49">
        <v>31</v>
      </c>
      <c r="E380" s="49">
        <v>9</v>
      </c>
      <c r="F380" s="50">
        <f>(C380*100)/B380</f>
        <v>94.5945945945946</v>
      </c>
      <c r="G380" s="156">
        <f>(D380*100)/B380</f>
        <v>83.7837837837838</v>
      </c>
      <c r="H380" s="152">
        <f>((B380-B381)/B380)*100</f>
        <v>5.40540540540541</v>
      </c>
      <c r="I380" s="152">
        <f>((B380-C380)/B380)*100</f>
        <v>5.40540540540541</v>
      </c>
      <c r="J380" s="152">
        <f>((C380-B381)/C380)*100</f>
        <v>0</v>
      </c>
      <c r="K380" s="155"/>
      <c r="L380" s="54">
        <v>1.05714285714285</v>
      </c>
      <c r="M380" s="80" t="s">
        <v>28</v>
      </c>
      <c r="N380" s="54">
        <v>11.48</v>
      </c>
      <c r="O380" s="56">
        <f>N380/C380</f>
        <v>0.328</v>
      </c>
      <c r="P380" s="57">
        <f>(Boosters_And!B380*100)/Boosters_And!N380</f>
        <v>12.7840128898988</v>
      </c>
      <c r="Q380" s="57">
        <f>Boosters_And!B380/(C380+D380)</f>
        <v>1.24569546834082</v>
      </c>
      <c r="R380" s="57">
        <f>Boosters_And!N380/B380</f>
        <v>17.3814857282805</v>
      </c>
      <c r="S380" s="54">
        <v>15.2</v>
      </c>
      <c r="T380" s="58">
        <v>0.971428571428571</v>
      </c>
      <c r="U380" s="60">
        <v>3273.4</v>
      </c>
      <c r="V380" s="59">
        <v>19730</v>
      </c>
    </row>
    <row r="381" spans="1:22" s="168" customFormat="1" ht="22.500000" customHeight="1">
      <c r="A381" s="34">
        <v>379</v>
      </c>
      <c r="B381" s="49">
        <v>35</v>
      </c>
      <c r="C381" s="49">
        <v>35</v>
      </c>
      <c r="D381" s="49">
        <v>38</v>
      </c>
      <c r="E381" s="49">
        <v>2</v>
      </c>
      <c r="F381" s="50">
        <f>(C381*100)/B381</f>
        <v>100</v>
      </c>
      <c r="G381" s="156">
        <f>(D381*100)/B381</f>
        <v>108.571428571429</v>
      </c>
      <c r="H381" s="152">
        <f>((B381-B382)/B381)*100</f>
        <v>0</v>
      </c>
      <c r="I381" s="152">
        <f>((B381-C381)/B381)*100</f>
        <v>0</v>
      </c>
      <c r="J381" s="152">
        <f>((C381-B382)/C381)*100</f>
        <v>0</v>
      </c>
      <c r="K381" s="155"/>
      <c r="L381" s="54">
        <v>1</v>
      </c>
      <c r="M381" s="81" t="s">
        <v>29</v>
      </c>
      <c r="N381" s="54">
        <v>0</v>
      </c>
      <c r="O381" s="56">
        <f>N381/C381</f>
        <v>0</v>
      </c>
      <c r="P381" s="57">
        <f>(Boosters_And!B381*100)/Boosters_And!N381</f>
        <v>5.78877289854539</v>
      </c>
      <c r="Q381" s="57">
        <f>Boosters_And!B381/(C381+D381)</f>
        <v>0.305533907227719</v>
      </c>
      <c r="R381" s="57">
        <f>Boosters_And!N381/B381</f>
        <v>11.0084891261685</v>
      </c>
      <c r="S381" s="54">
        <v>13.9714285714285</v>
      </c>
      <c r="T381" s="58">
        <v>1</v>
      </c>
      <c r="U381" s="60">
        <v>3211.54285714286</v>
      </c>
      <c r="V381" s="59">
        <v>19795</v>
      </c>
    </row>
    <row r="382" spans="1:22" s="168" customFormat="1" ht="22.500000" customHeight="1">
      <c r="A382" s="34">
        <v>380</v>
      </c>
      <c r="B382" s="49">
        <v>35</v>
      </c>
      <c r="C382" s="49">
        <v>35</v>
      </c>
      <c r="D382" s="49">
        <v>21</v>
      </c>
      <c r="E382" s="49">
        <v>2</v>
      </c>
      <c r="F382" s="50">
        <f>(C382*100)/B382</f>
        <v>100</v>
      </c>
      <c r="G382" s="156">
        <f>(D382*100)/B382</f>
        <v>60</v>
      </c>
      <c r="H382" s="152">
        <f>((B382-B383)/B382)*100</f>
        <v>2.85714285714286</v>
      </c>
      <c r="I382" s="152">
        <f>((B382-C382)/B382)*100</f>
        <v>0</v>
      </c>
      <c r="J382" s="152">
        <f>((C382-B383)/C382)*100</f>
        <v>2.85714285714286</v>
      </c>
      <c r="K382" s="155"/>
      <c r="L382" s="54">
        <v>1</v>
      </c>
      <c r="M382" s="82" t="s">
        <v>29</v>
      </c>
      <c r="N382" s="54">
        <v>0</v>
      </c>
      <c r="O382" s="56">
        <f>N382/C382</f>
        <v>0</v>
      </c>
      <c r="P382" s="57">
        <f>(Boosters_And!B382*100)/Boosters_And!N382</f>
        <v>6.55464563761354</v>
      </c>
      <c r="Q382" s="57">
        <f>Boosters_And!B382/(C382+D382)</f>
        <v>0.333071207389496</v>
      </c>
      <c r="R382" s="57">
        <f>Boosters_And!N382/B382</f>
        <v>8.13032406763672</v>
      </c>
      <c r="S382" s="54">
        <v>5.08571428571428</v>
      </c>
      <c r="T382" s="58">
        <v>0.771428571428572</v>
      </c>
      <c r="U382" s="60">
        <v>3213.54285714286</v>
      </c>
      <c r="V382" s="59">
        <v>24465</v>
      </c>
    </row>
    <row r="383" spans="1:22" s="168" customFormat="1" ht="22.500000" customHeight="1">
      <c r="A383" s="34">
        <v>381</v>
      </c>
      <c r="B383" s="49">
        <v>34</v>
      </c>
      <c r="C383" s="49">
        <v>34</v>
      </c>
      <c r="D383" s="49">
        <v>31</v>
      </c>
      <c r="E383" s="49">
        <v>2</v>
      </c>
      <c r="F383" s="50">
        <f>(C383*100)/B383</f>
        <v>100</v>
      </c>
      <c r="G383" s="156">
        <f>(D383*100)/B383</f>
        <v>91.1764705882353</v>
      </c>
      <c r="H383" s="152">
        <f>((B383-B384)/B383)*100</f>
        <v>-2.94117647058824</v>
      </c>
      <c r="I383" s="152">
        <f>((B383-C383)/B383)*100</f>
        <v>0</v>
      </c>
      <c r="J383" s="152">
        <f>((C383-B384)/C383)*100</f>
        <v>-2.94117647058824</v>
      </c>
      <c r="K383" s="155"/>
      <c r="L383" s="54">
        <v>1.02941176470588</v>
      </c>
      <c r="M383" s="79" t="s">
        <v>28</v>
      </c>
      <c r="N383" s="54">
        <v>0</v>
      </c>
      <c r="O383" s="56">
        <f>N383/C383</f>
        <v>0</v>
      </c>
      <c r="P383" s="57">
        <f>(Boosters_And!B383*100)/Boosters_And!N383</f>
        <v>6.16797968574256</v>
      </c>
      <c r="Q383" s="57">
        <f>Boosters_And!B383/(C383+D383)</f>
        <v>0.383273579374408</v>
      </c>
      <c r="R383" s="57">
        <f>Boosters_And!N383/B383</f>
        <v>11.8795608785631</v>
      </c>
      <c r="S383" s="54">
        <v>12.6176470588235</v>
      </c>
      <c r="T383" s="58">
        <v>0.911764705882353</v>
      </c>
      <c r="U383" s="60">
        <v>3256.14705882353</v>
      </c>
      <c r="V383" s="59">
        <v>23210</v>
      </c>
    </row>
    <row r="384" spans="1:22" s="168" customFormat="1" ht="22.500000" customHeight="1">
      <c r="A384" s="34">
        <v>382</v>
      </c>
      <c r="B384" s="49">
        <v>35</v>
      </c>
      <c r="C384" s="49">
        <v>36</v>
      </c>
      <c r="D384" s="49">
        <v>32</v>
      </c>
      <c r="E384" s="49">
        <v>2</v>
      </c>
      <c r="F384" s="50">
        <f>(C384*100)/B384</f>
        <v>102.857142857143</v>
      </c>
      <c r="G384" s="156">
        <f>(D384*100)/B384</f>
        <v>91.4285714285714</v>
      </c>
      <c r="H384" s="152">
        <f>((B384-B385)/B384)*100</f>
        <v>-2.85714285714286</v>
      </c>
      <c r="I384" s="152">
        <f>((B384-C384)/B384)*100</f>
        <v>-2.85714285714286</v>
      </c>
      <c r="J384" s="152">
        <f>((C384-B385)/C384)*100</f>
        <v>0</v>
      </c>
      <c r="K384" s="155"/>
      <c r="L384" s="54">
        <v>1.13888888888888</v>
      </c>
      <c r="M384" s="80" t="s">
        <v>28</v>
      </c>
      <c r="N384" s="54">
        <v>0</v>
      </c>
      <c r="O384" s="56">
        <f>N384/C384</f>
        <v>0</v>
      </c>
      <c r="P384" s="57">
        <f>(Boosters_And!B384*100)/Boosters_And!N384</f>
        <v>3.76439269957273</v>
      </c>
      <c r="Q384" s="57">
        <f>Boosters_And!B384/(C384+D384)</f>
        <v>0.182223420121869</v>
      </c>
      <c r="R384" s="57">
        <f>Boosters_And!N384/B384</f>
        <v>9.40481245274476</v>
      </c>
      <c r="S384" s="54">
        <v>20.6666666666666</v>
      </c>
      <c r="T384" s="58">
        <v>0.944444444444444</v>
      </c>
      <c r="U384" s="60">
        <v>3040.11111111111</v>
      </c>
      <c r="V384" s="59">
        <v>19110</v>
      </c>
    </row>
    <row r="385" spans="1:22" s="168" customFormat="1" ht="22.500000" customHeight="1">
      <c r="A385" s="34">
        <v>383</v>
      </c>
      <c r="B385" s="49">
        <v>36</v>
      </c>
      <c r="C385" s="49">
        <v>36</v>
      </c>
      <c r="D385" s="49">
        <v>8</v>
      </c>
      <c r="E385" s="49">
        <v>1</v>
      </c>
      <c r="F385" s="50">
        <f>(C385*100)/B385</f>
        <v>100</v>
      </c>
      <c r="G385" s="156">
        <f>(D385*100)/B385</f>
        <v>22.2222222222222</v>
      </c>
      <c r="H385" s="152">
        <f>((B385-B386)/B385)*100</f>
        <v>-2.77777777777778</v>
      </c>
      <c r="I385" s="152">
        <f>((B385-C385)/B385)*100</f>
        <v>0</v>
      </c>
      <c r="J385" s="152">
        <f>((C385-B386)/C385)*100</f>
        <v>-2.77777777777778</v>
      </c>
      <c r="K385" s="155"/>
      <c r="L385" s="54">
        <v>1</v>
      </c>
      <c r="M385" s="79" t="s">
        <v>28</v>
      </c>
      <c r="N385" s="54">
        <v>0</v>
      </c>
      <c r="O385" s="56">
        <f>N385/C385</f>
        <v>0</v>
      </c>
      <c r="P385" s="57">
        <f>(Boosters_And!B385*100)/Boosters_And!N385</f>
        <v>5.52918719859269</v>
      </c>
      <c r="Q385" s="57">
        <f>Boosters_And!B385/(C385+D385)</f>
        <v>0.230236307335508</v>
      </c>
      <c r="R385" s="57">
        <f>Boosters_And!N385/B385</f>
        <v>5.08935438574889</v>
      </c>
      <c r="S385" s="54">
        <v>6.83333333333333</v>
      </c>
      <c r="T385" s="58">
        <v>0.583333333333333</v>
      </c>
      <c r="U385" s="60">
        <v>3100.52777777778</v>
      </c>
      <c r="V385" s="59">
        <v>21290</v>
      </c>
    </row>
    <row r="386" spans="1:22" s="168" customFormat="1" ht="22.500000" customHeight="1">
      <c r="A386" s="34">
        <v>384</v>
      </c>
      <c r="B386" s="49">
        <v>37</v>
      </c>
      <c r="C386" s="49">
        <v>36</v>
      </c>
      <c r="D386" s="49">
        <v>36</v>
      </c>
      <c r="E386" s="49">
        <v>2</v>
      </c>
      <c r="F386" s="50">
        <f>(C386*100)/B386</f>
        <v>97.2972972972973</v>
      </c>
      <c r="G386" s="156">
        <f>(D386*100)/B386</f>
        <v>97.2972972972973</v>
      </c>
      <c r="H386" s="152">
        <f>((B386-B387)/B386)*100</f>
        <v>2.7027027027027</v>
      </c>
      <c r="I386" s="152">
        <f>((B386-C386)/B386)*100</f>
        <v>2.7027027027027</v>
      </c>
      <c r="J386" s="152">
        <f>((C386-B387)/C386)*100</f>
        <v>0</v>
      </c>
      <c r="K386" s="155"/>
      <c r="L386" s="54">
        <v>1.02777777777777</v>
      </c>
      <c r="M386" s="84" t="s">
        <v>30</v>
      </c>
      <c r="N386" s="54">
        <v>0</v>
      </c>
      <c r="O386" s="56">
        <f>N386/C386</f>
        <v>0</v>
      </c>
      <c r="P386" s="57">
        <f>(Boosters_And!B386*100)/Boosters_And!N386</f>
        <v>6.337222180564</v>
      </c>
      <c r="Q386" s="57">
        <f>Boosters_And!B386/(C386+D386)</f>
        <v>0.318233092490785</v>
      </c>
      <c r="R386" s="57">
        <f>Boosters_And!N386/B386</f>
        <v>9.77185868751047</v>
      </c>
      <c r="S386" s="54">
        <v>9.75</v>
      </c>
      <c r="T386" s="58">
        <v>0.972222222222222</v>
      </c>
      <c r="U386" s="60">
        <v>3032.05555555556</v>
      </c>
      <c r="V386" s="59">
        <v>19105</v>
      </c>
    </row>
    <row r="387" spans="1:22" s="168" customFormat="1" ht="22.500000" customHeight="1">
      <c r="A387" s="34">
        <v>385</v>
      </c>
      <c r="B387" s="49">
        <v>36</v>
      </c>
      <c r="C387" s="49">
        <v>35</v>
      </c>
      <c r="D387" s="49">
        <v>35</v>
      </c>
      <c r="E387" s="49">
        <v>5</v>
      </c>
      <c r="F387" s="50">
        <f>(C387*100)/B387</f>
        <v>97.2222222222222</v>
      </c>
      <c r="G387" s="156">
        <f>(D387*100)/B387</f>
        <v>97.2222222222222</v>
      </c>
      <c r="H387" s="152">
        <f>((B387-B388)/B387)*100</f>
        <v>0</v>
      </c>
      <c r="I387" s="152">
        <f>((B387-C387)/B387)*100</f>
        <v>2.77777777777778</v>
      </c>
      <c r="J387" s="152">
        <f>((C387-B388)/C387)*100</f>
        <v>-2.85714285714286</v>
      </c>
      <c r="K387" s="155"/>
      <c r="L387" s="54">
        <v>1.05714285714285</v>
      </c>
      <c r="M387" s="79" t="s">
        <v>28</v>
      </c>
      <c r="N387" s="54">
        <v>0</v>
      </c>
      <c r="O387" s="56">
        <f>N387/C387</f>
        <v>0</v>
      </c>
      <c r="P387" s="57">
        <f>(Boosters_And!B387*100)/Boosters_And!N387</f>
        <v>5.79799798853351</v>
      </c>
      <c r="Q387" s="57">
        <f>Boosters_And!B387/(C387+D387)</f>
        <v>0.424216682798723</v>
      </c>
      <c r="R387" s="57">
        <f>Boosters_And!N387/B387</f>
        <v>14.2267343614112</v>
      </c>
      <c r="S387" s="54">
        <v>8.6</v>
      </c>
      <c r="T387" s="58">
        <v>0.942857142857143</v>
      </c>
      <c r="U387" s="60">
        <v>3137.4</v>
      </c>
      <c r="V387" s="59">
        <v>15600</v>
      </c>
    </row>
    <row r="388" spans="1:22" s="168" customFormat="1" ht="22.500000" customHeight="1">
      <c r="A388" s="34">
        <v>386</v>
      </c>
      <c r="B388" s="49">
        <v>36</v>
      </c>
      <c r="C388" s="49">
        <v>36</v>
      </c>
      <c r="D388" s="49">
        <v>32</v>
      </c>
      <c r="E388" s="49">
        <v>5</v>
      </c>
      <c r="F388" s="50">
        <f>(C388*100)/B388</f>
        <v>100</v>
      </c>
      <c r="G388" s="156">
        <f>(D388*100)/B388</f>
        <v>88.8888888888889</v>
      </c>
      <c r="H388" s="152">
        <f>((B388-B389)/B388)*100</f>
        <v>0</v>
      </c>
      <c r="I388" s="152">
        <f>((B388-C388)/B388)*100</f>
        <v>0</v>
      </c>
      <c r="J388" s="152">
        <f>((C388-B389)/C388)*100</f>
        <v>0</v>
      </c>
      <c r="K388" s="155"/>
      <c r="L388" s="54">
        <v>1.02777777777777</v>
      </c>
      <c r="M388" s="80" t="s">
        <v>28</v>
      </c>
      <c r="N388" s="54">
        <v>0</v>
      </c>
      <c r="O388" s="56">
        <f>N388/C388</f>
        <v>0</v>
      </c>
      <c r="P388" s="57">
        <f>(Boosters_And!B388*100)/Boosters_And!N388</f>
        <v>17.1644442889773</v>
      </c>
      <c r="Q388" s="57">
        <f>Boosters_And!B388/(C388+D388)</f>
        <v>0.771728719595363</v>
      </c>
      <c r="R388" s="57">
        <f>Boosters_And!N388/B388</f>
        <v>8.4926128637689</v>
      </c>
      <c r="S388" s="54">
        <v>7.66666666666666</v>
      </c>
      <c r="T388" s="58">
        <v>0.944444444444444</v>
      </c>
      <c r="U388" s="60">
        <v>3055.66666666667</v>
      </c>
      <c r="V388" s="59">
        <v>15970</v>
      </c>
    </row>
    <row r="389" spans="1:22" s="168" customFormat="1" ht="22.500000" customHeight="1">
      <c r="A389" s="34">
        <v>387</v>
      </c>
      <c r="B389" s="49">
        <v>36</v>
      </c>
      <c r="C389" s="49">
        <v>36</v>
      </c>
      <c r="D389" s="49">
        <v>23</v>
      </c>
      <c r="E389" s="49">
        <v>3</v>
      </c>
      <c r="F389" s="50">
        <f>(C389*100)/B389</f>
        <v>100</v>
      </c>
      <c r="G389" s="156">
        <f>(D389*100)/B389</f>
        <v>63.8888888888889</v>
      </c>
      <c r="H389" s="152">
        <f>((B389-B390)/B389)*100</f>
        <v>0</v>
      </c>
      <c r="I389" s="152">
        <f>((B389-C389)/B389)*100</f>
        <v>0</v>
      </c>
      <c r="J389" s="152">
        <f>((C389-B390)/C389)*100</f>
        <v>0</v>
      </c>
      <c r="K389" s="155"/>
      <c r="L389" s="54">
        <v>1.05555555555555</v>
      </c>
      <c r="M389" s="79" t="s">
        <v>28</v>
      </c>
      <c r="N389" s="54">
        <v>0</v>
      </c>
      <c r="O389" s="56">
        <f>N389/C389</f>
        <v>0</v>
      </c>
      <c r="P389" s="57">
        <f>(Boosters_And!B389*100)/Boosters_And!N389</f>
        <v>10.3102690023662</v>
      </c>
      <c r="Q389" s="57">
        <f>Boosters_And!B389/(C389+D389)</f>
        <v>0.50699631625994</v>
      </c>
      <c r="R389" s="57">
        <f>Boosters_And!N389/B389</f>
        <v>8.05905868445648</v>
      </c>
      <c r="S389" s="54">
        <v>7.58333333333333</v>
      </c>
      <c r="T389" s="58">
        <v>0.861111111111111</v>
      </c>
      <c r="U389" s="60">
        <v>3075.11111111111</v>
      </c>
      <c r="V389" s="59">
        <v>17030</v>
      </c>
    </row>
    <row r="390" spans="1:22" s="168" customFormat="1" ht="22.500000" customHeight="1">
      <c r="A390" s="34">
        <v>388</v>
      </c>
      <c r="B390" s="49">
        <v>36</v>
      </c>
      <c r="C390" s="49">
        <v>34</v>
      </c>
      <c r="D390" s="49">
        <v>40</v>
      </c>
      <c r="E390" s="49">
        <v>15</v>
      </c>
      <c r="F390" s="50">
        <f>(C390*100)/B390</f>
        <v>94.4444444444444</v>
      </c>
      <c r="G390" s="156">
        <f>(D390*100)/B390</f>
        <v>111.111111111111</v>
      </c>
      <c r="H390" s="152">
        <f>((B390-B391)/B390)*100</f>
        <v>-2.77777777777778</v>
      </c>
      <c r="I390" s="152">
        <f>((B390-C390)/B390)*100</f>
        <v>5.55555555555556</v>
      </c>
      <c r="J390" s="152">
        <f>((C390-B391)/C390)*100</f>
        <v>-8.82352941176471</v>
      </c>
      <c r="K390" s="155"/>
      <c r="L390" s="54">
        <v>1.29411764705882</v>
      </c>
      <c r="M390" s="80" t="s">
        <v>28</v>
      </c>
      <c r="N390" s="54">
        <v>13.97</v>
      </c>
      <c r="O390" s="56">
        <f>N390/C390</f>
        <v>0.410882352941177</v>
      </c>
      <c r="P390" s="57">
        <f>(Boosters_And!B390*100)/Boosters_And!N390</f>
        <v>11.3526678637881</v>
      </c>
      <c r="Q390" s="57">
        <f>Boosters_And!B390/(C390+D390)</f>
        <v>1.65095955101978</v>
      </c>
      <c r="R390" s="57">
        <f>Boosters_And!N390/B390</f>
        <v>29.8928773202377</v>
      </c>
      <c r="S390" s="54">
        <v>7.70588235294117</v>
      </c>
      <c r="T390" s="58">
        <v>1.11764705882353</v>
      </c>
      <c r="U390" s="60">
        <v>3291.58823529412</v>
      </c>
      <c r="V390" s="59">
        <v>14410</v>
      </c>
    </row>
    <row r="391" spans="1:22" s="168" customFormat="1" ht="22.500000" customHeight="1">
      <c r="A391" s="34">
        <v>389</v>
      </c>
      <c r="B391" s="49">
        <v>37</v>
      </c>
      <c r="C391" s="49">
        <v>37</v>
      </c>
      <c r="D391" s="49">
        <v>6</v>
      </c>
      <c r="E391" s="49">
        <v>1</v>
      </c>
      <c r="F391" s="50">
        <f>(C391*100)/B391</f>
        <v>100</v>
      </c>
      <c r="G391" s="156">
        <f>(D391*100)/B391</f>
        <v>16.2162162162162</v>
      </c>
      <c r="H391" s="152">
        <f>((B391-B392)/B391)*100</f>
        <v>0</v>
      </c>
      <c r="I391" s="152">
        <f>((B391-C391)/B391)*100</f>
        <v>0</v>
      </c>
      <c r="J391" s="152">
        <f>((C391-B392)/C391)*100</f>
        <v>0</v>
      </c>
      <c r="K391" s="155"/>
      <c r="L391" s="54">
        <v>1</v>
      </c>
      <c r="M391" s="81" t="s">
        <v>29</v>
      </c>
      <c r="N391" s="54">
        <v>4.99</v>
      </c>
      <c r="O391" s="56">
        <f>N391/C391</f>
        <v>0.134864864864865</v>
      </c>
      <c r="P391" s="57">
        <f>(Boosters_And!B391*100)/Boosters_And!N391</f>
        <v>4.02054796228798</v>
      </c>
      <c r="Q391" s="57">
        <f>Boosters_And!B391/(C391+D391)</f>
        <v>0.308390582454063</v>
      </c>
      <c r="R391" s="57">
        <f>Boosters_And!N391/B391</f>
        <v>8.91420446807224</v>
      </c>
      <c r="S391" s="54">
        <v>9.18918918918919</v>
      </c>
      <c r="T391" s="58">
        <v>0.567567567567568</v>
      </c>
      <c r="U391" s="60">
        <v>3247.13513513514</v>
      </c>
      <c r="V391" s="59">
        <v>18395</v>
      </c>
    </row>
    <row r="392" spans="1:22" s="168" customFormat="1" ht="22.500000" customHeight="1">
      <c r="A392" s="34">
        <v>390</v>
      </c>
      <c r="B392" s="49">
        <v>37</v>
      </c>
      <c r="C392" s="49">
        <v>36</v>
      </c>
      <c r="D392" s="49">
        <v>25</v>
      </c>
      <c r="E392" s="49">
        <v>1</v>
      </c>
      <c r="F392" s="50">
        <f>(C392*100)/B392</f>
        <v>97.2972972972973</v>
      </c>
      <c r="G392" s="156">
        <f>(D392*100)/B392</f>
        <v>67.5675675675676</v>
      </c>
      <c r="H392" s="152">
        <f>((B392-B393)/B392)*100</f>
        <v>5.40540540540541</v>
      </c>
      <c r="I392" s="152">
        <f>((B392-C392)/B392)*100</f>
        <v>2.7027027027027</v>
      </c>
      <c r="J392" s="152">
        <f>((C392-B393)/C392)*100</f>
        <v>2.77777777777778</v>
      </c>
      <c r="K392" s="155"/>
      <c r="L392" s="54">
        <v>1</v>
      </c>
      <c r="M392" s="80" t="s">
        <v>28</v>
      </c>
      <c r="N392" s="54">
        <v>4.83</v>
      </c>
      <c r="O392" s="56">
        <f>N392/C392</f>
        <v>0.134166666666667</v>
      </c>
      <c r="P392" s="57">
        <f>(Boosters_And!B392*100)/Boosters_And!N392</f>
        <v>4.92313018143478</v>
      </c>
      <c r="Q392" s="57">
        <f>Boosters_And!B392/(C392+D392)</f>
        <v>0.554517464240541</v>
      </c>
      <c r="R392" s="57">
        <f>Boosters_And!N392/B392</f>
        <v>18.5695773700993</v>
      </c>
      <c r="S392" s="54">
        <v>11.2222222222222</v>
      </c>
      <c r="T392" s="58">
        <v>0.722222222222222</v>
      </c>
      <c r="U392" s="60">
        <v>3321.91666666667</v>
      </c>
      <c r="V392" s="59">
        <v>17555</v>
      </c>
    </row>
    <row r="393" spans="1:22" s="168" customFormat="1" ht="22.500000" customHeight="1">
      <c r="A393" s="34">
        <v>391</v>
      </c>
      <c r="B393" s="49">
        <v>35</v>
      </c>
      <c r="C393" s="49">
        <v>35</v>
      </c>
      <c r="D393" s="49">
        <v>23</v>
      </c>
      <c r="E393" s="49">
        <v>3</v>
      </c>
      <c r="F393" s="50">
        <f>(C393*100)/B393</f>
        <v>100</v>
      </c>
      <c r="G393" s="156">
        <f>(D393*100)/B393</f>
        <v>65.7142857142857</v>
      </c>
      <c r="H393" s="152">
        <f>((B393-B394)/B393)*100</f>
        <v>2.85714285714286</v>
      </c>
      <c r="I393" s="152">
        <f>((B393-C393)/B393)*100</f>
        <v>0</v>
      </c>
      <c r="J393" s="152">
        <f>((C393-B394)/C393)*100</f>
        <v>2.85714285714286</v>
      </c>
      <c r="K393" s="155"/>
      <c r="L393" s="54">
        <v>1.08571428571428</v>
      </c>
      <c r="M393" s="79" t="s">
        <v>28</v>
      </c>
      <c r="N393" s="54">
        <v>0</v>
      </c>
      <c r="O393" s="56">
        <f>N393/C393</f>
        <v>0</v>
      </c>
      <c r="P393" s="57">
        <f>(Boosters_And!B393*100)/Boosters_And!N393</f>
        <v>10.7892949012272</v>
      </c>
      <c r="Q393" s="57">
        <f>Boosters_And!B393/(C393+D393)</f>
        <v>0.628178840523895</v>
      </c>
      <c r="R393" s="57">
        <f>Boosters_And!N393/B393</f>
        <v>9.64828645534617</v>
      </c>
      <c r="S393" s="54">
        <v>6.71428571428571</v>
      </c>
      <c r="T393" s="58">
        <v>0.742857142857143</v>
      </c>
      <c r="U393" s="60">
        <v>3288.97142857143</v>
      </c>
      <c r="V393" s="59">
        <v>19775</v>
      </c>
    </row>
    <row r="394" spans="1:22" s="168" customFormat="1" ht="22.500000" customHeight="1">
      <c r="A394" s="34">
        <v>392</v>
      </c>
      <c r="B394" s="49">
        <v>34</v>
      </c>
      <c r="C394" s="49">
        <v>34</v>
      </c>
      <c r="D394" s="49">
        <v>31</v>
      </c>
      <c r="E394" s="49">
        <v>6</v>
      </c>
      <c r="F394" s="50">
        <f>(C394*100)/B394</f>
        <v>100</v>
      </c>
      <c r="G394" s="156">
        <f>(D394*100)/B394</f>
        <v>91.1764705882353</v>
      </c>
      <c r="H394" s="152">
        <f>((B394-B395)/B394)*100</f>
        <v>0</v>
      </c>
      <c r="I394" s="152">
        <f>((B394-C394)/B394)*100</f>
        <v>0</v>
      </c>
      <c r="J394" s="152">
        <f>((C394-B395)/C394)*100</f>
        <v>0</v>
      </c>
      <c r="K394" s="155"/>
      <c r="L394" s="54">
        <v>1.05882352941176</v>
      </c>
      <c r="M394" s="80" t="s">
        <v>28</v>
      </c>
      <c r="N394" s="54">
        <v>0</v>
      </c>
      <c r="O394" s="56">
        <f>N394/C394</f>
        <v>0</v>
      </c>
      <c r="P394" s="57">
        <f>(Boosters_And!B394*100)/Boosters_And!N394</f>
        <v>9.88967257455312</v>
      </c>
      <c r="Q394" s="57">
        <f>Boosters_And!B394/(C394+D394)</f>
        <v>0.539125848955367</v>
      </c>
      <c r="R394" s="57">
        <f>Boosters_And!N394/B394</f>
        <v>10.4217987227783</v>
      </c>
      <c r="S394" s="54">
        <v>8.73529411764705</v>
      </c>
      <c r="T394" s="58">
        <v>0.970588235294118</v>
      </c>
      <c r="U394" s="60">
        <v>3266.58823529412</v>
      </c>
      <c r="V394" s="59">
        <v>19525</v>
      </c>
    </row>
    <row r="395" spans="1:22" s="168" customFormat="1" ht="22.500000" customHeight="1">
      <c r="A395" s="34">
        <v>393</v>
      </c>
      <c r="B395" s="49">
        <v>34</v>
      </c>
      <c r="C395" s="49">
        <v>34</v>
      </c>
      <c r="D395" s="49">
        <v>16</v>
      </c>
      <c r="E395" s="49">
        <v>6</v>
      </c>
      <c r="F395" s="50">
        <f>(C395*100)/B395</f>
        <v>100</v>
      </c>
      <c r="G395" s="156">
        <f>(D395*100)/B395</f>
        <v>47.0588235294118</v>
      </c>
      <c r="H395" s="152">
        <f>((B395-B396)/B395)*100</f>
        <v>0</v>
      </c>
      <c r="I395" s="152">
        <f>((B395-C395)/B395)*100</f>
        <v>0</v>
      </c>
      <c r="J395" s="152">
        <f>((C395-B396)/C395)*100</f>
        <v>0</v>
      </c>
      <c r="K395" s="155"/>
      <c r="L395" s="54">
        <v>1.08823529411764</v>
      </c>
      <c r="M395" s="79" t="s">
        <v>28</v>
      </c>
      <c r="N395" s="54">
        <v>4.83</v>
      </c>
      <c r="O395" s="56">
        <f>N395/C395</f>
        <v>0.142058823529412</v>
      </c>
      <c r="P395" s="57">
        <f>(Boosters_And!B395*100)/Boosters_And!N395</f>
        <v>12.0051142740325</v>
      </c>
      <c r="Q395" s="57">
        <f>Boosters_And!B395/(C395+D395)</f>
        <v>1.16259081092593</v>
      </c>
      <c r="R395" s="57">
        <f>Boosters_And!N395/B395</f>
        <v>14.2413668873344</v>
      </c>
      <c r="S395" s="54">
        <v>9.38235294117647</v>
      </c>
      <c r="T395" s="58">
        <v>0.852941176470588</v>
      </c>
      <c r="U395" s="60">
        <v>3280.85294117647</v>
      </c>
      <c r="V395" s="59">
        <v>25140</v>
      </c>
    </row>
    <row r="396" spans="1:22" s="168" customFormat="1" ht="22.500000" customHeight="1">
      <c r="A396" s="34">
        <v>394</v>
      </c>
      <c r="B396" s="49">
        <v>34</v>
      </c>
      <c r="C396" s="49">
        <v>33</v>
      </c>
      <c r="D396" s="49">
        <v>33</v>
      </c>
      <c r="E396" s="49">
        <v>5</v>
      </c>
      <c r="F396" s="50">
        <f>(C396*100)/B396</f>
        <v>97.0588235294118</v>
      </c>
      <c r="G396" s="156">
        <f>(D396*100)/B396</f>
        <v>97.0588235294118</v>
      </c>
      <c r="H396" s="152">
        <f>((B396-B397)/B396)*100</f>
        <v>0</v>
      </c>
      <c r="I396" s="152">
        <f>((B396-C396)/B396)*100</f>
        <v>2.94117647058824</v>
      </c>
      <c r="J396" s="152">
        <f>((C396-B397)/C396)*100</f>
        <v>-3.03030303030303</v>
      </c>
      <c r="K396" s="155"/>
      <c r="L396" s="54">
        <v>1.06060606060606</v>
      </c>
      <c r="M396" s="80" t="s">
        <v>28</v>
      </c>
      <c r="N396" s="54">
        <v>0</v>
      </c>
      <c r="O396" s="56">
        <f>N396/C396</f>
        <v>0</v>
      </c>
      <c r="P396" s="57">
        <f>(Boosters_And!B396*100)/Boosters_And!N396</f>
        <v>5.58764593567635</v>
      </c>
      <c r="Q396" s="57">
        <f>Boosters_And!B396/(C396+D396)</f>
        <v>0.337939018600357</v>
      </c>
      <c r="R396" s="57">
        <f>Boosters_And!N396/B396</f>
        <v>11.7401724975491</v>
      </c>
      <c r="S396" s="54">
        <v>11.3636363636363</v>
      </c>
      <c r="T396" s="58">
        <v>1</v>
      </c>
      <c r="U396" s="60">
        <v>3263</v>
      </c>
      <c r="V396" s="59">
        <v>17855</v>
      </c>
    </row>
    <row r="397" spans="1:22" s="168" customFormat="1" ht="22.500000" customHeight="1">
      <c r="A397" s="34">
        <v>395</v>
      </c>
      <c r="B397" s="49">
        <v>34</v>
      </c>
      <c r="C397" s="49">
        <v>34</v>
      </c>
      <c r="D397" s="49">
        <v>20</v>
      </c>
      <c r="E397" s="49">
        <v>3</v>
      </c>
      <c r="F397" s="50">
        <f>(C397*100)/B397</f>
        <v>100</v>
      </c>
      <c r="G397" s="156">
        <f>(D397*100)/B397</f>
        <v>58.8235294117647</v>
      </c>
      <c r="H397" s="152">
        <f>((B397-B398)/B397)*100</f>
        <v>-2.94117647058824</v>
      </c>
      <c r="I397" s="152">
        <f>((B397-C397)/B397)*100</f>
        <v>0</v>
      </c>
      <c r="J397" s="152">
        <f>((C397-B398)/C397)*100</f>
        <v>-2.94117647058824</v>
      </c>
      <c r="K397" s="155"/>
      <c r="L397" s="54">
        <v>1.02941176470588</v>
      </c>
      <c r="M397" s="79" t="s">
        <v>28</v>
      </c>
      <c r="N397" s="54">
        <v>4.83</v>
      </c>
      <c r="O397" s="56">
        <f>N397/C397</f>
        <v>0.142058823529412</v>
      </c>
      <c r="P397" s="57">
        <f>(Boosters_And!B397*100)/Boosters_And!N397</f>
        <v>13.190262970949</v>
      </c>
      <c r="Q397" s="57">
        <f>Boosters_And!B397/(C397+D397)</f>
        <v>0.475036807663181</v>
      </c>
      <c r="R397" s="57">
        <f>Boosters_And!N397/B397</f>
        <v>5.71990282223585</v>
      </c>
      <c r="S397" s="54">
        <v>6.5</v>
      </c>
      <c r="T397" s="58">
        <v>0.764705882352941</v>
      </c>
      <c r="U397" s="60">
        <v>3200.70588235294</v>
      </c>
      <c r="V397" s="59">
        <v>24060</v>
      </c>
    </row>
    <row r="398" spans="1:22" s="168" customFormat="1" ht="22.500000" customHeight="1">
      <c r="A398" s="34">
        <v>396</v>
      </c>
      <c r="B398" s="49">
        <v>35</v>
      </c>
      <c r="C398" s="49">
        <v>34</v>
      </c>
      <c r="D398" s="49">
        <v>36</v>
      </c>
      <c r="E398" s="49">
        <v>7</v>
      </c>
      <c r="F398" s="50">
        <f>(C398*100)/B398</f>
        <v>97.1428571428571</v>
      </c>
      <c r="G398" s="156">
        <f>(D398*100)/B398</f>
        <v>102.857142857143</v>
      </c>
      <c r="H398" s="152">
        <f>((B398-B399)/B398)*100</f>
        <v>0</v>
      </c>
      <c r="I398" s="152">
        <f>((B398-C398)/B398)*100</f>
        <v>2.85714285714286</v>
      </c>
      <c r="J398" s="152">
        <f>((C398-B399)/C398)*100</f>
        <v>-2.94117647058824</v>
      </c>
      <c r="K398" s="155"/>
      <c r="L398" s="54">
        <v>1.29411764705882</v>
      </c>
      <c r="M398" s="80" t="s">
        <v>28</v>
      </c>
      <c r="N398" s="54">
        <v>6.49</v>
      </c>
      <c r="O398" s="56">
        <f>N398/C398</f>
        <v>0.190882352941176</v>
      </c>
      <c r="P398" s="57">
        <f>(Boosters_And!B398*100)/Boosters_And!N398</f>
        <v>8.42830910371092</v>
      </c>
      <c r="Q398" s="57">
        <f>Boosters_And!B398/(C398+D398)</f>
        <v>0.657130614621916</v>
      </c>
      <c r="R398" s="57">
        <f>Boosters_And!N398/B398</f>
        <v>15.5934151568453</v>
      </c>
      <c r="S398" s="54">
        <v>10.9705882352941</v>
      </c>
      <c r="T398" s="58">
        <v>1</v>
      </c>
      <c r="U398" s="60">
        <v>3269.38235294118</v>
      </c>
      <c r="V398" s="59">
        <v>19745</v>
      </c>
    </row>
    <row r="399" spans="1:22" s="168" customFormat="1" ht="22.500000" customHeight="1">
      <c r="A399" s="34">
        <v>397</v>
      </c>
      <c r="B399" s="49">
        <v>35</v>
      </c>
      <c r="C399" s="49">
        <v>35</v>
      </c>
      <c r="D399" s="49">
        <v>3</v>
      </c>
      <c r="E399" s="49">
        <v>0</v>
      </c>
      <c r="F399" s="50">
        <f>(C399*100)/B399</f>
        <v>100</v>
      </c>
      <c r="G399" s="156">
        <f>(D399*100)/B399</f>
        <v>8.57142857142857</v>
      </c>
      <c r="H399" s="152">
        <f>((B399-B400)/B399)*100</f>
        <v>0</v>
      </c>
      <c r="I399" s="152">
        <f>((B399-C399)/B399)*100</f>
        <v>0</v>
      </c>
      <c r="J399" s="152">
        <f>((C399-B400)/C399)*100</f>
        <v>0</v>
      </c>
      <c r="K399" s="155"/>
      <c r="L399" s="54">
        <v>1</v>
      </c>
      <c r="M399" s="79" t="s">
        <v>28</v>
      </c>
      <c r="N399" s="54">
        <v>0</v>
      </c>
      <c r="O399" s="56">
        <f>N399/C399</f>
        <v>0</v>
      </c>
      <c r="P399" s="57">
        <f>(Boosters_And!B399*100)/Boosters_And!N399</f>
        <v>7.28314094985843</v>
      </c>
      <c r="Q399" s="57">
        <f>Boosters_And!B399/(C399+D399)</f>
        <v>0.424484145335851</v>
      </c>
      <c r="R399" s="57">
        <f>Boosters_And!N399/B399</f>
        <v>6.32788111370152</v>
      </c>
      <c r="S399" s="54">
        <v>10.4</v>
      </c>
      <c r="T399" s="58">
        <v>0.657142857142857</v>
      </c>
      <c r="U399" s="60">
        <v>3235.11428571429</v>
      </c>
      <c r="V399" s="59">
        <v>17650</v>
      </c>
    </row>
    <row r="400" spans="1:22" s="168" customFormat="1" ht="22.500000" customHeight="1">
      <c r="A400" s="34">
        <v>398</v>
      </c>
      <c r="B400" s="49">
        <v>35</v>
      </c>
      <c r="C400" s="49">
        <v>34</v>
      </c>
      <c r="D400" s="49">
        <v>1</v>
      </c>
      <c r="E400" s="49">
        <v>1</v>
      </c>
      <c r="F400" s="50">
        <f>(C400*100)/B400</f>
        <v>97.1428571428571</v>
      </c>
      <c r="G400" s="156">
        <f>(D400*100)/B400</f>
        <v>2.85714285714286</v>
      </c>
      <c r="H400" s="152">
        <f>((B400-B401)/B400)*100</f>
        <v>2.85714285714286</v>
      </c>
      <c r="I400" s="152">
        <f>((B400-C400)/B400)*100</f>
        <v>2.85714285714286</v>
      </c>
      <c r="J400" s="152">
        <f>((C400-B401)/C400)*100</f>
        <v>0</v>
      </c>
      <c r="K400" s="155"/>
      <c r="L400" s="54">
        <v>1</v>
      </c>
      <c r="M400" s="80" t="s">
        <v>28</v>
      </c>
      <c r="N400" s="54">
        <v>0</v>
      </c>
      <c r="O400" s="56">
        <f>N400/C400</f>
        <v>0</v>
      </c>
      <c r="P400" s="57">
        <f>(Boosters_And!B400*100)/Boosters_And!N400</f>
        <v>3.35570469798658</v>
      </c>
      <c r="Q400" s="57">
        <f>Boosters_And!B400/(C400+D400)</f>
        <v>0.142857142857143</v>
      </c>
      <c r="R400" s="57">
        <f>Boosters_And!N400/B400</f>
        <v>4.25714285714286</v>
      </c>
      <c r="S400" s="54">
        <v>8.61764705882352</v>
      </c>
      <c r="T400" s="58">
        <v>0.558823529411765</v>
      </c>
      <c r="U400" s="60">
        <v>3389.38235294118</v>
      </c>
      <c r="V400" s="59">
        <v>20280</v>
      </c>
    </row>
    <row r="401" spans="1:22" s="168" customFormat="1" ht="22.500000" customHeight="1">
      <c r="A401" s="34">
        <v>399</v>
      </c>
      <c r="B401" s="49">
        <v>34</v>
      </c>
      <c r="C401" s="49">
        <v>34</v>
      </c>
      <c r="D401" s="49">
        <v>34</v>
      </c>
      <c r="E401" s="49">
        <v>7</v>
      </c>
      <c r="F401" s="50">
        <f>(C401*100)/B401</f>
        <v>100</v>
      </c>
      <c r="G401" s="156">
        <f>(D401*100)/B401</f>
        <v>100</v>
      </c>
      <c r="H401" s="152">
        <f>((B401-B402)/B401)*100</f>
        <v>-2.94117647058824</v>
      </c>
      <c r="I401" s="152">
        <f>((B401-C401)/B401)*100</f>
        <v>0</v>
      </c>
      <c r="J401" s="152">
        <f>((C401-B402)/C401)*100</f>
        <v>-2.94117647058824</v>
      </c>
      <c r="K401" s="155"/>
      <c r="L401" s="54">
        <v>1.14705882352941</v>
      </c>
      <c r="M401" s="79" t="s">
        <v>28</v>
      </c>
      <c r="N401" s="54">
        <v>0</v>
      </c>
      <c r="O401" s="56">
        <f>N401/C401</f>
        <v>0</v>
      </c>
      <c r="P401" s="57">
        <f>(Boosters_And!B401*100)/Boosters_And!N401</f>
        <v>20.2354540674557</v>
      </c>
      <c r="Q401" s="57">
        <f>Boosters_And!B401/(C401+D401)</f>
        <v>1.05561070823689</v>
      </c>
      <c r="R401" s="57">
        <f>Boosters_And!N401/B401</f>
        <v>10.4332791813613</v>
      </c>
      <c r="S401" s="54">
        <v>4.3235294117647</v>
      </c>
      <c r="T401" s="58">
        <v>1</v>
      </c>
      <c r="U401" s="60">
        <v>3094.97058823529</v>
      </c>
      <c r="V401" s="59">
        <v>15475</v>
      </c>
    </row>
    <row r="402" spans="1:22" s="168" customFormat="1" ht="22.500000" customHeight="1">
      <c r="A402" s="34">
        <v>400</v>
      </c>
      <c r="B402" s="49">
        <v>35</v>
      </c>
      <c r="C402" s="49">
        <v>35</v>
      </c>
      <c r="D402" s="49">
        <v>32</v>
      </c>
      <c r="E402" s="49">
        <v>5</v>
      </c>
      <c r="F402" s="50">
        <f>(C402*100)/B402</f>
        <v>100</v>
      </c>
      <c r="G402" s="156">
        <f>(D402*100)/B402</f>
        <v>91.4285714285714</v>
      </c>
      <c r="H402" s="152">
        <f>((B402-B403)/B402)*100</f>
        <v>100</v>
      </c>
      <c r="I402" s="152">
        <f>((B402-C402)/B402)*100</f>
        <v>0</v>
      </c>
      <c r="J402" s="152">
        <f>((C402-B403)/C402)*100</f>
        <v>100</v>
      </c>
      <c r="K402" s="155"/>
      <c r="L402" s="54">
        <v>1.05714285714285</v>
      </c>
      <c r="M402" s="80" t="s">
        <v>28</v>
      </c>
      <c r="N402" s="54">
        <v>17.42</v>
      </c>
      <c r="O402" s="56">
        <f>N402/C402</f>
        <v>0.497714285714286</v>
      </c>
      <c r="P402" s="57">
        <f>(Boosters_And!B402*100)/Boosters_And!N402</f>
        <v>8.82544963012435</v>
      </c>
      <c r="Q402" s="57">
        <f>Boosters_And!B402/(C402+D402)</f>
        <v>0.358853435553714</v>
      </c>
      <c r="R402" s="57">
        <f>Boosters_And!N402/B402</f>
        <v>7.78371679623019</v>
      </c>
      <c r="S402" s="54">
        <v>16.3714285714285</v>
      </c>
      <c r="T402" s="58">
        <v>0.971428571428571</v>
      </c>
      <c r="U402" s="60">
        <v>3045.82857142857</v>
      </c>
      <c r="V402" s="59">
        <v>16375</v>
      </c>
    </row>
    <row r="403" spans="1:22" s="168" customFormat="1" ht="22.500000" customHeight="1">
      <c r="A403" s="34">
        <v>401</v>
      </c>
      <c r="B403" s="34"/>
      <c r="C403" s="34"/>
      <c r="D403" s="34"/>
      <c r="E403" s="34"/>
      <c r="F403" s="85"/>
      <c r="G403" s="159"/>
      <c r="H403" s="155"/>
      <c r="I403" s="164"/>
      <c r="J403" s="164"/>
      <c r="K403" s="155"/>
      <c r="L403" s="85"/>
      <c r="M403" s="79" t="s">
        <v>28</v>
      </c>
      <c r="N403" s="87"/>
      <c r="O403" s="20"/>
      <c r="P403" s="31"/>
      <c r="Q403" s="88"/>
      <c r="R403" s="88"/>
      <c r="S403" s="88"/>
      <c r="T403" s="58"/>
      <c r="U403" s="60"/>
      <c r="V403" s="89"/>
    </row>
    <row r="404" spans="1:22" s="168" customFormat="1" ht="22.500000" customHeight="1">
      <c r="A404" s="34">
        <v>402</v>
      </c>
      <c r="B404" s="34"/>
      <c r="C404" s="34"/>
      <c r="D404" s="34"/>
      <c r="E404" s="34"/>
      <c r="F404" s="85"/>
      <c r="G404" s="159"/>
      <c r="H404" s="155"/>
      <c r="I404" s="164"/>
      <c r="J404" s="164"/>
      <c r="K404" s="155"/>
      <c r="L404" s="85"/>
      <c r="M404" s="80" t="s">
        <v>28</v>
      </c>
      <c r="N404" s="87"/>
      <c r="O404" s="20"/>
      <c r="P404" s="31"/>
      <c r="Q404" s="88"/>
      <c r="R404" s="88"/>
      <c r="S404" s="88"/>
      <c r="T404" s="58"/>
      <c r="U404" s="60"/>
      <c r="V404" s="89"/>
    </row>
    <row r="405" spans="1:22" s="168" customFormat="1" ht="22.500000" customHeight="1">
      <c r="A405" s="34">
        <v>403</v>
      </c>
      <c r="B405" s="34"/>
      <c r="C405" s="34"/>
      <c r="D405" s="34"/>
      <c r="E405" s="34"/>
      <c r="F405" s="85"/>
      <c r="G405" s="159"/>
      <c r="H405" s="155"/>
      <c r="I405" s="164"/>
      <c r="J405" s="164"/>
      <c r="K405" s="155"/>
      <c r="L405" s="85"/>
      <c r="M405" s="83" t="s">
        <v>30</v>
      </c>
      <c r="N405" s="87"/>
      <c r="O405" s="20"/>
      <c r="P405" s="31"/>
      <c r="Q405" s="88"/>
      <c r="R405" s="88"/>
      <c r="S405" s="88"/>
      <c r="T405" s="58"/>
      <c r="U405" s="60"/>
      <c r="V405" s="89"/>
    </row>
    <row r="406" spans="1:22" s="168" customFormat="1" ht="22.500000" customHeight="1">
      <c r="A406" s="34">
        <v>404</v>
      </c>
      <c r="B406" s="34"/>
      <c r="C406" s="34"/>
      <c r="D406" s="34"/>
      <c r="E406" s="34"/>
      <c r="F406" s="85"/>
      <c r="G406" s="159"/>
      <c r="H406" s="155"/>
      <c r="I406" s="164"/>
      <c r="J406" s="164"/>
      <c r="K406" s="155"/>
      <c r="L406" s="85"/>
      <c r="M406" s="80" t="s">
        <v>28</v>
      </c>
      <c r="N406" s="87"/>
      <c r="O406" s="20"/>
      <c r="P406" s="31"/>
      <c r="Q406" s="88"/>
      <c r="R406" s="88"/>
      <c r="S406" s="88"/>
      <c r="T406" s="58"/>
      <c r="U406" s="60"/>
      <c r="V406" s="89"/>
    </row>
    <row r="407" spans="1:22" s="168" customFormat="1" ht="22.500000" customHeight="1">
      <c r="A407" s="34">
        <v>405</v>
      </c>
      <c r="B407" s="34"/>
      <c r="C407" s="34"/>
      <c r="D407" s="34"/>
      <c r="E407" s="34"/>
      <c r="F407" s="85"/>
      <c r="G407" s="159"/>
      <c r="H407" s="155"/>
      <c r="I407" s="164"/>
      <c r="J407" s="164"/>
      <c r="K407" s="155"/>
      <c r="L407" s="85"/>
      <c r="M407" s="79" t="s">
        <v>28</v>
      </c>
      <c r="N407" s="87"/>
      <c r="O407" s="20"/>
      <c r="P407" s="31"/>
      <c r="Q407" s="88"/>
      <c r="R407" s="88"/>
      <c r="S407" s="88"/>
      <c r="T407" s="58"/>
      <c r="U407" s="60"/>
      <c r="V407" s="89"/>
    </row>
    <row r="408" spans="1:22" s="168" customFormat="1" ht="22.500000" customHeight="1">
      <c r="A408" s="34">
        <v>406</v>
      </c>
      <c r="B408" s="34"/>
      <c r="C408" s="34"/>
      <c r="D408" s="34"/>
      <c r="E408" s="34"/>
      <c r="F408" s="85"/>
      <c r="G408" s="159"/>
      <c r="H408" s="155"/>
      <c r="I408" s="164"/>
      <c r="J408" s="164"/>
      <c r="K408" s="155"/>
      <c r="L408" s="85"/>
      <c r="M408" s="82" t="s">
        <v>29</v>
      </c>
      <c r="N408" s="87"/>
      <c r="O408" s="20"/>
      <c r="P408" s="31"/>
      <c r="Q408" s="88"/>
      <c r="R408" s="88"/>
      <c r="S408" s="88"/>
      <c r="T408" s="58"/>
      <c r="U408" s="60"/>
      <c r="V408" s="89"/>
    </row>
    <row r="409" spans="1:22" s="168" customFormat="1" ht="22.500000" customHeight="1">
      <c r="A409" s="34">
        <v>407</v>
      </c>
      <c r="B409" s="34"/>
      <c r="C409" s="34"/>
      <c r="D409" s="34"/>
      <c r="E409" s="34"/>
      <c r="F409" s="85"/>
      <c r="G409" s="159"/>
      <c r="H409" s="155"/>
      <c r="I409" s="164"/>
      <c r="J409" s="164"/>
      <c r="K409" s="155"/>
      <c r="L409" s="85"/>
      <c r="M409" s="81" t="s">
        <v>29</v>
      </c>
      <c r="N409" s="87"/>
      <c r="O409" s="20"/>
      <c r="P409" s="31"/>
      <c r="Q409" s="88"/>
      <c r="R409" s="88"/>
      <c r="S409" s="88"/>
      <c r="T409" s="58"/>
      <c r="U409" s="60"/>
      <c r="V409" s="89"/>
    </row>
    <row r="410" spans="1:22" s="168" customFormat="1" ht="22.500000" customHeight="1">
      <c r="A410" s="34">
        <v>408</v>
      </c>
      <c r="B410" s="34"/>
      <c r="C410" s="34"/>
      <c r="D410" s="34"/>
      <c r="E410" s="34"/>
      <c r="F410" s="85"/>
      <c r="G410" s="159"/>
      <c r="H410" s="155"/>
      <c r="I410" s="164"/>
      <c r="J410" s="164"/>
      <c r="K410" s="155"/>
      <c r="L410" s="85"/>
      <c r="M410" s="80" t="s">
        <v>28</v>
      </c>
      <c r="N410" s="87"/>
      <c r="O410" s="20"/>
      <c r="P410" s="31"/>
      <c r="Q410" s="88"/>
      <c r="R410" s="88"/>
      <c r="S410" s="88"/>
      <c r="T410" s="58"/>
      <c r="U410" s="60"/>
      <c r="V410" s="89"/>
    </row>
    <row r="411" spans="1:22" s="168" customFormat="1" ht="22.500000" customHeight="1">
      <c r="A411" s="34">
        <v>409</v>
      </c>
      <c r="B411" s="34"/>
      <c r="C411" s="34"/>
      <c r="D411" s="34"/>
      <c r="E411" s="34"/>
      <c r="F411" s="85"/>
      <c r="G411" s="159"/>
      <c r="H411" s="155"/>
      <c r="I411" s="164"/>
      <c r="J411" s="164"/>
      <c r="K411" s="155"/>
      <c r="L411" s="85"/>
      <c r="M411" s="83" t="s">
        <v>30</v>
      </c>
      <c r="N411" s="87"/>
      <c r="O411" s="20"/>
      <c r="P411" s="31"/>
      <c r="Q411" s="88"/>
      <c r="R411" s="88"/>
      <c r="S411" s="88"/>
      <c r="T411" s="58"/>
      <c r="U411" s="60"/>
      <c r="V411" s="89"/>
    </row>
    <row r="412" spans="1:22" s="168" customFormat="1" ht="22.500000" customHeight="1">
      <c r="A412" s="34">
        <v>410</v>
      </c>
      <c r="B412" s="34"/>
      <c r="C412" s="34"/>
      <c r="D412" s="34"/>
      <c r="E412" s="34"/>
      <c r="F412" s="85"/>
      <c r="G412" s="159"/>
      <c r="H412" s="155"/>
      <c r="I412" s="164"/>
      <c r="J412" s="164"/>
      <c r="K412" s="155"/>
      <c r="L412" s="85"/>
      <c r="M412" s="80" t="s">
        <v>28</v>
      </c>
      <c r="N412" s="87"/>
      <c r="O412" s="20"/>
      <c r="P412" s="31"/>
      <c r="Q412" s="88"/>
      <c r="R412" s="88"/>
      <c r="S412" s="88"/>
      <c r="T412" s="58"/>
      <c r="U412" s="60"/>
      <c r="V412" s="89"/>
    </row>
    <row r="413" spans="1:22" s="168" customFormat="1" ht="22.500000" customHeight="1">
      <c r="A413" s="34">
        <v>411</v>
      </c>
      <c r="B413" s="34"/>
      <c r="C413" s="34"/>
      <c r="D413" s="34"/>
      <c r="E413" s="34"/>
      <c r="F413" s="85"/>
      <c r="G413" s="159"/>
      <c r="H413" s="155"/>
      <c r="I413" s="164"/>
      <c r="J413" s="164"/>
      <c r="K413" s="155"/>
      <c r="L413" s="85"/>
      <c r="M413" s="81" t="s">
        <v>29</v>
      </c>
      <c r="N413" s="87"/>
      <c r="O413" s="20"/>
      <c r="P413" s="31"/>
      <c r="Q413" s="88"/>
      <c r="R413" s="88"/>
      <c r="S413" s="88"/>
      <c r="T413" s="58"/>
      <c r="U413" s="60"/>
      <c r="V413" s="89"/>
    </row>
    <row r="414" spans="1:22" s="168" customFormat="1" ht="22.500000" customHeight="1">
      <c r="A414" s="34">
        <v>412</v>
      </c>
      <c r="B414" s="34"/>
      <c r="C414" s="34"/>
      <c r="D414" s="34"/>
      <c r="E414" s="34"/>
      <c r="F414" s="85"/>
      <c r="G414" s="159"/>
      <c r="H414" s="155"/>
      <c r="I414" s="164"/>
      <c r="J414" s="164"/>
      <c r="K414" s="155"/>
      <c r="L414" s="85"/>
      <c r="M414" s="84" t="s">
        <v>30</v>
      </c>
      <c r="N414" s="87"/>
      <c r="O414" s="20"/>
      <c r="P414" s="31"/>
      <c r="Q414" s="88"/>
      <c r="R414" s="88"/>
      <c r="S414" s="88"/>
      <c r="T414" s="58"/>
      <c r="U414" s="60"/>
      <c r="V414" s="89"/>
    </row>
    <row r="415" spans="1:22" s="168" customFormat="1" ht="22.500000" customHeight="1">
      <c r="A415" s="34">
        <v>413</v>
      </c>
      <c r="B415" s="34"/>
      <c r="C415" s="34"/>
      <c r="D415" s="34"/>
      <c r="E415" s="34"/>
      <c r="F415" s="85"/>
      <c r="G415" s="159"/>
      <c r="H415" s="155"/>
      <c r="I415" s="164"/>
      <c r="J415" s="164"/>
      <c r="K415" s="155"/>
      <c r="L415" s="85"/>
      <c r="M415" s="79" t="s">
        <v>28</v>
      </c>
      <c r="N415" s="87"/>
      <c r="O415" s="20"/>
      <c r="P415" s="31"/>
      <c r="Q415" s="88"/>
      <c r="R415" s="88"/>
      <c r="S415" s="88"/>
      <c r="T415" s="58"/>
      <c r="U415" s="60"/>
      <c r="V415" s="89"/>
    </row>
    <row r="416" spans="1:22" s="168" customFormat="1" ht="22.500000" customHeight="1">
      <c r="A416" s="34">
        <v>414</v>
      </c>
      <c r="B416" s="34"/>
      <c r="C416" s="34"/>
      <c r="D416" s="34"/>
      <c r="E416" s="34"/>
      <c r="F416" s="85"/>
      <c r="G416" s="159"/>
      <c r="H416" s="155"/>
      <c r="I416" s="164"/>
      <c r="J416" s="164"/>
      <c r="K416" s="155"/>
      <c r="L416" s="85"/>
      <c r="M416" s="80" t="s">
        <v>28</v>
      </c>
      <c r="N416" s="87"/>
      <c r="O416" s="20"/>
      <c r="P416" s="31"/>
      <c r="Q416" s="88"/>
      <c r="R416" s="88"/>
      <c r="S416" s="88"/>
      <c r="T416" s="58"/>
      <c r="U416" s="60"/>
      <c r="V416" s="89"/>
    </row>
    <row r="417" spans="1:22" s="168" customFormat="1" ht="22.500000" customHeight="1">
      <c r="A417" s="34">
        <v>415</v>
      </c>
      <c r="B417" s="34"/>
      <c r="C417" s="34"/>
      <c r="D417" s="34"/>
      <c r="E417" s="34"/>
      <c r="F417" s="85"/>
      <c r="G417" s="159"/>
      <c r="H417" s="155"/>
      <c r="I417" s="164"/>
      <c r="J417" s="164"/>
      <c r="K417" s="155"/>
      <c r="L417" s="85"/>
      <c r="M417" s="79" t="s">
        <v>28</v>
      </c>
      <c r="N417" s="87"/>
      <c r="O417" s="20"/>
      <c r="P417" s="31"/>
      <c r="Q417" s="88"/>
      <c r="R417" s="88"/>
      <c r="S417" s="88"/>
      <c r="T417" s="58"/>
      <c r="U417" s="60"/>
      <c r="V417" s="89"/>
    </row>
    <row r="418" spans="1:22" s="168" customFormat="1" ht="22.500000" customHeight="1">
      <c r="A418" s="34">
        <v>416</v>
      </c>
      <c r="B418" s="34"/>
      <c r="C418" s="34"/>
      <c r="D418" s="34"/>
      <c r="E418" s="34"/>
      <c r="F418" s="85"/>
      <c r="G418" s="159"/>
      <c r="H418" s="155"/>
      <c r="I418" s="164"/>
      <c r="J418" s="164"/>
      <c r="K418" s="155"/>
      <c r="L418" s="85"/>
      <c r="M418" s="82" t="s">
        <v>29</v>
      </c>
      <c r="N418" s="87"/>
      <c r="O418" s="20"/>
      <c r="P418" s="31"/>
      <c r="Q418" s="88"/>
      <c r="R418" s="88"/>
      <c r="S418" s="88"/>
      <c r="T418" s="58"/>
      <c r="U418" s="60"/>
      <c r="V418" s="89"/>
    </row>
    <row r="419" spans="1:22" s="168" customFormat="1" ht="22.500000" customHeight="1">
      <c r="A419" s="34">
        <v>417</v>
      </c>
      <c r="B419" s="34"/>
      <c r="C419" s="34"/>
      <c r="D419" s="34"/>
      <c r="E419" s="34"/>
      <c r="F419" s="85"/>
      <c r="G419" s="159"/>
      <c r="H419" s="155"/>
      <c r="I419" s="164"/>
      <c r="J419" s="164"/>
      <c r="K419" s="155"/>
      <c r="L419" s="85"/>
      <c r="M419" s="83" t="s">
        <v>30</v>
      </c>
      <c r="N419" s="87"/>
      <c r="O419" s="20"/>
      <c r="P419" s="31"/>
      <c r="Q419" s="88"/>
      <c r="R419" s="88"/>
      <c r="S419" s="88"/>
      <c r="T419" s="58"/>
      <c r="U419" s="60"/>
      <c r="V419" s="89"/>
    </row>
    <row r="420" spans="1:22" s="168" customFormat="1" ht="22.500000" customHeight="1">
      <c r="A420" s="34">
        <v>418</v>
      </c>
      <c r="B420" s="34"/>
      <c r="C420" s="34"/>
      <c r="D420" s="34"/>
      <c r="E420" s="34"/>
      <c r="F420" s="85"/>
      <c r="G420" s="159"/>
      <c r="H420" s="155"/>
      <c r="I420" s="164"/>
      <c r="J420" s="164"/>
      <c r="K420" s="155"/>
      <c r="L420" s="85"/>
      <c r="M420" s="80" t="s">
        <v>28</v>
      </c>
      <c r="N420" s="87"/>
      <c r="O420" s="20"/>
      <c r="P420" s="31"/>
      <c r="Q420" s="88"/>
      <c r="R420" s="88"/>
      <c r="S420" s="88"/>
      <c r="T420" s="58"/>
      <c r="U420" s="60"/>
      <c r="V420" s="89"/>
    </row>
    <row r="421" spans="1:22" s="168" customFormat="1" ht="22.500000" customHeight="1">
      <c r="A421" s="34">
        <v>419</v>
      </c>
      <c r="B421" s="34"/>
      <c r="C421" s="34"/>
      <c r="D421" s="34"/>
      <c r="E421" s="34"/>
      <c r="F421" s="85"/>
      <c r="G421" s="159"/>
      <c r="H421" s="155"/>
      <c r="I421" s="164"/>
      <c r="J421" s="164"/>
      <c r="K421" s="155"/>
      <c r="L421" s="85"/>
      <c r="M421" s="79" t="s">
        <v>28</v>
      </c>
      <c r="N421" s="87"/>
      <c r="O421" s="20"/>
      <c r="P421" s="31"/>
      <c r="Q421" s="88"/>
      <c r="R421" s="88"/>
      <c r="S421" s="88"/>
      <c r="T421" s="58"/>
      <c r="U421" s="60"/>
      <c r="V421" s="89"/>
    </row>
    <row r="422" spans="1:22" s="168" customFormat="1" ht="22.500000" customHeight="1">
      <c r="A422" s="34">
        <v>420</v>
      </c>
      <c r="B422" s="34"/>
      <c r="C422" s="34"/>
      <c r="D422" s="34"/>
      <c r="E422" s="34"/>
      <c r="F422" s="85"/>
      <c r="G422" s="159"/>
      <c r="H422" s="155"/>
      <c r="I422" s="164"/>
      <c r="J422" s="164"/>
      <c r="K422" s="155"/>
      <c r="L422" s="85"/>
      <c r="M422" s="80" t="s">
        <v>28</v>
      </c>
      <c r="N422" s="87"/>
      <c r="O422" s="20"/>
      <c r="P422" s="31"/>
      <c r="Q422" s="88"/>
      <c r="R422" s="88"/>
      <c r="S422" s="88"/>
      <c r="T422" s="58"/>
      <c r="U422" s="60"/>
      <c r="V422" s="89"/>
    </row>
    <row r="423" spans="1:22" s="168" customFormat="1" ht="22.500000" customHeight="1">
      <c r="A423" s="34">
        <v>421</v>
      </c>
      <c r="B423" s="34"/>
      <c r="C423" s="34"/>
      <c r="D423" s="34"/>
      <c r="E423" s="34"/>
      <c r="F423" s="85"/>
      <c r="G423" s="159"/>
      <c r="H423" s="155"/>
      <c r="I423" s="164"/>
      <c r="J423" s="164"/>
      <c r="K423" s="155"/>
      <c r="L423" s="85"/>
      <c r="M423" s="81" t="s">
        <v>29</v>
      </c>
      <c r="N423" s="87"/>
      <c r="O423" s="20"/>
      <c r="P423" s="31"/>
      <c r="Q423" s="88"/>
      <c r="R423" s="88"/>
      <c r="S423" s="88"/>
      <c r="T423" s="58"/>
      <c r="U423" s="60"/>
      <c r="V423" s="89"/>
    </row>
    <row r="424" spans="1:22" s="168" customFormat="1" ht="22.500000" customHeight="1">
      <c r="A424" s="34">
        <v>422</v>
      </c>
      <c r="B424" s="34"/>
      <c r="C424" s="34"/>
      <c r="D424" s="34"/>
      <c r="E424" s="34"/>
      <c r="F424" s="85"/>
      <c r="G424" s="159"/>
      <c r="H424" s="155"/>
      <c r="I424" s="164"/>
      <c r="J424" s="164"/>
      <c r="K424" s="155"/>
      <c r="L424" s="85"/>
      <c r="M424" s="84" t="s">
        <v>30</v>
      </c>
      <c r="N424" s="87"/>
      <c r="O424" s="20"/>
      <c r="P424" s="31"/>
      <c r="Q424" s="88"/>
      <c r="R424" s="88"/>
      <c r="S424" s="88"/>
      <c r="T424" s="58"/>
      <c r="U424" s="60"/>
      <c r="V424" s="89"/>
    </row>
    <row r="425" spans="1:22" s="168" customFormat="1" ht="22.500000" customHeight="1">
      <c r="A425" s="34">
        <v>423</v>
      </c>
      <c r="B425" s="34"/>
      <c r="C425" s="34"/>
      <c r="D425" s="34"/>
      <c r="E425" s="34"/>
      <c r="F425" s="85"/>
      <c r="G425" s="159"/>
      <c r="H425" s="155"/>
      <c r="I425" s="164"/>
      <c r="J425" s="164"/>
      <c r="K425" s="155"/>
      <c r="L425" s="85"/>
      <c r="M425" s="79" t="s">
        <v>28</v>
      </c>
      <c r="N425" s="87"/>
      <c r="O425" s="20"/>
      <c r="P425" s="31"/>
      <c r="Q425" s="88"/>
      <c r="R425" s="88"/>
      <c r="S425" s="88"/>
      <c r="T425" s="58"/>
      <c r="U425" s="60"/>
      <c r="V425" s="89"/>
    </row>
    <row r="426" spans="1:22" s="168" customFormat="1" ht="22.500000" customHeight="1">
      <c r="A426" s="34">
        <v>424</v>
      </c>
      <c r="B426" s="34"/>
      <c r="C426" s="34"/>
      <c r="D426" s="34"/>
      <c r="E426" s="34"/>
      <c r="F426" s="85"/>
      <c r="G426" s="159"/>
      <c r="H426" s="155"/>
      <c r="I426" s="164"/>
      <c r="J426" s="164"/>
      <c r="K426" s="155"/>
      <c r="L426" s="85"/>
      <c r="M426" s="80" t="s">
        <v>28</v>
      </c>
      <c r="N426" s="87"/>
      <c r="O426" s="20"/>
      <c r="P426" s="31"/>
      <c r="Q426" s="88"/>
      <c r="R426" s="88"/>
      <c r="S426" s="88"/>
      <c r="T426" s="58"/>
      <c r="U426" s="60"/>
      <c r="V426" s="89"/>
    </row>
    <row r="427" spans="1:22" s="168" customFormat="1" ht="22.500000" customHeight="1">
      <c r="A427" s="34">
        <v>425</v>
      </c>
      <c r="B427" s="34"/>
      <c r="C427" s="34"/>
      <c r="D427" s="34"/>
      <c r="E427" s="34"/>
      <c r="F427" s="85"/>
      <c r="G427" s="159"/>
      <c r="H427" s="155"/>
      <c r="I427" s="164"/>
      <c r="J427" s="164"/>
      <c r="K427" s="155"/>
      <c r="L427" s="85"/>
      <c r="M427" s="79" t="s">
        <v>28</v>
      </c>
      <c r="N427" s="87"/>
      <c r="O427" s="20"/>
      <c r="P427" s="31"/>
      <c r="Q427" s="88"/>
      <c r="R427" s="88"/>
      <c r="S427" s="88"/>
      <c r="T427" s="58"/>
      <c r="U427" s="60"/>
      <c r="V427" s="89"/>
    </row>
    <row r="428" spans="1:22" s="168" customFormat="1" ht="22.500000" customHeight="1">
      <c r="A428" s="34">
        <v>426</v>
      </c>
      <c r="B428" s="34"/>
      <c r="C428" s="34"/>
      <c r="D428" s="34"/>
      <c r="E428" s="34"/>
      <c r="F428" s="85"/>
      <c r="G428" s="159"/>
      <c r="H428" s="155"/>
      <c r="I428" s="164"/>
      <c r="J428" s="164"/>
      <c r="K428" s="155"/>
      <c r="L428" s="85"/>
      <c r="M428" s="82" t="s">
        <v>29</v>
      </c>
      <c r="N428" s="87"/>
      <c r="O428" s="20"/>
      <c r="P428" s="31"/>
      <c r="Q428" s="88"/>
      <c r="R428" s="88"/>
      <c r="S428" s="88"/>
      <c r="T428" s="58"/>
      <c r="U428" s="60"/>
      <c r="V428" s="89"/>
    </row>
    <row r="429" spans="1:22" s="168" customFormat="1" ht="22.500000" customHeight="1">
      <c r="A429" s="34">
        <v>427</v>
      </c>
      <c r="B429" s="34"/>
      <c r="C429" s="34"/>
      <c r="D429" s="34"/>
      <c r="E429" s="34"/>
      <c r="F429" s="85"/>
      <c r="G429" s="159"/>
      <c r="H429" s="155"/>
      <c r="I429" s="164"/>
      <c r="J429" s="164"/>
      <c r="K429" s="155"/>
      <c r="L429" s="85"/>
      <c r="M429" s="83" t="s">
        <v>30</v>
      </c>
      <c r="N429" s="87"/>
      <c r="O429" s="20"/>
      <c r="P429" s="31"/>
      <c r="Q429" s="88"/>
      <c r="R429" s="88"/>
      <c r="S429" s="88"/>
      <c r="T429" s="58"/>
      <c r="U429" s="60"/>
      <c r="V429" s="89"/>
    </row>
    <row r="430" spans="1:22" s="168" customFormat="1" ht="22.500000" customHeight="1">
      <c r="A430" s="34">
        <v>428</v>
      </c>
      <c r="B430" s="34"/>
      <c r="C430" s="34"/>
      <c r="D430" s="34"/>
      <c r="E430" s="34"/>
      <c r="F430" s="85"/>
      <c r="G430" s="159"/>
      <c r="H430" s="155"/>
      <c r="I430" s="164"/>
      <c r="J430" s="164"/>
      <c r="K430" s="155"/>
      <c r="L430" s="85"/>
      <c r="M430" s="80" t="s">
        <v>28</v>
      </c>
      <c r="N430" s="87"/>
      <c r="O430" s="20"/>
      <c r="P430" s="31"/>
      <c r="Q430" s="88"/>
      <c r="R430" s="88"/>
      <c r="S430" s="88"/>
      <c r="T430" s="58"/>
      <c r="U430" s="60"/>
      <c r="V430" s="89"/>
    </row>
    <row r="431" spans="1:22" s="168" customFormat="1" ht="22.500000" customHeight="1">
      <c r="A431" s="34">
        <v>429</v>
      </c>
      <c r="B431" s="34"/>
      <c r="C431" s="34"/>
      <c r="D431" s="34"/>
      <c r="E431" s="34"/>
      <c r="F431" s="85"/>
      <c r="G431" s="159"/>
      <c r="H431" s="155"/>
      <c r="I431" s="164"/>
      <c r="J431" s="164"/>
      <c r="K431" s="155"/>
      <c r="L431" s="85"/>
      <c r="M431" s="79" t="s">
        <v>28</v>
      </c>
      <c r="N431" s="87"/>
      <c r="O431" s="20"/>
      <c r="P431" s="31"/>
      <c r="Q431" s="88"/>
      <c r="R431" s="88"/>
      <c r="S431" s="88"/>
      <c r="T431" s="58"/>
      <c r="U431" s="60"/>
      <c r="V431" s="89"/>
    </row>
    <row r="432" spans="1:22" s="168" customFormat="1" ht="22.500000" customHeight="1">
      <c r="A432" s="34">
        <v>430</v>
      </c>
      <c r="B432" s="34"/>
      <c r="C432" s="34"/>
      <c r="D432" s="34"/>
      <c r="E432" s="34"/>
      <c r="F432" s="85"/>
      <c r="G432" s="159"/>
      <c r="H432" s="155"/>
      <c r="I432" s="164"/>
      <c r="J432" s="164"/>
      <c r="K432" s="155"/>
      <c r="L432" s="85"/>
      <c r="M432" s="80" t="s">
        <v>28</v>
      </c>
      <c r="N432" s="87"/>
      <c r="O432" s="20"/>
      <c r="P432" s="31"/>
      <c r="Q432" s="88"/>
      <c r="R432" s="88"/>
      <c r="S432" s="88"/>
      <c r="T432" s="58"/>
      <c r="U432" s="60"/>
      <c r="V432" s="89"/>
    </row>
    <row r="433" spans="1:22" s="168" customFormat="1" ht="22.500000" customHeight="1">
      <c r="A433" s="34">
        <v>431</v>
      </c>
      <c r="B433" s="34"/>
      <c r="C433" s="34"/>
      <c r="D433" s="34"/>
      <c r="E433" s="34"/>
      <c r="F433" s="85"/>
      <c r="G433" s="159"/>
      <c r="H433" s="155"/>
      <c r="I433" s="164"/>
      <c r="J433" s="164"/>
      <c r="K433" s="155"/>
      <c r="L433" s="85"/>
      <c r="M433" s="81" t="s">
        <v>29</v>
      </c>
      <c r="N433" s="87"/>
      <c r="O433" s="20"/>
      <c r="P433" s="31"/>
      <c r="Q433" s="88"/>
      <c r="R433" s="88"/>
      <c r="S433" s="88"/>
      <c r="T433" s="58"/>
      <c r="U433" s="60"/>
      <c r="V433" s="89"/>
    </row>
    <row r="434" spans="1:22" s="168" customFormat="1" ht="22.500000" customHeight="1">
      <c r="A434" s="34">
        <v>432</v>
      </c>
      <c r="B434" s="34"/>
      <c r="C434" s="34"/>
      <c r="D434" s="34"/>
      <c r="E434" s="34"/>
      <c r="F434" s="85"/>
      <c r="G434" s="159"/>
      <c r="H434" s="155"/>
      <c r="I434" s="164"/>
      <c r="J434" s="164"/>
      <c r="K434" s="155"/>
      <c r="L434" s="85"/>
      <c r="M434" s="82" t="s">
        <v>29</v>
      </c>
      <c r="N434" s="87"/>
      <c r="O434" s="20"/>
      <c r="P434" s="31"/>
      <c r="Q434" s="88"/>
      <c r="R434" s="88"/>
      <c r="S434" s="88"/>
      <c r="T434" s="58"/>
      <c r="U434" s="60"/>
      <c r="V434" s="89"/>
    </row>
    <row r="435" spans="1:22" s="168" customFormat="1" ht="22.500000" customHeight="1">
      <c r="A435" s="34">
        <v>433</v>
      </c>
      <c r="B435" s="34"/>
      <c r="C435" s="34"/>
      <c r="D435" s="34"/>
      <c r="E435" s="34"/>
      <c r="F435" s="85"/>
      <c r="G435" s="159"/>
      <c r="H435" s="155"/>
      <c r="I435" s="164"/>
      <c r="J435" s="164"/>
      <c r="K435" s="155"/>
      <c r="L435" s="85"/>
      <c r="M435" s="79" t="s">
        <v>28</v>
      </c>
      <c r="N435" s="87"/>
      <c r="O435" s="20"/>
      <c r="P435" s="31"/>
      <c r="Q435" s="88"/>
      <c r="R435" s="88"/>
      <c r="S435" s="88"/>
      <c r="T435" s="58"/>
      <c r="U435" s="60"/>
      <c r="V435" s="89"/>
    </row>
    <row r="436" spans="1:22" s="168" customFormat="1" ht="22.500000" customHeight="1">
      <c r="A436" s="34">
        <v>434</v>
      </c>
      <c r="B436" s="34"/>
      <c r="C436" s="34"/>
      <c r="D436" s="34"/>
      <c r="E436" s="34"/>
      <c r="F436" s="85"/>
      <c r="G436" s="159"/>
      <c r="H436" s="155"/>
      <c r="I436" s="164"/>
      <c r="J436" s="164"/>
      <c r="K436" s="155"/>
      <c r="L436" s="85"/>
      <c r="M436" s="80" t="s">
        <v>28</v>
      </c>
      <c r="N436" s="87"/>
      <c r="O436" s="20"/>
      <c r="P436" s="31"/>
      <c r="Q436" s="88"/>
      <c r="R436" s="88"/>
      <c r="S436" s="88"/>
      <c r="T436" s="58"/>
      <c r="U436" s="60"/>
      <c r="V436" s="89"/>
    </row>
    <row r="437" spans="1:22" s="168" customFormat="1" ht="22.500000" customHeight="1">
      <c r="A437" s="34">
        <v>435</v>
      </c>
      <c r="B437" s="34"/>
      <c r="C437" s="34"/>
      <c r="D437" s="34"/>
      <c r="E437" s="34"/>
      <c r="F437" s="85"/>
      <c r="G437" s="159"/>
      <c r="H437" s="155"/>
      <c r="I437" s="164"/>
      <c r="J437" s="164"/>
      <c r="K437" s="155"/>
      <c r="L437" s="85"/>
      <c r="M437" s="79" t="s">
        <v>28</v>
      </c>
      <c r="N437" s="87"/>
      <c r="O437" s="20"/>
      <c r="P437" s="31"/>
      <c r="Q437" s="88"/>
      <c r="R437" s="88"/>
      <c r="S437" s="88"/>
      <c r="T437" s="58"/>
      <c r="U437" s="60"/>
      <c r="V437" s="89"/>
    </row>
    <row r="438" spans="1:22" s="168" customFormat="1" ht="22.500000" customHeight="1">
      <c r="A438" s="34">
        <v>436</v>
      </c>
      <c r="B438" s="34"/>
      <c r="C438" s="34"/>
      <c r="D438" s="34"/>
      <c r="E438" s="34"/>
      <c r="F438" s="85"/>
      <c r="G438" s="159"/>
      <c r="H438" s="155"/>
      <c r="I438" s="164"/>
      <c r="J438" s="164"/>
      <c r="K438" s="155"/>
      <c r="L438" s="85"/>
      <c r="M438" s="80" t="s">
        <v>28</v>
      </c>
      <c r="N438" s="87"/>
      <c r="O438" s="20"/>
      <c r="P438" s="31"/>
      <c r="Q438" s="88"/>
      <c r="R438" s="88"/>
      <c r="S438" s="88"/>
      <c r="T438" s="58"/>
      <c r="U438" s="60"/>
      <c r="V438" s="89"/>
    </row>
    <row r="439" spans="1:22" s="168" customFormat="1" ht="22.500000" customHeight="1">
      <c r="A439" s="34">
        <v>437</v>
      </c>
      <c r="B439" s="34"/>
      <c r="C439" s="34"/>
      <c r="D439" s="34"/>
      <c r="E439" s="34"/>
      <c r="F439" s="85"/>
      <c r="G439" s="159"/>
      <c r="H439" s="155"/>
      <c r="I439" s="164"/>
      <c r="J439" s="164"/>
      <c r="K439" s="155"/>
      <c r="L439" s="85"/>
      <c r="M439" s="79" t="s">
        <v>28</v>
      </c>
      <c r="N439" s="87"/>
      <c r="O439" s="20"/>
      <c r="P439" s="31"/>
      <c r="Q439" s="88"/>
      <c r="R439" s="88"/>
      <c r="S439" s="88"/>
      <c r="T439" s="58"/>
      <c r="U439" s="60"/>
      <c r="V439" s="89"/>
    </row>
    <row r="440" spans="1:22" s="168" customFormat="1" ht="22.500000" customHeight="1">
      <c r="A440" s="34">
        <v>438</v>
      </c>
      <c r="B440" s="34"/>
      <c r="C440" s="34"/>
      <c r="D440" s="34"/>
      <c r="E440" s="34"/>
      <c r="F440" s="85"/>
      <c r="G440" s="159"/>
      <c r="H440" s="155"/>
      <c r="I440" s="164"/>
      <c r="J440" s="164"/>
      <c r="K440" s="155"/>
      <c r="L440" s="85"/>
      <c r="M440" s="80" t="s">
        <v>28</v>
      </c>
      <c r="N440" s="87"/>
      <c r="O440" s="20"/>
      <c r="P440" s="31"/>
      <c r="Q440" s="88"/>
      <c r="R440" s="88"/>
      <c r="S440" s="88"/>
      <c r="T440" s="58"/>
      <c r="U440" s="60"/>
      <c r="V440" s="89"/>
    </row>
    <row r="441" spans="1:22" s="168" customFormat="1" ht="22.500000" customHeight="1">
      <c r="A441" s="34">
        <v>439</v>
      </c>
      <c r="B441" s="34"/>
      <c r="C441" s="34"/>
      <c r="D441" s="34"/>
      <c r="E441" s="34"/>
      <c r="F441" s="85"/>
      <c r="G441" s="159"/>
      <c r="H441" s="155"/>
      <c r="I441" s="164"/>
      <c r="J441" s="164"/>
      <c r="K441" s="155"/>
      <c r="L441" s="85"/>
      <c r="M441" s="79" t="s">
        <v>28</v>
      </c>
      <c r="N441" s="87"/>
      <c r="O441" s="20"/>
      <c r="P441" s="31"/>
      <c r="Q441" s="88"/>
      <c r="R441" s="88"/>
      <c r="S441" s="88"/>
      <c r="T441" s="58"/>
      <c r="U441" s="60"/>
      <c r="V441" s="89"/>
    </row>
    <row r="442" spans="1:22" s="168" customFormat="1" ht="22.500000" customHeight="1">
      <c r="A442" s="34">
        <v>440</v>
      </c>
      <c r="B442" s="34"/>
      <c r="C442" s="34"/>
      <c r="D442" s="34"/>
      <c r="E442" s="34"/>
      <c r="F442" s="85"/>
      <c r="G442" s="159"/>
      <c r="H442" s="155"/>
      <c r="I442" s="164"/>
      <c r="J442" s="164"/>
      <c r="K442" s="155"/>
      <c r="L442" s="85"/>
      <c r="M442" s="80" t="s">
        <v>28</v>
      </c>
      <c r="N442" s="87"/>
      <c r="O442" s="20"/>
      <c r="P442" s="31"/>
      <c r="Q442" s="88"/>
      <c r="R442" s="88"/>
      <c r="S442" s="88"/>
      <c r="T442" s="58"/>
      <c r="U442" s="60"/>
      <c r="V442" s="89"/>
    </row>
    <row r="443" spans="1:22" s="168" customFormat="1" ht="22.500000" customHeight="1">
      <c r="A443" s="34">
        <v>441</v>
      </c>
      <c r="B443" s="34"/>
      <c r="C443" s="34"/>
      <c r="D443" s="34"/>
      <c r="E443" s="34"/>
      <c r="F443" s="85"/>
      <c r="G443" s="159"/>
      <c r="H443" s="155"/>
      <c r="I443" s="164"/>
      <c r="J443" s="164"/>
      <c r="K443" s="155"/>
      <c r="L443" s="85"/>
      <c r="M443" s="81" t="s">
        <v>29</v>
      </c>
      <c r="N443" s="87"/>
      <c r="O443" s="20"/>
      <c r="P443" s="31"/>
      <c r="Q443" s="88"/>
      <c r="R443" s="88"/>
      <c r="S443" s="88"/>
      <c r="T443" s="58"/>
      <c r="U443" s="60"/>
      <c r="V443" s="89"/>
    </row>
    <row r="444" spans="1:22" s="168" customFormat="1" ht="22.500000" customHeight="1">
      <c r="A444" s="34">
        <v>442</v>
      </c>
      <c r="B444" s="34"/>
      <c r="C444" s="34"/>
      <c r="D444" s="34"/>
      <c r="E444" s="34"/>
      <c r="F444" s="85"/>
      <c r="G444" s="159"/>
      <c r="H444" s="155"/>
      <c r="I444" s="164"/>
      <c r="J444" s="164"/>
      <c r="K444" s="155"/>
      <c r="L444" s="85"/>
      <c r="M444" s="84" t="s">
        <v>30</v>
      </c>
      <c r="N444" s="87"/>
      <c r="O444" s="20"/>
      <c r="P444" s="31"/>
      <c r="Q444" s="88"/>
      <c r="R444" s="88"/>
      <c r="S444" s="88"/>
      <c r="T444" s="58"/>
      <c r="U444" s="60"/>
      <c r="V444" s="89"/>
    </row>
    <row r="445" spans="1:22" s="168" customFormat="1" ht="22.500000" customHeight="1">
      <c r="A445" s="34">
        <v>443</v>
      </c>
      <c r="B445" s="34"/>
      <c r="C445" s="34"/>
      <c r="D445" s="34"/>
      <c r="E445" s="34"/>
      <c r="F445" s="85"/>
      <c r="G445" s="159"/>
      <c r="H445" s="155"/>
      <c r="I445" s="164"/>
      <c r="J445" s="164"/>
      <c r="K445" s="155"/>
      <c r="L445" s="85"/>
      <c r="M445" s="79" t="s">
        <v>28</v>
      </c>
      <c r="N445" s="87"/>
      <c r="O445" s="20"/>
      <c r="P445" s="31"/>
      <c r="Q445" s="88"/>
      <c r="R445" s="88"/>
      <c r="S445" s="88"/>
      <c r="T445" s="58"/>
      <c r="U445" s="60"/>
      <c r="V445" s="89"/>
    </row>
    <row r="446" spans="1:22" s="168" customFormat="1" ht="22.500000" customHeight="1">
      <c r="A446" s="34">
        <v>444</v>
      </c>
      <c r="B446" s="34"/>
      <c r="C446" s="34"/>
      <c r="D446" s="34"/>
      <c r="E446" s="34"/>
      <c r="F446" s="85"/>
      <c r="G446" s="159"/>
      <c r="H446" s="155"/>
      <c r="I446" s="164"/>
      <c r="J446" s="164"/>
      <c r="K446" s="155"/>
      <c r="L446" s="85"/>
      <c r="M446" s="80" t="s">
        <v>28</v>
      </c>
      <c r="N446" s="87"/>
      <c r="O446" s="20"/>
      <c r="P446" s="31"/>
      <c r="Q446" s="88"/>
      <c r="R446" s="88"/>
      <c r="S446" s="88"/>
      <c r="T446" s="58"/>
      <c r="U446" s="60"/>
      <c r="V446" s="89"/>
    </row>
    <row r="447" spans="1:22" s="168" customFormat="1" ht="22.500000" customHeight="1">
      <c r="A447" s="34">
        <v>445</v>
      </c>
      <c r="B447" s="34"/>
      <c r="C447" s="34"/>
      <c r="D447" s="34"/>
      <c r="E447" s="34"/>
      <c r="F447" s="85"/>
      <c r="G447" s="159"/>
      <c r="H447" s="155"/>
      <c r="I447" s="164"/>
      <c r="J447" s="164"/>
      <c r="K447" s="155"/>
      <c r="L447" s="85"/>
      <c r="M447" s="79" t="s">
        <v>28</v>
      </c>
      <c r="N447" s="87"/>
      <c r="O447" s="20"/>
      <c r="P447" s="31"/>
      <c r="Q447" s="88"/>
      <c r="R447" s="88"/>
      <c r="S447" s="88"/>
      <c r="T447" s="58"/>
      <c r="U447" s="60"/>
      <c r="V447" s="89"/>
    </row>
    <row r="448" spans="1:22" s="168" customFormat="1" ht="22.500000" customHeight="1">
      <c r="A448" s="34">
        <v>446</v>
      </c>
      <c r="B448" s="34"/>
      <c r="C448" s="34"/>
      <c r="D448" s="34"/>
      <c r="E448" s="34"/>
      <c r="F448" s="85"/>
      <c r="G448" s="159"/>
      <c r="H448" s="155"/>
      <c r="I448" s="164"/>
      <c r="J448" s="164"/>
      <c r="K448" s="155"/>
      <c r="L448" s="85"/>
      <c r="M448" s="82" t="s">
        <v>29</v>
      </c>
      <c r="N448" s="87"/>
      <c r="O448" s="20"/>
      <c r="P448" s="31"/>
      <c r="Q448" s="88"/>
      <c r="R448" s="88"/>
      <c r="S448" s="88"/>
      <c r="T448" s="58"/>
      <c r="U448" s="60"/>
      <c r="V448" s="89"/>
    </row>
    <row r="449" spans="1:22" s="168" customFormat="1" ht="22.500000" customHeight="1">
      <c r="A449" s="34">
        <v>447</v>
      </c>
      <c r="B449" s="34"/>
      <c r="C449" s="34"/>
      <c r="D449" s="34"/>
      <c r="E449" s="34"/>
      <c r="F449" s="85"/>
      <c r="G449" s="159"/>
      <c r="H449" s="155"/>
      <c r="I449" s="164"/>
      <c r="J449" s="164"/>
      <c r="K449" s="155"/>
      <c r="L449" s="85"/>
      <c r="M449" s="81" t="s">
        <v>29</v>
      </c>
      <c r="N449" s="87"/>
      <c r="O449" s="20"/>
      <c r="P449" s="31"/>
      <c r="Q449" s="88"/>
      <c r="R449" s="88"/>
      <c r="S449" s="88"/>
      <c r="T449" s="58"/>
      <c r="U449" s="60"/>
      <c r="V449" s="89"/>
    </row>
    <row r="450" spans="1:22" s="168" customFormat="1" ht="22.500000" customHeight="1">
      <c r="A450" s="34">
        <v>448</v>
      </c>
      <c r="B450" s="34"/>
      <c r="C450" s="34"/>
      <c r="D450" s="34"/>
      <c r="E450" s="34"/>
      <c r="F450" s="85"/>
      <c r="G450" s="159"/>
      <c r="H450" s="155"/>
      <c r="I450" s="164"/>
      <c r="J450" s="164"/>
      <c r="K450" s="155"/>
      <c r="L450" s="85"/>
      <c r="M450" s="80" t="s">
        <v>28</v>
      </c>
      <c r="N450" s="87"/>
      <c r="O450" s="20"/>
      <c r="P450" s="31"/>
      <c r="Q450" s="88"/>
      <c r="R450" s="88"/>
      <c r="S450" s="88"/>
      <c r="T450" s="58"/>
      <c r="U450" s="60"/>
      <c r="V450" s="89"/>
    </row>
    <row r="451" spans="1:22" s="168" customFormat="1" ht="22.500000" customHeight="1">
      <c r="A451" s="34">
        <v>449</v>
      </c>
      <c r="B451" s="34"/>
      <c r="C451" s="34"/>
      <c r="D451" s="34"/>
      <c r="E451" s="34"/>
      <c r="F451" s="85"/>
      <c r="G451" s="159"/>
      <c r="H451" s="155"/>
      <c r="I451" s="164"/>
      <c r="J451" s="164"/>
      <c r="K451" s="155"/>
      <c r="L451" s="85"/>
      <c r="M451" s="79" t="s">
        <v>28</v>
      </c>
      <c r="N451" s="87"/>
      <c r="O451" s="20"/>
      <c r="P451" s="31"/>
      <c r="Q451" s="88"/>
      <c r="R451" s="88"/>
      <c r="S451" s="88"/>
      <c r="T451" s="58"/>
      <c r="U451" s="60"/>
      <c r="V451" s="89"/>
    </row>
    <row r="452" spans="1:22" s="168" customFormat="1" ht="22.500000" customHeight="1">
      <c r="A452" s="34">
        <v>450</v>
      </c>
      <c r="B452" s="34"/>
      <c r="C452" s="34"/>
      <c r="D452" s="34"/>
      <c r="E452" s="34"/>
      <c r="F452" s="85"/>
      <c r="G452" s="159"/>
      <c r="H452" s="155"/>
      <c r="I452" s="164"/>
      <c r="J452" s="164"/>
      <c r="K452" s="155"/>
      <c r="L452" s="85"/>
      <c r="M452" s="80" t="s">
        <v>28</v>
      </c>
      <c r="N452" s="87"/>
      <c r="O452" s="20"/>
      <c r="P452" s="31"/>
      <c r="Q452" s="88"/>
      <c r="R452" s="88"/>
      <c r="S452" s="88"/>
      <c r="T452" s="58"/>
      <c r="U452" s="60"/>
      <c r="V452" s="89"/>
    </row>
    <row r="453" spans="1:22" s="168" customFormat="1" ht="22.500000" customHeight="1">
      <c r="A453" s="34">
        <v>451</v>
      </c>
      <c r="B453" s="34"/>
      <c r="C453" s="34"/>
      <c r="D453" s="34"/>
      <c r="E453" s="34"/>
      <c r="F453" s="85"/>
      <c r="G453" s="159"/>
      <c r="H453" s="155"/>
      <c r="I453" s="164"/>
      <c r="J453" s="164"/>
      <c r="K453" s="155"/>
      <c r="L453" s="85"/>
      <c r="M453" s="79" t="s">
        <v>28</v>
      </c>
      <c r="N453" s="87"/>
      <c r="O453" s="20"/>
      <c r="P453" s="31"/>
      <c r="Q453" s="88"/>
      <c r="R453" s="88"/>
      <c r="S453" s="88"/>
      <c r="T453" s="58"/>
      <c r="U453" s="60"/>
      <c r="V453" s="89"/>
    </row>
    <row r="454" spans="1:22" s="168" customFormat="1" ht="22.500000" customHeight="1">
      <c r="A454" s="34">
        <v>452</v>
      </c>
      <c r="B454" s="34"/>
      <c r="C454" s="34"/>
      <c r="D454" s="34"/>
      <c r="E454" s="34"/>
      <c r="F454" s="85"/>
      <c r="G454" s="159"/>
      <c r="H454" s="155"/>
      <c r="I454" s="164"/>
      <c r="J454" s="164"/>
      <c r="K454" s="155"/>
      <c r="L454" s="85"/>
      <c r="M454" s="80" t="s">
        <v>28</v>
      </c>
      <c r="N454" s="87"/>
      <c r="O454" s="20"/>
      <c r="P454" s="31"/>
      <c r="Q454" s="88"/>
      <c r="R454" s="88"/>
      <c r="S454" s="88"/>
      <c r="T454" s="58"/>
      <c r="U454" s="60"/>
      <c r="V454" s="89"/>
    </row>
    <row r="455" spans="1:22" s="168" customFormat="1" ht="22.500000" customHeight="1">
      <c r="A455" s="34">
        <v>453</v>
      </c>
      <c r="B455" s="34"/>
      <c r="C455" s="34"/>
      <c r="D455" s="34"/>
      <c r="E455" s="34"/>
      <c r="F455" s="85"/>
      <c r="G455" s="159"/>
      <c r="H455" s="155"/>
      <c r="I455" s="164"/>
      <c r="J455" s="164"/>
      <c r="K455" s="155"/>
      <c r="L455" s="85"/>
      <c r="M455" s="79" t="s">
        <v>28</v>
      </c>
      <c r="N455" s="87"/>
      <c r="O455" s="20"/>
      <c r="P455" s="31"/>
      <c r="Q455" s="88"/>
      <c r="R455" s="88"/>
      <c r="S455" s="88"/>
      <c r="T455" s="58"/>
      <c r="U455" s="60"/>
      <c r="V455" s="89"/>
    </row>
    <row r="456" spans="1:22" s="168" customFormat="1" ht="22.500000" customHeight="1">
      <c r="A456" s="34">
        <v>454</v>
      </c>
      <c r="B456" s="34"/>
      <c r="C456" s="34"/>
      <c r="D456" s="34"/>
      <c r="E456" s="34"/>
      <c r="F456" s="85"/>
      <c r="G456" s="159"/>
      <c r="H456" s="155"/>
      <c r="I456" s="164"/>
      <c r="J456" s="164"/>
      <c r="K456" s="155"/>
      <c r="L456" s="85"/>
      <c r="M456" s="80" t="s">
        <v>28</v>
      </c>
      <c r="N456" s="87"/>
      <c r="O456" s="20"/>
      <c r="P456" s="31"/>
      <c r="Q456" s="88"/>
      <c r="R456" s="88"/>
      <c r="S456" s="88"/>
      <c r="T456" s="58"/>
      <c r="U456" s="60"/>
      <c r="V456" s="89"/>
    </row>
    <row r="457" spans="1:22" s="168" customFormat="1" ht="22.500000" customHeight="1">
      <c r="A457" s="34">
        <v>455</v>
      </c>
      <c r="B457" s="34"/>
      <c r="C457" s="34"/>
      <c r="D457" s="34"/>
      <c r="E457" s="34"/>
      <c r="F457" s="85"/>
      <c r="G457" s="159"/>
      <c r="H457" s="155"/>
      <c r="I457" s="164"/>
      <c r="J457" s="164"/>
      <c r="K457" s="155"/>
      <c r="L457" s="85"/>
      <c r="M457" s="79" t="s">
        <v>28</v>
      </c>
      <c r="N457" s="87"/>
      <c r="O457" s="20"/>
      <c r="P457" s="31"/>
      <c r="Q457" s="88"/>
      <c r="R457" s="88"/>
      <c r="S457" s="88"/>
      <c r="T457" s="58"/>
      <c r="U457" s="60"/>
      <c r="V457" s="89"/>
    </row>
    <row r="458" spans="1:22" s="168" customFormat="1" ht="22.500000" customHeight="1">
      <c r="A458" s="34">
        <v>456</v>
      </c>
      <c r="B458" s="34"/>
      <c r="C458" s="34"/>
      <c r="D458" s="34"/>
      <c r="E458" s="34"/>
      <c r="F458" s="85"/>
      <c r="G458" s="159"/>
      <c r="H458" s="155"/>
      <c r="I458" s="164"/>
      <c r="J458" s="164"/>
      <c r="K458" s="155"/>
      <c r="L458" s="85"/>
      <c r="M458" s="82" t="s">
        <v>29</v>
      </c>
      <c r="N458" s="87"/>
      <c r="O458" s="20"/>
      <c r="P458" s="31"/>
      <c r="Q458" s="88"/>
      <c r="R458" s="88"/>
      <c r="S458" s="88"/>
      <c r="T458" s="58"/>
      <c r="U458" s="60"/>
      <c r="V458" s="89"/>
    </row>
    <row r="459" spans="1:22" s="168" customFormat="1" ht="22.500000" customHeight="1">
      <c r="A459" s="34">
        <v>457</v>
      </c>
      <c r="B459" s="34"/>
      <c r="C459" s="34"/>
      <c r="D459" s="34"/>
      <c r="E459" s="34"/>
      <c r="F459" s="85"/>
      <c r="G459" s="159"/>
      <c r="H459" s="155"/>
      <c r="I459" s="164"/>
      <c r="J459" s="164"/>
      <c r="K459" s="155"/>
      <c r="L459" s="85"/>
      <c r="M459" s="83" t="s">
        <v>30</v>
      </c>
      <c r="N459" s="87"/>
      <c r="O459" s="20"/>
      <c r="P459" s="31"/>
      <c r="Q459" s="88"/>
      <c r="R459" s="88"/>
      <c r="S459" s="88"/>
      <c r="T459" s="58"/>
      <c r="U459" s="60"/>
      <c r="V459" s="89"/>
    </row>
    <row r="460" spans="1:22" s="168" customFormat="1" ht="22.500000" customHeight="1">
      <c r="A460" s="34">
        <v>458</v>
      </c>
      <c r="B460" s="34"/>
      <c r="C460" s="34"/>
      <c r="D460" s="34"/>
      <c r="E460" s="34"/>
      <c r="F460" s="85"/>
      <c r="G460" s="159"/>
      <c r="H460" s="155"/>
      <c r="I460" s="164"/>
      <c r="J460" s="164"/>
      <c r="K460" s="155"/>
      <c r="L460" s="85"/>
      <c r="M460" s="82" t="s">
        <v>29</v>
      </c>
      <c r="N460" s="87"/>
      <c r="O460" s="20"/>
      <c r="P460" s="31"/>
      <c r="Q460" s="88"/>
      <c r="R460" s="88"/>
      <c r="S460" s="88"/>
      <c r="T460" s="58"/>
      <c r="U460" s="60"/>
      <c r="V460" s="89"/>
    </row>
    <row r="461" spans="1:22" s="168" customFormat="1" ht="22.500000" customHeight="1">
      <c r="A461" s="34">
        <v>459</v>
      </c>
      <c r="B461" s="34"/>
      <c r="C461" s="34"/>
      <c r="D461" s="34"/>
      <c r="E461" s="34"/>
      <c r="F461" s="85"/>
      <c r="G461" s="159"/>
      <c r="H461" s="155"/>
      <c r="I461" s="164"/>
      <c r="J461" s="164"/>
      <c r="K461" s="155"/>
      <c r="L461" s="85"/>
      <c r="M461" s="83" t="s">
        <v>30</v>
      </c>
      <c r="N461" s="87"/>
      <c r="O461" s="20"/>
      <c r="P461" s="31"/>
      <c r="Q461" s="88"/>
      <c r="R461" s="88"/>
      <c r="S461" s="88"/>
      <c r="T461" s="58"/>
      <c r="U461" s="60"/>
      <c r="V461" s="89"/>
    </row>
    <row r="462" spans="1:22" s="168" customFormat="1" ht="22.500000" customHeight="1">
      <c r="A462" s="34">
        <v>460</v>
      </c>
      <c r="B462" s="34"/>
      <c r="C462" s="34"/>
      <c r="D462" s="34"/>
      <c r="E462" s="34"/>
      <c r="F462" s="85"/>
      <c r="G462" s="159"/>
      <c r="H462" s="155"/>
      <c r="I462" s="164"/>
      <c r="J462" s="164"/>
      <c r="K462" s="155"/>
      <c r="L462" s="85"/>
      <c r="M462" s="80" t="s">
        <v>28</v>
      </c>
      <c r="N462" s="87"/>
      <c r="O462" s="20"/>
      <c r="P462" s="31"/>
      <c r="Q462" s="88"/>
      <c r="R462" s="88"/>
      <c r="S462" s="88"/>
      <c r="T462" s="58"/>
      <c r="U462" s="60"/>
      <c r="V462" s="89"/>
    </row>
    <row r="463" spans="1:22" s="168" customFormat="1" ht="22.500000" customHeight="1">
      <c r="A463" s="34">
        <v>461</v>
      </c>
      <c r="B463" s="34"/>
      <c r="C463" s="34"/>
      <c r="D463" s="34"/>
      <c r="E463" s="34"/>
      <c r="F463" s="85"/>
      <c r="G463" s="159"/>
      <c r="H463" s="155"/>
      <c r="I463" s="164"/>
      <c r="J463" s="164"/>
      <c r="K463" s="155"/>
      <c r="L463" s="85"/>
      <c r="M463" s="79" t="s">
        <v>28</v>
      </c>
      <c r="N463" s="87"/>
      <c r="O463" s="20"/>
      <c r="P463" s="31"/>
      <c r="Q463" s="88"/>
      <c r="R463" s="88"/>
      <c r="S463" s="88"/>
      <c r="T463" s="58"/>
      <c r="U463" s="60"/>
      <c r="V463" s="89"/>
    </row>
    <row r="464" spans="1:22" s="168" customFormat="1" ht="22.500000" customHeight="1">
      <c r="A464" s="34">
        <v>462</v>
      </c>
      <c r="B464" s="34"/>
      <c r="C464" s="34"/>
      <c r="D464" s="34"/>
      <c r="E464" s="34"/>
      <c r="F464" s="85"/>
      <c r="G464" s="159"/>
      <c r="H464" s="155"/>
      <c r="I464" s="164"/>
      <c r="J464" s="164"/>
      <c r="K464" s="155"/>
      <c r="L464" s="85"/>
      <c r="M464" s="80" t="s">
        <v>28</v>
      </c>
      <c r="N464" s="87"/>
      <c r="O464" s="20"/>
      <c r="P464" s="31"/>
      <c r="Q464" s="88"/>
      <c r="R464" s="88"/>
      <c r="S464" s="88"/>
      <c r="T464" s="58"/>
      <c r="U464" s="60"/>
      <c r="V464" s="89"/>
    </row>
    <row r="465" spans="1:22" s="168" customFormat="1" ht="22.500000" customHeight="1">
      <c r="A465" s="34">
        <v>463</v>
      </c>
      <c r="B465" s="34"/>
      <c r="C465" s="34"/>
      <c r="D465" s="34"/>
      <c r="E465" s="34"/>
      <c r="F465" s="85"/>
      <c r="G465" s="159"/>
      <c r="H465" s="155"/>
      <c r="I465" s="164"/>
      <c r="J465" s="164"/>
      <c r="K465" s="155"/>
      <c r="L465" s="85"/>
      <c r="M465" s="79" t="s">
        <v>28</v>
      </c>
      <c r="N465" s="87"/>
      <c r="O465" s="20"/>
      <c r="P465" s="31"/>
      <c r="Q465" s="88"/>
      <c r="R465" s="88"/>
      <c r="S465" s="88"/>
      <c r="T465" s="58"/>
      <c r="U465" s="60"/>
      <c r="V465" s="89"/>
    </row>
    <row r="466" spans="1:22" s="168" customFormat="1" ht="22.500000" customHeight="1">
      <c r="A466" s="34">
        <v>464</v>
      </c>
      <c r="B466" s="34"/>
      <c r="C466" s="34"/>
      <c r="D466" s="34"/>
      <c r="E466" s="34"/>
      <c r="F466" s="85"/>
      <c r="G466" s="159"/>
      <c r="H466" s="155"/>
      <c r="I466" s="164"/>
      <c r="J466" s="164"/>
      <c r="K466" s="155"/>
      <c r="L466" s="85"/>
      <c r="M466" s="82" t="s">
        <v>29</v>
      </c>
      <c r="N466" s="87"/>
      <c r="O466" s="20"/>
      <c r="P466" s="31"/>
      <c r="Q466" s="88"/>
      <c r="R466" s="88"/>
      <c r="S466" s="88"/>
      <c r="T466" s="58"/>
      <c r="U466" s="60"/>
      <c r="V466" s="89"/>
    </row>
    <row r="467" spans="1:22" s="168" customFormat="1" ht="22.500000" customHeight="1">
      <c r="A467" s="34">
        <v>465</v>
      </c>
      <c r="B467" s="34"/>
      <c r="C467" s="34"/>
      <c r="D467" s="34"/>
      <c r="E467" s="34"/>
      <c r="F467" s="85"/>
      <c r="G467" s="159"/>
      <c r="H467" s="155"/>
      <c r="I467" s="164"/>
      <c r="J467" s="164"/>
      <c r="K467" s="155"/>
      <c r="L467" s="85"/>
      <c r="M467" s="83" t="s">
        <v>30</v>
      </c>
      <c r="N467" s="87"/>
      <c r="O467" s="20"/>
      <c r="P467" s="31"/>
      <c r="Q467" s="88"/>
      <c r="R467" s="88"/>
      <c r="S467" s="88"/>
      <c r="T467" s="58"/>
      <c r="U467" s="60"/>
      <c r="V467" s="89"/>
    </row>
    <row r="468" spans="1:22" s="168" customFormat="1" ht="22.500000" customHeight="1">
      <c r="A468" s="34">
        <v>466</v>
      </c>
      <c r="B468" s="34"/>
      <c r="C468" s="34"/>
      <c r="D468" s="34"/>
      <c r="E468" s="34"/>
      <c r="F468" s="85"/>
      <c r="G468" s="159"/>
      <c r="H468" s="155"/>
      <c r="I468" s="164"/>
      <c r="J468" s="164"/>
      <c r="K468" s="155"/>
      <c r="L468" s="85"/>
      <c r="M468" s="80" t="s">
        <v>28</v>
      </c>
      <c r="N468" s="87"/>
      <c r="O468" s="20"/>
      <c r="P468" s="31"/>
      <c r="Q468" s="88"/>
      <c r="R468" s="88"/>
      <c r="S468" s="88"/>
      <c r="T468" s="58"/>
      <c r="U468" s="60"/>
      <c r="V468" s="89"/>
    </row>
    <row r="469" spans="1:22" s="168" customFormat="1" ht="22.500000" customHeight="1">
      <c r="A469" s="34">
        <v>467</v>
      </c>
      <c r="B469" s="34"/>
      <c r="C469" s="34"/>
      <c r="D469" s="34"/>
      <c r="E469" s="34"/>
      <c r="F469" s="85"/>
      <c r="G469" s="159"/>
      <c r="H469" s="155"/>
      <c r="I469" s="164"/>
      <c r="J469" s="164"/>
      <c r="K469" s="155"/>
      <c r="L469" s="85"/>
      <c r="M469" s="79" t="s">
        <v>28</v>
      </c>
      <c r="N469" s="87"/>
      <c r="O469" s="20"/>
      <c r="P469" s="31"/>
      <c r="Q469" s="88"/>
      <c r="R469" s="88"/>
      <c r="S469" s="88"/>
      <c r="T469" s="58"/>
      <c r="U469" s="60"/>
      <c r="V469" s="89"/>
    </row>
    <row r="470" spans="1:22" s="168" customFormat="1" ht="22.500000" customHeight="1">
      <c r="A470" s="34">
        <v>468</v>
      </c>
      <c r="B470" s="34"/>
      <c r="C470" s="34"/>
      <c r="D470" s="34"/>
      <c r="E470" s="34"/>
      <c r="F470" s="85"/>
      <c r="G470" s="159"/>
      <c r="H470" s="155"/>
      <c r="I470" s="164"/>
      <c r="J470" s="164"/>
      <c r="K470" s="155"/>
      <c r="L470" s="85"/>
      <c r="M470" s="80" t="s">
        <v>28</v>
      </c>
      <c r="N470" s="87"/>
      <c r="O470" s="20"/>
      <c r="P470" s="31"/>
      <c r="Q470" s="88"/>
      <c r="R470" s="88"/>
      <c r="S470" s="88"/>
      <c r="T470" s="58"/>
      <c r="U470" s="60"/>
      <c r="V470" s="89"/>
    </row>
    <row r="471" spans="1:22" s="168" customFormat="1" ht="22.500000" customHeight="1">
      <c r="A471" s="34">
        <v>469</v>
      </c>
      <c r="B471" s="34"/>
      <c r="C471" s="34"/>
      <c r="D471" s="34"/>
      <c r="E471" s="34"/>
      <c r="F471" s="85"/>
      <c r="G471" s="159"/>
      <c r="H471" s="155"/>
      <c r="I471" s="164"/>
      <c r="J471" s="164"/>
      <c r="K471" s="155"/>
      <c r="L471" s="85"/>
      <c r="M471" s="81" t="s">
        <v>29</v>
      </c>
      <c r="N471" s="87"/>
      <c r="O471" s="20"/>
      <c r="P471" s="31"/>
      <c r="Q471" s="88"/>
      <c r="R471" s="88"/>
      <c r="S471" s="88"/>
      <c r="T471" s="58"/>
      <c r="U471" s="60"/>
      <c r="V471" s="89"/>
    </row>
    <row r="472" spans="1:22" s="168" customFormat="1" ht="22.500000" customHeight="1">
      <c r="A472" s="34">
        <v>470</v>
      </c>
      <c r="B472" s="34"/>
      <c r="C472" s="34"/>
      <c r="D472" s="34"/>
      <c r="E472" s="34"/>
      <c r="F472" s="85"/>
      <c r="G472" s="159"/>
      <c r="H472" s="155"/>
      <c r="I472" s="164"/>
      <c r="J472" s="164"/>
      <c r="K472" s="155"/>
      <c r="L472" s="85"/>
      <c r="M472" s="84" t="s">
        <v>30</v>
      </c>
      <c r="N472" s="87"/>
      <c r="O472" s="20"/>
      <c r="P472" s="31"/>
      <c r="Q472" s="88"/>
      <c r="R472" s="88"/>
      <c r="S472" s="88"/>
      <c r="T472" s="58"/>
      <c r="U472" s="60"/>
      <c r="V472" s="89"/>
    </row>
    <row r="473" spans="1:22" s="168" customFormat="1" ht="22.500000" customHeight="1">
      <c r="A473" s="34">
        <v>471</v>
      </c>
      <c r="B473" s="34"/>
      <c r="C473" s="34"/>
      <c r="D473" s="34"/>
      <c r="E473" s="34"/>
      <c r="F473" s="85"/>
      <c r="G473" s="159"/>
      <c r="H473" s="155"/>
      <c r="I473" s="164"/>
      <c r="J473" s="164"/>
      <c r="K473" s="155"/>
      <c r="L473" s="85"/>
      <c r="M473" s="79" t="s">
        <v>28</v>
      </c>
      <c r="N473" s="87"/>
      <c r="O473" s="20"/>
      <c r="P473" s="31"/>
      <c r="Q473" s="88"/>
      <c r="R473" s="88"/>
      <c r="S473" s="88"/>
      <c r="T473" s="58"/>
      <c r="U473" s="60"/>
      <c r="V473" s="89"/>
    </row>
    <row r="474" spans="1:22" s="168" customFormat="1" ht="22.500000" customHeight="1">
      <c r="A474" s="34">
        <v>472</v>
      </c>
      <c r="B474" s="34"/>
      <c r="C474" s="34"/>
      <c r="D474" s="34"/>
      <c r="E474" s="34"/>
      <c r="F474" s="85"/>
      <c r="G474" s="159"/>
      <c r="H474" s="155"/>
      <c r="I474" s="164"/>
      <c r="J474" s="164"/>
      <c r="K474" s="155"/>
      <c r="L474" s="85"/>
      <c r="M474" s="80" t="s">
        <v>28</v>
      </c>
      <c r="N474" s="87"/>
      <c r="O474" s="20"/>
      <c r="P474" s="31"/>
      <c r="Q474" s="88"/>
      <c r="R474" s="88"/>
      <c r="S474" s="88"/>
      <c r="T474" s="58"/>
      <c r="U474" s="60"/>
      <c r="V474" s="89"/>
    </row>
    <row r="475" spans="1:22" s="168" customFormat="1" ht="22.500000" customHeight="1">
      <c r="A475" s="34">
        <v>473</v>
      </c>
      <c r="B475" s="34"/>
      <c r="C475" s="34"/>
      <c r="D475" s="34"/>
      <c r="E475" s="34"/>
      <c r="F475" s="85"/>
      <c r="G475" s="159"/>
      <c r="H475" s="155"/>
      <c r="I475" s="164"/>
      <c r="J475" s="164"/>
      <c r="K475" s="155"/>
      <c r="L475" s="85"/>
      <c r="M475" s="79" t="s">
        <v>28</v>
      </c>
      <c r="N475" s="87"/>
      <c r="O475" s="20"/>
      <c r="P475" s="31"/>
      <c r="Q475" s="88"/>
      <c r="R475" s="88"/>
      <c r="S475" s="88"/>
      <c r="T475" s="58"/>
      <c r="U475" s="60"/>
      <c r="V475" s="89"/>
    </row>
    <row r="476" spans="1:22" s="168" customFormat="1" ht="22.500000" customHeight="1">
      <c r="A476" s="34">
        <v>474</v>
      </c>
      <c r="B476" s="34"/>
      <c r="C476" s="34"/>
      <c r="D476" s="34"/>
      <c r="E476" s="34"/>
      <c r="F476" s="85"/>
      <c r="G476" s="159"/>
      <c r="H476" s="155"/>
      <c r="I476" s="164"/>
      <c r="J476" s="164"/>
      <c r="K476" s="155"/>
      <c r="L476" s="85"/>
      <c r="M476" s="82" t="s">
        <v>29</v>
      </c>
      <c r="N476" s="87"/>
      <c r="O476" s="20"/>
      <c r="P476" s="31"/>
      <c r="Q476" s="88"/>
      <c r="R476" s="88"/>
      <c r="S476" s="88"/>
      <c r="T476" s="58"/>
      <c r="U476" s="60"/>
      <c r="V476" s="89"/>
    </row>
    <row r="477" spans="1:22" s="168" customFormat="1" ht="22.500000" customHeight="1">
      <c r="A477" s="34">
        <v>475</v>
      </c>
      <c r="B477" s="34"/>
      <c r="C477" s="34"/>
      <c r="D477" s="34"/>
      <c r="E477" s="34"/>
      <c r="F477" s="85"/>
      <c r="G477" s="159"/>
      <c r="H477" s="155"/>
      <c r="I477" s="164"/>
      <c r="J477" s="164"/>
      <c r="K477" s="155"/>
      <c r="L477" s="85"/>
      <c r="M477" s="83" t="s">
        <v>30</v>
      </c>
      <c r="N477" s="87"/>
      <c r="O477" s="20"/>
      <c r="P477" s="31"/>
      <c r="Q477" s="88"/>
      <c r="R477" s="88"/>
      <c r="S477" s="88"/>
      <c r="T477" s="58"/>
      <c r="U477" s="60"/>
      <c r="V477" s="89"/>
    </row>
    <row r="478" spans="1:22" s="168" customFormat="1" ht="22.500000" customHeight="1">
      <c r="A478" s="34">
        <v>476</v>
      </c>
      <c r="B478" s="34"/>
      <c r="C478" s="34"/>
      <c r="D478" s="34"/>
      <c r="E478" s="34"/>
      <c r="F478" s="85"/>
      <c r="G478" s="159"/>
      <c r="H478" s="155"/>
      <c r="I478" s="164"/>
      <c r="J478" s="164"/>
      <c r="K478" s="155"/>
      <c r="L478" s="85"/>
      <c r="M478" s="80" t="s">
        <v>28</v>
      </c>
      <c r="N478" s="87"/>
      <c r="O478" s="20"/>
      <c r="P478" s="31"/>
      <c r="Q478" s="88"/>
      <c r="R478" s="88"/>
      <c r="S478" s="88"/>
      <c r="T478" s="58"/>
      <c r="U478" s="60"/>
      <c r="V478" s="89"/>
    </row>
    <row r="479" spans="1:22" s="168" customFormat="1" ht="22.500000" customHeight="1">
      <c r="A479" s="34">
        <v>477</v>
      </c>
      <c r="B479" s="34"/>
      <c r="C479" s="34"/>
      <c r="D479" s="34"/>
      <c r="E479" s="34"/>
      <c r="F479" s="85"/>
      <c r="G479" s="159"/>
      <c r="H479" s="155"/>
      <c r="I479" s="164"/>
      <c r="J479" s="164"/>
      <c r="K479" s="155"/>
      <c r="L479" s="85"/>
      <c r="M479" s="79" t="s">
        <v>28</v>
      </c>
      <c r="N479" s="87"/>
      <c r="O479" s="20"/>
      <c r="P479" s="31"/>
      <c r="Q479" s="88"/>
      <c r="R479" s="88"/>
      <c r="S479" s="88"/>
      <c r="T479" s="58"/>
      <c r="U479" s="60"/>
      <c r="V479" s="89"/>
    </row>
    <row r="480" spans="1:22" s="168" customFormat="1" ht="22.500000" customHeight="1">
      <c r="A480" s="34">
        <v>478</v>
      </c>
      <c r="B480" s="34"/>
      <c r="C480" s="34"/>
      <c r="D480" s="34"/>
      <c r="E480" s="34"/>
      <c r="F480" s="85"/>
      <c r="G480" s="159"/>
      <c r="H480" s="155"/>
      <c r="I480" s="164"/>
      <c r="J480" s="164"/>
      <c r="K480" s="155"/>
      <c r="L480" s="85"/>
      <c r="M480" s="80" t="s">
        <v>28</v>
      </c>
      <c r="N480" s="87"/>
      <c r="O480" s="20"/>
      <c r="P480" s="31"/>
      <c r="Q480" s="88"/>
      <c r="R480" s="88"/>
      <c r="S480" s="88"/>
      <c r="T480" s="58"/>
      <c r="U480" s="60"/>
      <c r="V480" s="89"/>
    </row>
    <row r="481" spans="1:22" s="168" customFormat="1" ht="22.500000" customHeight="1">
      <c r="A481" s="34">
        <v>479</v>
      </c>
      <c r="B481" s="34"/>
      <c r="C481" s="34"/>
      <c r="D481" s="34"/>
      <c r="E481" s="34"/>
      <c r="F481" s="85"/>
      <c r="G481" s="159"/>
      <c r="H481" s="155"/>
      <c r="I481" s="164"/>
      <c r="J481" s="164"/>
      <c r="K481" s="155"/>
      <c r="L481" s="85"/>
      <c r="M481" s="81" t="s">
        <v>29</v>
      </c>
      <c r="N481" s="87"/>
      <c r="O481" s="20"/>
      <c r="P481" s="31"/>
      <c r="Q481" s="88"/>
      <c r="R481" s="88"/>
      <c r="S481" s="88"/>
      <c r="T481" s="58"/>
      <c r="U481" s="60"/>
      <c r="V481" s="89"/>
    </row>
    <row r="482" spans="1:22" s="168" customFormat="1" ht="22.500000" customHeight="1">
      <c r="A482" s="34">
        <v>480</v>
      </c>
      <c r="B482" s="34"/>
      <c r="C482" s="34"/>
      <c r="D482" s="34"/>
      <c r="E482" s="34"/>
      <c r="F482" s="85"/>
      <c r="G482" s="159"/>
      <c r="H482" s="155"/>
      <c r="I482" s="164"/>
      <c r="J482" s="164"/>
      <c r="K482" s="155"/>
      <c r="L482" s="85"/>
      <c r="M482" s="84" t="s">
        <v>30</v>
      </c>
      <c r="N482" s="87"/>
      <c r="O482" s="20"/>
      <c r="P482" s="31"/>
      <c r="Q482" s="88"/>
      <c r="R482" s="88"/>
      <c r="S482" s="88"/>
      <c r="T482" s="58"/>
      <c r="U482" s="60"/>
      <c r="V482" s="89"/>
    </row>
    <row r="483" spans="1:22" s="168" customFormat="1" ht="22.500000" customHeight="1">
      <c r="A483" s="34">
        <v>481</v>
      </c>
      <c r="B483" s="34"/>
      <c r="C483" s="34"/>
      <c r="D483" s="34"/>
      <c r="E483" s="34"/>
      <c r="F483" s="85"/>
      <c r="G483" s="159"/>
      <c r="H483" s="155"/>
      <c r="I483" s="164"/>
      <c r="J483" s="164"/>
      <c r="K483" s="155"/>
      <c r="L483" s="85"/>
      <c r="M483" s="79" t="s">
        <v>28</v>
      </c>
      <c r="N483" s="87"/>
      <c r="O483" s="20"/>
      <c r="P483" s="31"/>
      <c r="Q483" s="88"/>
      <c r="R483" s="88"/>
      <c r="S483" s="88"/>
      <c r="T483" s="58"/>
      <c r="U483" s="60"/>
      <c r="V483" s="89"/>
    </row>
    <row r="484" spans="1:22" s="168" customFormat="1" ht="22.500000" customHeight="1">
      <c r="A484" s="34">
        <v>482</v>
      </c>
      <c r="B484" s="34"/>
      <c r="C484" s="34"/>
      <c r="D484" s="34"/>
      <c r="E484" s="34"/>
      <c r="F484" s="85"/>
      <c r="G484" s="159"/>
      <c r="H484" s="155"/>
      <c r="I484" s="164"/>
      <c r="J484" s="164"/>
      <c r="K484" s="155"/>
      <c r="L484" s="85"/>
      <c r="M484" s="80" t="s">
        <v>28</v>
      </c>
      <c r="N484" s="87"/>
      <c r="O484" s="20"/>
      <c r="P484" s="31"/>
      <c r="Q484" s="88"/>
      <c r="R484" s="88"/>
      <c r="S484" s="88"/>
      <c r="T484" s="58"/>
      <c r="U484" s="60"/>
      <c r="V484" s="89"/>
    </row>
    <row r="485" spans="1:22" s="168" customFormat="1" ht="22.500000" customHeight="1">
      <c r="A485" s="34">
        <v>483</v>
      </c>
      <c r="B485" s="34"/>
      <c r="C485" s="34"/>
      <c r="D485" s="34"/>
      <c r="E485" s="34"/>
      <c r="F485" s="85"/>
      <c r="G485" s="159"/>
      <c r="H485" s="155"/>
      <c r="I485" s="164"/>
      <c r="J485" s="164"/>
      <c r="K485" s="155"/>
      <c r="L485" s="85"/>
      <c r="M485" s="79" t="s">
        <v>28</v>
      </c>
      <c r="N485" s="87"/>
      <c r="O485" s="20"/>
      <c r="P485" s="31"/>
      <c r="Q485" s="88"/>
      <c r="R485" s="88"/>
      <c r="S485" s="88"/>
      <c r="T485" s="58"/>
      <c r="U485" s="60"/>
      <c r="V485" s="89"/>
    </row>
    <row r="486" spans="1:22" s="168" customFormat="1" ht="22.500000" customHeight="1">
      <c r="A486" s="34">
        <v>484</v>
      </c>
      <c r="B486" s="34"/>
      <c r="C486" s="34"/>
      <c r="D486" s="34"/>
      <c r="E486" s="34"/>
      <c r="F486" s="85"/>
      <c r="G486" s="159"/>
      <c r="H486" s="155"/>
      <c r="I486" s="164"/>
      <c r="J486" s="164"/>
      <c r="K486" s="155"/>
      <c r="L486" s="85"/>
      <c r="M486" s="82" t="s">
        <v>29</v>
      </c>
      <c r="N486" s="87"/>
      <c r="O486" s="20"/>
      <c r="P486" s="31"/>
      <c r="Q486" s="88"/>
      <c r="R486" s="88"/>
      <c r="S486" s="88"/>
      <c r="T486" s="58"/>
      <c r="U486" s="60"/>
      <c r="V486" s="89"/>
    </row>
    <row r="487" spans="1:22" s="168" customFormat="1" ht="22.500000" customHeight="1">
      <c r="A487" s="34">
        <v>485</v>
      </c>
      <c r="B487" s="34"/>
      <c r="C487" s="34"/>
      <c r="D487" s="34"/>
      <c r="E487" s="34"/>
      <c r="F487" s="85"/>
      <c r="G487" s="159"/>
      <c r="H487" s="155"/>
      <c r="I487" s="164"/>
      <c r="J487" s="164"/>
      <c r="K487" s="155"/>
      <c r="L487" s="85"/>
      <c r="M487" s="83" t="s">
        <v>30</v>
      </c>
      <c r="N487" s="87"/>
      <c r="O487" s="20"/>
      <c r="P487" s="31"/>
      <c r="Q487" s="88"/>
      <c r="R487" s="88"/>
      <c r="S487" s="88"/>
      <c r="T487" s="58"/>
      <c r="U487" s="60"/>
      <c r="V487" s="89"/>
    </row>
    <row r="488" spans="1:22" s="168" customFormat="1" ht="22.500000" customHeight="1">
      <c r="A488" s="34">
        <v>486</v>
      </c>
      <c r="B488" s="34"/>
      <c r="C488" s="34"/>
      <c r="D488" s="34"/>
      <c r="E488" s="34"/>
      <c r="F488" s="85"/>
      <c r="G488" s="159"/>
      <c r="H488" s="155"/>
      <c r="I488" s="164"/>
      <c r="J488" s="164"/>
      <c r="K488" s="155"/>
      <c r="L488" s="85"/>
      <c r="M488" s="80" t="s">
        <v>28</v>
      </c>
      <c r="N488" s="87"/>
      <c r="O488" s="20"/>
      <c r="P488" s="31"/>
      <c r="Q488" s="88"/>
      <c r="R488" s="88"/>
      <c r="S488" s="88"/>
      <c r="T488" s="58"/>
      <c r="U488" s="60"/>
      <c r="V488" s="89"/>
    </row>
    <row r="489" spans="1:22" s="168" customFormat="1" ht="22.500000" customHeight="1">
      <c r="A489" s="34">
        <v>487</v>
      </c>
      <c r="B489" s="34"/>
      <c r="C489" s="34"/>
      <c r="D489" s="34"/>
      <c r="E489" s="34"/>
      <c r="F489" s="85"/>
      <c r="G489" s="159"/>
      <c r="H489" s="155"/>
      <c r="I489" s="164"/>
      <c r="J489" s="164"/>
      <c r="K489" s="155"/>
      <c r="L489" s="85"/>
      <c r="M489" s="79" t="s">
        <v>28</v>
      </c>
      <c r="N489" s="87"/>
      <c r="O489" s="20"/>
      <c r="P489" s="31"/>
      <c r="Q489" s="88"/>
      <c r="R489" s="88"/>
      <c r="S489" s="88"/>
      <c r="T489" s="58"/>
      <c r="U489" s="60"/>
      <c r="V489" s="89"/>
    </row>
    <row r="490" spans="1:22" s="168" customFormat="1" ht="22.500000" customHeight="1">
      <c r="A490" s="34">
        <v>488</v>
      </c>
      <c r="B490" s="34"/>
      <c r="C490" s="34"/>
      <c r="D490" s="34"/>
      <c r="E490" s="34"/>
      <c r="F490" s="85"/>
      <c r="G490" s="159"/>
      <c r="H490" s="155"/>
      <c r="I490" s="164"/>
      <c r="J490" s="164"/>
      <c r="K490" s="155"/>
      <c r="L490" s="85"/>
      <c r="M490" s="80" t="s">
        <v>28</v>
      </c>
      <c r="N490" s="87"/>
      <c r="O490" s="20"/>
      <c r="P490" s="31"/>
      <c r="Q490" s="88"/>
      <c r="R490" s="88"/>
      <c r="S490" s="88"/>
      <c r="T490" s="58"/>
      <c r="U490" s="60"/>
      <c r="V490" s="89"/>
    </row>
    <row r="491" spans="1:22" s="168" customFormat="1" ht="22.500000" customHeight="1">
      <c r="A491" s="34">
        <v>489</v>
      </c>
      <c r="B491" s="34"/>
      <c r="C491" s="34"/>
      <c r="D491" s="34"/>
      <c r="E491" s="34"/>
      <c r="F491" s="85"/>
      <c r="G491" s="159"/>
      <c r="H491" s="155"/>
      <c r="I491" s="164"/>
      <c r="J491" s="164"/>
      <c r="K491" s="155"/>
      <c r="L491" s="85"/>
      <c r="M491" s="81" t="s">
        <v>29</v>
      </c>
      <c r="N491" s="87"/>
      <c r="O491" s="20"/>
      <c r="P491" s="31"/>
      <c r="Q491" s="88"/>
      <c r="R491" s="88"/>
      <c r="S491" s="88"/>
      <c r="T491" s="58"/>
      <c r="U491" s="60"/>
      <c r="V491" s="89"/>
    </row>
    <row r="492" spans="1:22" s="168" customFormat="1" ht="22.500000" customHeight="1">
      <c r="A492" s="34">
        <v>490</v>
      </c>
      <c r="B492" s="34"/>
      <c r="C492" s="34"/>
      <c r="D492" s="34"/>
      <c r="E492" s="34"/>
      <c r="F492" s="85"/>
      <c r="G492" s="159"/>
      <c r="H492" s="155"/>
      <c r="I492" s="164"/>
      <c r="J492" s="164"/>
      <c r="K492" s="155"/>
      <c r="L492" s="85"/>
      <c r="M492" s="84" t="s">
        <v>30</v>
      </c>
      <c r="N492" s="87"/>
      <c r="O492" s="20"/>
      <c r="P492" s="31"/>
      <c r="Q492" s="88"/>
      <c r="R492" s="88"/>
      <c r="S492" s="88"/>
      <c r="T492" s="58"/>
      <c r="U492" s="60"/>
      <c r="V492" s="89"/>
    </row>
    <row r="493" spans="1:22" s="168" customFormat="1" ht="22.500000" customHeight="1">
      <c r="A493" s="34">
        <v>491</v>
      </c>
      <c r="B493" s="34"/>
      <c r="C493" s="34"/>
      <c r="D493" s="34"/>
      <c r="E493" s="34"/>
      <c r="F493" s="85"/>
      <c r="G493" s="159"/>
      <c r="H493" s="155"/>
      <c r="I493" s="164"/>
      <c r="J493" s="164"/>
      <c r="K493" s="155"/>
      <c r="L493" s="85"/>
      <c r="M493" s="79" t="s">
        <v>28</v>
      </c>
      <c r="N493" s="87"/>
      <c r="O493" s="20"/>
      <c r="P493" s="31"/>
      <c r="Q493" s="88"/>
      <c r="R493" s="88"/>
      <c r="S493" s="88"/>
      <c r="T493" s="58"/>
      <c r="U493" s="60"/>
      <c r="V493" s="89"/>
    </row>
    <row r="494" spans="1:22" s="168" customFormat="1" ht="22.500000" customHeight="1">
      <c r="A494" s="34">
        <v>492</v>
      </c>
      <c r="B494" s="34"/>
      <c r="C494" s="34"/>
      <c r="D494" s="34"/>
      <c r="E494" s="34"/>
      <c r="F494" s="85"/>
      <c r="G494" s="159"/>
      <c r="H494" s="155"/>
      <c r="I494" s="164"/>
      <c r="J494" s="164"/>
      <c r="K494" s="155"/>
      <c r="L494" s="85"/>
      <c r="M494" s="80" t="s">
        <v>28</v>
      </c>
      <c r="N494" s="87"/>
      <c r="O494" s="20"/>
      <c r="P494" s="31"/>
      <c r="Q494" s="88"/>
      <c r="R494" s="88"/>
      <c r="S494" s="88"/>
      <c r="T494" s="58"/>
      <c r="U494" s="60"/>
      <c r="V494" s="89"/>
    </row>
    <row r="495" spans="1:22" s="168" customFormat="1" ht="22.500000" customHeight="1">
      <c r="A495" s="34">
        <v>493</v>
      </c>
      <c r="B495" s="34"/>
      <c r="C495" s="34"/>
      <c r="D495" s="34"/>
      <c r="E495" s="34"/>
      <c r="F495" s="85"/>
      <c r="G495" s="159"/>
      <c r="H495" s="155"/>
      <c r="I495" s="164"/>
      <c r="J495" s="164"/>
      <c r="K495" s="155"/>
      <c r="L495" s="85"/>
      <c r="M495" s="79" t="s">
        <v>28</v>
      </c>
      <c r="N495" s="87"/>
      <c r="O495" s="20"/>
      <c r="P495" s="31"/>
      <c r="Q495" s="88"/>
      <c r="R495" s="88"/>
      <c r="S495" s="88"/>
      <c r="T495" s="58"/>
      <c r="U495" s="60"/>
      <c r="V495" s="89"/>
    </row>
    <row r="496" spans="1:22" s="168" customFormat="1" ht="22.500000" customHeight="1">
      <c r="A496" s="34">
        <v>494</v>
      </c>
      <c r="B496" s="34"/>
      <c r="C496" s="34"/>
      <c r="D496" s="34"/>
      <c r="E496" s="34"/>
      <c r="F496" s="85"/>
      <c r="G496" s="159"/>
      <c r="H496" s="155"/>
      <c r="I496" s="164"/>
      <c r="J496" s="164"/>
      <c r="K496" s="155"/>
      <c r="L496" s="85"/>
      <c r="M496" s="82" t="s">
        <v>29</v>
      </c>
      <c r="N496" s="87"/>
      <c r="O496" s="20"/>
      <c r="P496" s="31"/>
      <c r="Q496" s="88"/>
      <c r="R496" s="88"/>
      <c r="S496" s="88"/>
      <c r="T496" s="58"/>
      <c r="U496" s="60"/>
      <c r="V496" s="89"/>
    </row>
    <row r="497" spans="1:22" s="168" customFormat="1" ht="22.500000" customHeight="1">
      <c r="A497" s="34">
        <v>495</v>
      </c>
      <c r="B497" s="34"/>
      <c r="C497" s="34"/>
      <c r="D497" s="34"/>
      <c r="E497" s="34"/>
      <c r="F497" s="85"/>
      <c r="G497" s="159"/>
      <c r="H497" s="155"/>
      <c r="I497" s="164"/>
      <c r="J497" s="164"/>
      <c r="K497" s="155"/>
      <c r="L497" s="85"/>
      <c r="M497" s="83" t="s">
        <v>30</v>
      </c>
      <c r="N497" s="87"/>
      <c r="O497" s="20"/>
      <c r="P497" s="31"/>
      <c r="Q497" s="88"/>
      <c r="R497" s="88"/>
      <c r="S497" s="88"/>
      <c r="T497" s="58"/>
      <c r="U497" s="60"/>
      <c r="V497" s="89"/>
    </row>
    <row r="498" spans="1:22" s="168" customFormat="1" ht="22.500000" customHeight="1">
      <c r="A498" s="34">
        <v>496</v>
      </c>
      <c r="B498" s="34"/>
      <c r="C498" s="34"/>
      <c r="D498" s="34"/>
      <c r="E498" s="34"/>
      <c r="F498" s="85"/>
      <c r="G498" s="159"/>
      <c r="H498" s="155"/>
      <c r="I498" s="164"/>
      <c r="J498" s="164"/>
      <c r="K498" s="155"/>
      <c r="L498" s="85"/>
      <c r="M498" s="80" t="s">
        <v>28</v>
      </c>
      <c r="N498" s="87"/>
      <c r="O498" s="20"/>
      <c r="P498" s="31"/>
      <c r="Q498" s="88"/>
      <c r="R498" s="88"/>
      <c r="S498" s="88"/>
      <c r="T498" s="58"/>
      <c r="U498" s="60"/>
      <c r="V498" s="89"/>
    </row>
    <row r="499" spans="1:22" s="168" customFormat="1" ht="22.500000" customHeight="1">
      <c r="A499" s="34">
        <v>497</v>
      </c>
      <c r="B499" s="34"/>
      <c r="C499" s="34"/>
      <c r="D499" s="34"/>
      <c r="E499" s="34"/>
      <c r="F499" s="85"/>
      <c r="G499" s="159"/>
      <c r="H499" s="155"/>
      <c r="I499" s="164"/>
      <c r="J499" s="164"/>
      <c r="K499" s="155"/>
      <c r="L499" s="85"/>
      <c r="M499" s="79" t="s">
        <v>28</v>
      </c>
      <c r="N499" s="87"/>
      <c r="O499" s="20"/>
      <c r="P499" s="31"/>
      <c r="Q499" s="88"/>
      <c r="R499" s="88"/>
      <c r="S499" s="88"/>
      <c r="T499" s="58"/>
      <c r="U499" s="60"/>
      <c r="V499" s="89"/>
    </row>
    <row r="500" spans="1:22" s="168" customFormat="1" ht="22.500000" customHeight="1">
      <c r="A500" s="34">
        <v>498</v>
      </c>
      <c r="B500" s="34"/>
      <c r="C500" s="34"/>
      <c r="D500" s="34"/>
      <c r="E500" s="34"/>
      <c r="F500" s="85"/>
      <c r="G500" s="159"/>
      <c r="H500" s="155"/>
      <c r="I500" s="164"/>
      <c r="J500" s="164"/>
      <c r="K500" s="155"/>
      <c r="L500" s="85"/>
      <c r="M500" s="80" t="s">
        <v>28</v>
      </c>
      <c r="N500" s="87"/>
      <c r="O500" s="20"/>
      <c r="P500" s="31"/>
      <c r="Q500" s="88"/>
      <c r="R500" s="88"/>
      <c r="S500" s="88"/>
      <c r="T500" s="58"/>
      <c r="U500" s="60"/>
      <c r="V500" s="89"/>
    </row>
    <row r="501" spans="1:22" s="168" customFormat="1" ht="22.500000" customHeight="1">
      <c r="A501" s="34">
        <v>499</v>
      </c>
      <c r="B501" s="34"/>
      <c r="C501" s="34"/>
      <c r="D501" s="34"/>
      <c r="E501" s="34"/>
      <c r="F501" s="85"/>
      <c r="G501" s="159"/>
      <c r="H501" s="155"/>
      <c r="I501" s="164"/>
      <c r="J501" s="164"/>
      <c r="K501" s="155"/>
      <c r="L501" s="85"/>
      <c r="M501" s="81" t="s">
        <v>29</v>
      </c>
      <c r="N501" s="87"/>
      <c r="O501" s="20"/>
      <c r="P501" s="31"/>
      <c r="Q501" s="88"/>
      <c r="R501" s="88"/>
      <c r="S501" s="88"/>
      <c r="T501" s="58"/>
      <c r="U501" s="60"/>
      <c r="V501" s="89"/>
    </row>
    <row r="502" spans="1:22" s="168" customFormat="1" ht="22.500000" customHeight="1">
      <c r="A502" s="34">
        <v>500</v>
      </c>
      <c r="B502" s="34"/>
      <c r="C502" s="34"/>
      <c r="D502" s="34"/>
      <c r="E502" s="34"/>
      <c r="F502" s="85"/>
      <c r="G502" s="159"/>
      <c r="H502" s="155"/>
      <c r="I502" s="164"/>
      <c r="J502" s="164"/>
      <c r="K502" s="155"/>
      <c r="L502" s="85"/>
      <c r="M502" s="84" t="s">
        <v>30</v>
      </c>
      <c r="N502" s="87"/>
      <c r="O502" s="20"/>
      <c r="P502" s="31"/>
      <c r="Q502" s="88"/>
      <c r="R502" s="88"/>
      <c r="S502" s="88"/>
      <c r="T502" s="58"/>
      <c r="U502" s="60"/>
      <c r="V502" s="89"/>
    </row>
    <row r="503" spans="1:22" s="168" customFormat="1" ht="22.500000" customHeight="1">
      <c r="A503" s="34">
        <v>501</v>
      </c>
      <c r="B503" s="34"/>
      <c r="C503" s="34"/>
      <c r="D503" s="34"/>
      <c r="E503" s="34"/>
      <c r="F503" s="85"/>
      <c r="G503" s="159"/>
      <c r="H503" s="155"/>
      <c r="I503" s="164"/>
      <c r="J503" s="164"/>
      <c r="K503" s="155"/>
      <c r="L503" s="85"/>
      <c r="M503" s="79" t="s">
        <v>28</v>
      </c>
      <c r="N503" s="87"/>
      <c r="O503" s="20"/>
      <c r="P503" s="31"/>
      <c r="Q503" s="88"/>
      <c r="R503" s="88"/>
      <c r="S503" s="88"/>
      <c r="T503" s="58"/>
      <c r="U503" s="91"/>
      <c r="V503" s="90"/>
    </row>
    <row r="504" spans="1:22" s="168" customFormat="1" ht="22.500000" customHeight="1">
      <c r="A504" s="34">
        <v>502</v>
      </c>
      <c r="B504" s="34"/>
      <c r="C504" s="34"/>
      <c r="D504" s="34"/>
      <c r="E504" s="34"/>
      <c r="F504" s="85"/>
      <c r="G504" s="159"/>
      <c r="H504" s="155"/>
      <c r="I504" s="164"/>
      <c r="J504" s="164"/>
      <c r="K504" s="155"/>
      <c r="L504" s="85"/>
      <c r="M504" s="80" t="s">
        <v>28</v>
      </c>
      <c r="N504" s="87"/>
      <c r="O504" s="20"/>
      <c r="P504" s="31"/>
      <c r="Q504" s="88"/>
      <c r="R504" s="88"/>
      <c r="S504" s="88"/>
      <c r="T504" s="58"/>
      <c r="U504" s="91"/>
      <c r="V504" s="90"/>
    </row>
    <row r="505" spans="1:22" s="168" customFormat="1" ht="22.500000" customHeight="1">
      <c r="A505" s="34">
        <v>503</v>
      </c>
      <c r="B505" s="34"/>
      <c r="C505" s="34"/>
      <c r="D505" s="34"/>
      <c r="E505" s="34"/>
      <c r="F505" s="85"/>
      <c r="G505" s="159"/>
      <c r="H505" s="155"/>
      <c r="I505" s="164"/>
      <c r="J505" s="164"/>
      <c r="K505" s="155"/>
      <c r="L505" s="85"/>
      <c r="M505" s="79" t="s">
        <v>28</v>
      </c>
      <c r="N505" s="87"/>
      <c r="O505" s="20"/>
      <c r="P505" s="31"/>
      <c r="Q505" s="88"/>
      <c r="R505" s="88"/>
      <c r="S505" s="88"/>
      <c r="T505" s="58"/>
      <c r="U505" s="91"/>
      <c r="V505" s="90"/>
    </row>
    <row r="506" spans="1:22" s="168" customFormat="1" ht="22.500000" customHeight="1">
      <c r="A506" s="34">
        <v>504</v>
      </c>
      <c r="B506" s="34"/>
      <c r="C506" s="34"/>
      <c r="D506" s="34"/>
      <c r="E506" s="34"/>
      <c r="F506" s="85"/>
      <c r="G506" s="159"/>
      <c r="H506" s="155"/>
      <c r="I506" s="164"/>
      <c r="J506" s="164"/>
      <c r="K506" s="155"/>
      <c r="L506" s="85"/>
      <c r="M506" s="82" t="s">
        <v>29</v>
      </c>
      <c r="N506" s="87"/>
      <c r="O506" s="20"/>
      <c r="P506" s="31"/>
      <c r="Q506" s="88"/>
      <c r="R506" s="88"/>
      <c r="S506" s="88"/>
      <c r="T506" s="58"/>
      <c r="U506" s="91"/>
      <c r="V506" s="90"/>
    </row>
    <row r="507" spans="1:22" s="168" customFormat="1" ht="22.500000" customHeight="1">
      <c r="A507" s="34">
        <v>505</v>
      </c>
      <c r="B507" s="34"/>
      <c r="C507" s="34"/>
      <c r="D507" s="34"/>
      <c r="E507" s="34"/>
      <c r="F507" s="85"/>
      <c r="G507" s="159"/>
      <c r="H507" s="155"/>
      <c r="I507" s="164"/>
      <c r="J507" s="164"/>
      <c r="K507" s="155"/>
      <c r="L507" s="85"/>
      <c r="M507" s="83" t="s">
        <v>30</v>
      </c>
      <c r="N507" s="87"/>
      <c r="O507" s="20"/>
      <c r="P507" s="31"/>
      <c r="Q507" s="88"/>
      <c r="R507" s="88"/>
      <c r="S507" s="88"/>
      <c r="T507" s="58"/>
      <c r="U507" s="91"/>
      <c r="V507" s="90"/>
    </row>
    <row r="508" spans="1:22" s="168" customFormat="1" ht="22.500000" customHeight="1">
      <c r="A508" s="34">
        <v>506</v>
      </c>
      <c r="B508" s="34"/>
      <c r="C508" s="34"/>
      <c r="D508" s="34"/>
      <c r="E508" s="34"/>
      <c r="F508" s="85"/>
      <c r="G508" s="159"/>
      <c r="H508" s="155"/>
      <c r="I508" s="164"/>
      <c r="J508" s="164"/>
      <c r="K508" s="155"/>
      <c r="L508" s="85"/>
      <c r="M508" s="80" t="s">
        <v>28</v>
      </c>
      <c r="N508" s="87"/>
      <c r="O508" s="20"/>
      <c r="P508" s="31"/>
      <c r="Q508" s="88"/>
      <c r="R508" s="88"/>
      <c r="S508" s="88"/>
      <c r="T508" s="58"/>
      <c r="U508" s="91"/>
      <c r="V508" s="90"/>
    </row>
    <row r="509" spans="1:22" s="168" customFormat="1" ht="22.500000" customHeight="1">
      <c r="A509" s="34">
        <v>507</v>
      </c>
      <c r="B509" s="34"/>
      <c r="C509" s="34"/>
      <c r="D509" s="34"/>
      <c r="E509" s="34"/>
      <c r="F509" s="85"/>
      <c r="G509" s="159"/>
      <c r="H509" s="155"/>
      <c r="I509" s="164"/>
      <c r="J509" s="164"/>
      <c r="K509" s="155"/>
      <c r="L509" s="85"/>
      <c r="M509" s="79" t="s">
        <v>28</v>
      </c>
      <c r="N509" s="87"/>
      <c r="O509" s="20"/>
      <c r="P509" s="31"/>
      <c r="Q509" s="88"/>
      <c r="R509" s="88"/>
      <c r="S509" s="88"/>
      <c r="T509" s="58"/>
      <c r="U509" s="91"/>
      <c r="V509" s="90"/>
    </row>
    <row r="510" spans="1:22" s="168" customFormat="1" ht="22.500000" customHeight="1">
      <c r="A510" s="34">
        <v>508</v>
      </c>
      <c r="B510" s="34"/>
      <c r="C510" s="34"/>
      <c r="D510" s="34"/>
      <c r="E510" s="34"/>
      <c r="F510" s="85"/>
      <c r="G510" s="159"/>
      <c r="H510" s="155"/>
      <c r="I510" s="164"/>
      <c r="J510" s="164"/>
      <c r="K510" s="155"/>
      <c r="L510" s="85"/>
      <c r="M510" s="80" t="s">
        <v>28</v>
      </c>
      <c r="N510" s="87"/>
      <c r="O510" s="20"/>
      <c r="P510" s="31"/>
      <c r="Q510" s="88"/>
      <c r="R510" s="88"/>
      <c r="S510" s="88"/>
      <c r="T510" s="58"/>
      <c r="U510" s="91"/>
      <c r="V510" s="90"/>
    </row>
    <row r="511" spans="1:22" s="168" customFormat="1" ht="22.500000" customHeight="1">
      <c r="A511" s="34">
        <v>509</v>
      </c>
      <c r="B511" s="34"/>
      <c r="C511" s="34"/>
      <c r="D511" s="34"/>
      <c r="E511" s="34"/>
      <c r="F511" s="85"/>
      <c r="G511" s="159"/>
      <c r="H511" s="155"/>
      <c r="I511" s="164"/>
      <c r="J511" s="164"/>
      <c r="K511" s="155"/>
      <c r="L511" s="85"/>
      <c r="M511" s="79" t="s">
        <v>28</v>
      </c>
      <c r="N511" s="87"/>
      <c r="O511" s="20"/>
      <c r="P511" s="31"/>
      <c r="Q511" s="88"/>
      <c r="R511" s="88"/>
      <c r="S511" s="88"/>
      <c r="T511" s="58"/>
      <c r="U511" s="91"/>
      <c r="V511" s="90"/>
    </row>
    <row r="512" spans="1:22" s="168" customFormat="1" ht="22.500000" customHeight="1">
      <c r="A512" s="34">
        <v>510</v>
      </c>
      <c r="B512" s="34"/>
      <c r="C512" s="34"/>
      <c r="D512" s="34"/>
      <c r="E512" s="34"/>
      <c r="F512" s="85"/>
      <c r="G512" s="159"/>
      <c r="H512" s="155"/>
      <c r="I512" s="164"/>
      <c r="J512" s="164"/>
      <c r="K512" s="155"/>
      <c r="L512" s="85"/>
      <c r="M512" s="80" t="s">
        <v>28</v>
      </c>
      <c r="N512" s="87"/>
      <c r="O512" s="20"/>
      <c r="P512" s="31"/>
      <c r="Q512" s="88"/>
      <c r="R512" s="88"/>
      <c r="S512" s="88"/>
      <c r="T512" s="58"/>
      <c r="U512" s="91"/>
      <c r="V512" s="90"/>
    </row>
    <row r="513" spans="1:22" s="168" customFormat="1" ht="22.500000" customHeight="1">
      <c r="A513" s="34">
        <v>511</v>
      </c>
      <c r="B513" s="34"/>
      <c r="C513" s="34"/>
      <c r="D513" s="34"/>
      <c r="E513" s="34"/>
      <c r="F513" s="85"/>
      <c r="G513" s="159"/>
      <c r="H513" s="155"/>
      <c r="I513" s="164"/>
      <c r="J513" s="164"/>
      <c r="K513" s="155"/>
      <c r="L513" s="85"/>
      <c r="M513" s="79" t="s">
        <v>28</v>
      </c>
      <c r="N513" s="87"/>
      <c r="O513" s="20"/>
      <c r="P513" s="31"/>
      <c r="Q513" s="88"/>
      <c r="R513" s="88"/>
      <c r="S513" s="88"/>
      <c r="T513" s="58"/>
      <c r="U513" s="91"/>
      <c r="V513" s="90"/>
    </row>
    <row r="514" spans="1:22" s="168" customFormat="1" ht="22.500000" customHeight="1">
      <c r="A514" s="34">
        <v>512</v>
      </c>
      <c r="B514" s="34"/>
      <c r="C514" s="34"/>
      <c r="D514" s="34"/>
      <c r="E514" s="34"/>
      <c r="F514" s="85"/>
      <c r="G514" s="159"/>
      <c r="H514" s="155"/>
      <c r="I514" s="164"/>
      <c r="J514" s="164"/>
      <c r="K514" s="155"/>
      <c r="L514" s="85"/>
      <c r="M514" s="82" t="s">
        <v>29</v>
      </c>
      <c r="N514" s="87"/>
      <c r="O514" s="20"/>
      <c r="P514" s="31"/>
      <c r="Q514" s="88"/>
      <c r="R514" s="88"/>
      <c r="S514" s="88"/>
      <c r="T514" s="58"/>
      <c r="U514" s="91"/>
      <c r="V514" s="90"/>
    </row>
    <row r="515" spans="1:22" s="168" customFormat="1" ht="22.500000" customHeight="1">
      <c r="A515" s="34">
        <v>513</v>
      </c>
      <c r="B515" s="34"/>
      <c r="C515" s="34"/>
      <c r="D515" s="34"/>
      <c r="E515" s="34"/>
      <c r="F515" s="85"/>
      <c r="G515" s="159"/>
      <c r="H515" s="155"/>
      <c r="I515" s="164"/>
      <c r="J515" s="164"/>
      <c r="K515" s="155"/>
      <c r="L515" s="85"/>
      <c r="M515" s="83" t="s">
        <v>30</v>
      </c>
      <c r="N515" s="87"/>
      <c r="O515" s="20"/>
      <c r="P515" s="31"/>
      <c r="Q515" s="88"/>
      <c r="R515" s="88"/>
      <c r="S515" s="88"/>
      <c r="T515" s="58"/>
      <c r="U515" s="91"/>
      <c r="V515" s="90"/>
    </row>
    <row r="516" spans="1:22" s="168" customFormat="1" ht="22.500000" customHeight="1">
      <c r="A516" s="34">
        <v>514</v>
      </c>
      <c r="B516" s="34"/>
      <c r="C516" s="34"/>
      <c r="D516" s="34"/>
      <c r="E516" s="34"/>
      <c r="F516" s="85"/>
      <c r="G516" s="159"/>
      <c r="H516" s="155"/>
      <c r="I516" s="164"/>
      <c r="J516" s="164"/>
      <c r="K516" s="155"/>
      <c r="L516" s="85"/>
      <c r="M516" s="80" t="s">
        <v>28</v>
      </c>
      <c r="N516" s="87"/>
      <c r="O516" s="20"/>
      <c r="P516" s="31"/>
      <c r="Q516" s="88"/>
      <c r="R516" s="88"/>
      <c r="S516" s="88"/>
      <c r="T516" s="58"/>
      <c r="U516" s="91"/>
      <c r="V516" s="90"/>
    </row>
    <row r="517" spans="1:22" s="168" customFormat="1" ht="22.500000" customHeight="1">
      <c r="A517" s="34">
        <v>515</v>
      </c>
      <c r="B517" s="34"/>
      <c r="C517" s="34"/>
      <c r="D517" s="34"/>
      <c r="E517" s="34"/>
      <c r="F517" s="85"/>
      <c r="G517" s="159"/>
      <c r="H517" s="155"/>
      <c r="I517" s="164"/>
      <c r="J517" s="164"/>
      <c r="K517" s="155"/>
      <c r="L517" s="85"/>
      <c r="M517" s="79" t="s">
        <v>28</v>
      </c>
      <c r="N517" s="87"/>
      <c r="O517" s="20"/>
      <c r="P517" s="31"/>
      <c r="Q517" s="88"/>
      <c r="R517" s="88"/>
      <c r="S517" s="88"/>
      <c r="T517" s="58"/>
      <c r="U517" s="91"/>
      <c r="V517" s="90"/>
    </row>
    <row r="518" spans="1:22" s="168" customFormat="1" ht="22.500000" customHeight="1">
      <c r="A518" s="34">
        <v>516</v>
      </c>
      <c r="B518" s="34"/>
      <c r="C518" s="34"/>
      <c r="D518" s="34"/>
      <c r="E518" s="34"/>
      <c r="F518" s="85"/>
      <c r="G518" s="159"/>
      <c r="H518" s="155"/>
      <c r="I518" s="164"/>
      <c r="J518" s="164"/>
      <c r="K518" s="155"/>
      <c r="L518" s="85"/>
      <c r="M518" s="80" t="s">
        <v>28</v>
      </c>
      <c r="N518" s="87"/>
      <c r="O518" s="20"/>
      <c r="P518" s="31"/>
      <c r="Q518" s="88"/>
      <c r="R518" s="88"/>
      <c r="S518" s="88"/>
      <c r="T518" s="58"/>
      <c r="U518" s="91"/>
      <c r="V518" s="90"/>
    </row>
    <row r="519" spans="1:22" s="168" customFormat="1" ht="22.500000" customHeight="1">
      <c r="A519" s="34">
        <v>517</v>
      </c>
      <c r="B519" s="34"/>
      <c r="C519" s="34"/>
      <c r="D519" s="34"/>
      <c r="E519" s="34"/>
      <c r="F519" s="85"/>
      <c r="G519" s="159"/>
      <c r="H519" s="155"/>
      <c r="I519" s="164"/>
      <c r="J519" s="164"/>
      <c r="K519" s="155"/>
      <c r="L519" s="85"/>
      <c r="M519" s="81" t="s">
        <v>29</v>
      </c>
      <c r="N519" s="87"/>
      <c r="O519" s="20"/>
      <c r="P519" s="31"/>
      <c r="Q519" s="88"/>
      <c r="R519" s="88"/>
      <c r="S519" s="88"/>
      <c r="T519" s="58"/>
      <c r="U519" s="91"/>
      <c r="V519" s="90"/>
    </row>
    <row r="520" spans="1:22" s="168" customFormat="1" ht="22.500000" customHeight="1">
      <c r="A520" s="34">
        <v>518</v>
      </c>
      <c r="B520" s="34"/>
      <c r="C520" s="34"/>
      <c r="D520" s="34"/>
      <c r="E520" s="34"/>
      <c r="F520" s="85"/>
      <c r="G520" s="159"/>
      <c r="H520" s="155"/>
      <c r="I520" s="164"/>
      <c r="J520" s="164"/>
      <c r="K520" s="155"/>
      <c r="L520" s="85"/>
      <c r="M520" s="84" t="s">
        <v>30</v>
      </c>
      <c r="N520" s="87"/>
      <c r="O520" s="20"/>
      <c r="P520" s="31"/>
      <c r="Q520" s="88"/>
      <c r="R520" s="88"/>
      <c r="S520" s="88"/>
      <c r="T520" s="58"/>
      <c r="U520" s="91"/>
      <c r="V520" s="90"/>
    </row>
    <row r="521" spans="1:22" s="168" customFormat="1" ht="22.500000" customHeight="1">
      <c r="A521" s="34">
        <v>519</v>
      </c>
      <c r="B521" s="34"/>
      <c r="C521" s="34"/>
      <c r="D521" s="34"/>
      <c r="E521" s="34"/>
      <c r="F521" s="85"/>
      <c r="G521" s="159"/>
      <c r="H521" s="155"/>
      <c r="I521" s="164"/>
      <c r="J521" s="164"/>
      <c r="K521" s="155"/>
      <c r="L521" s="85"/>
      <c r="M521" s="79" t="s">
        <v>28</v>
      </c>
      <c r="N521" s="87"/>
      <c r="O521" s="20"/>
      <c r="P521" s="31"/>
      <c r="Q521" s="88"/>
      <c r="R521" s="88"/>
      <c r="S521" s="88"/>
      <c r="T521" s="58"/>
      <c r="U521" s="91"/>
      <c r="V521" s="90"/>
    </row>
    <row r="522" spans="1:22" s="168" customFormat="1" ht="22.500000" customHeight="1">
      <c r="A522" s="34">
        <v>520</v>
      </c>
      <c r="B522" s="34"/>
      <c r="C522" s="34"/>
      <c r="D522" s="34"/>
      <c r="E522" s="34"/>
      <c r="F522" s="85"/>
      <c r="G522" s="159"/>
      <c r="H522" s="155"/>
      <c r="I522" s="164"/>
      <c r="J522" s="164"/>
      <c r="K522" s="155"/>
      <c r="L522" s="85"/>
      <c r="M522" s="80" t="s">
        <v>28</v>
      </c>
      <c r="N522" s="87"/>
      <c r="O522" s="20"/>
      <c r="P522" s="31"/>
      <c r="Q522" s="88"/>
      <c r="R522" s="88"/>
      <c r="S522" s="88"/>
      <c r="T522" s="58"/>
      <c r="U522" s="91"/>
      <c r="V522" s="90"/>
    </row>
    <row r="523" spans="1:22" s="168" customFormat="1" ht="22.500000" customHeight="1">
      <c r="A523" s="34">
        <v>521</v>
      </c>
      <c r="B523" s="34"/>
      <c r="C523" s="34"/>
      <c r="D523" s="34"/>
      <c r="E523" s="34"/>
      <c r="F523" s="85"/>
      <c r="G523" s="159"/>
      <c r="H523" s="155"/>
      <c r="I523" s="164"/>
      <c r="J523" s="164"/>
      <c r="K523" s="155"/>
      <c r="L523" s="85"/>
      <c r="M523" s="79" t="s">
        <v>28</v>
      </c>
      <c r="N523" s="87"/>
      <c r="O523" s="20"/>
      <c r="P523" s="31"/>
      <c r="Q523" s="88"/>
      <c r="R523" s="88"/>
      <c r="S523" s="88"/>
      <c r="T523" s="58"/>
      <c r="U523" s="92"/>
      <c r="V523" s="90"/>
    </row>
    <row r="524" spans="1:22" s="168" customFormat="1" ht="22.500000" customHeight="1">
      <c r="A524" s="34">
        <v>522</v>
      </c>
      <c r="B524" s="34"/>
      <c r="C524" s="34"/>
      <c r="D524" s="34"/>
      <c r="E524" s="34"/>
      <c r="F524" s="85"/>
      <c r="G524" s="159"/>
      <c r="H524" s="155"/>
      <c r="I524" s="164"/>
      <c r="J524" s="164"/>
      <c r="K524" s="155"/>
      <c r="L524" s="85"/>
      <c r="M524" s="82" t="s">
        <v>29</v>
      </c>
      <c r="N524" s="87"/>
      <c r="O524" s="20"/>
      <c r="P524" s="31"/>
      <c r="Q524" s="88"/>
      <c r="R524" s="88"/>
      <c r="S524" s="88"/>
      <c r="T524" s="58"/>
      <c r="U524" s="92"/>
      <c r="V524" s="90"/>
    </row>
    <row r="525" spans="1:22" s="168" customFormat="1" ht="22.500000" customHeight="1">
      <c r="A525" s="34">
        <v>523</v>
      </c>
      <c r="B525" s="34"/>
      <c r="C525" s="34"/>
      <c r="D525" s="34"/>
      <c r="E525" s="34"/>
      <c r="F525" s="85"/>
      <c r="G525" s="159"/>
      <c r="H525" s="155"/>
      <c r="I525" s="164"/>
      <c r="J525" s="164"/>
      <c r="K525" s="155"/>
      <c r="L525" s="85"/>
      <c r="M525" s="83" t="s">
        <v>30</v>
      </c>
      <c r="N525" s="87"/>
      <c r="O525" s="20"/>
      <c r="P525" s="31"/>
      <c r="Q525" s="88"/>
      <c r="R525" s="88"/>
      <c r="S525" s="88"/>
      <c r="T525" s="58"/>
      <c r="U525" s="92"/>
      <c r="V525" s="90"/>
    </row>
    <row r="526" spans="1:22" s="168" customFormat="1" ht="22.500000" customHeight="1">
      <c r="A526" s="34">
        <v>524</v>
      </c>
      <c r="B526" s="34"/>
      <c r="C526" s="34"/>
      <c r="D526" s="34"/>
      <c r="E526" s="34"/>
      <c r="F526" s="85"/>
      <c r="G526" s="159"/>
      <c r="H526" s="155"/>
      <c r="I526" s="164"/>
      <c r="J526" s="164"/>
      <c r="K526" s="155"/>
      <c r="L526" s="85"/>
      <c r="M526" s="80" t="s">
        <v>28</v>
      </c>
      <c r="N526" s="87"/>
      <c r="O526" s="20"/>
      <c r="P526" s="31"/>
      <c r="Q526" s="88"/>
      <c r="R526" s="88"/>
      <c r="S526" s="88"/>
      <c r="T526" s="58"/>
      <c r="U526" s="92"/>
      <c r="V526" s="90"/>
    </row>
    <row r="527" spans="1:22" s="168" customFormat="1" ht="22.500000" customHeight="1">
      <c r="A527" s="34">
        <v>525</v>
      </c>
      <c r="B527" s="34"/>
      <c r="C527" s="34"/>
      <c r="D527" s="34"/>
      <c r="E527" s="34"/>
      <c r="F527" s="85"/>
      <c r="G527" s="159"/>
      <c r="H527" s="155"/>
      <c r="I527" s="164"/>
      <c r="J527" s="164"/>
      <c r="K527" s="155"/>
      <c r="L527" s="85"/>
      <c r="M527" s="79" t="s">
        <v>28</v>
      </c>
      <c r="N527" s="87"/>
      <c r="O527" s="20"/>
      <c r="P527" s="31"/>
      <c r="Q527" s="88"/>
      <c r="R527" s="88"/>
      <c r="S527" s="88"/>
      <c r="T527" s="58"/>
      <c r="U527" s="92"/>
      <c r="V527" s="90"/>
    </row>
    <row r="528" spans="1:22" s="168" customFormat="1" ht="22.500000" customHeight="1">
      <c r="A528" s="34">
        <v>526</v>
      </c>
      <c r="B528" s="34"/>
      <c r="C528" s="34"/>
      <c r="D528" s="34"/>
      <c r="E528" s="34"/>
      <c r="F528" s="85"/>
      <c r="G528" s="159"/>
      <c r="H528" s="155"/>
      <c r="I528" s="164"/>
      <c r="J528" s="164"/>
      <c r="K528" s="155"/>
      <c r="L528" s="85"/>
      <c r="M528" s="80" t="s">
        <v>28</v>
      </c>
      <c r="N528" s="87"/>
      <c r="O528" s="20"/>
      <c r="P528" s="31"/>
      <c r="Q528" s="88"/>
      <c r="R528" s="88"/>
      <c r="S528" s="88"/>
      <c r="T528" s="58"/>
      <c r="U528" s="92"/>
      <c r="V528" s="90"/>
    </row>
    <row r="529" spans="1:22" s="168" customFormat="1" ht="22.500000" customHeight="1">
      <c r="A529" s="34">
        <v>527</v>
      </c>
      <c r="B529" s="34"/>
      <c r="C529" s="34"/>
      <c r="D529" s="34"/>
      <c r="E529" s="34"/>
      <c r="F529" s="85"/>
      <c r="G529" s="159"/>
      <c r="H529" s="155"/>
      <c r="I529" s="164"/>
      <c r="J529" s="164"/>
      <c r="K529" s="155"/>
      <c r="L529" s="85"/>
      <c r="M529" s="81" t="s">
        <v>29</v>
      </c>
      <c r="N529" s="87"/>
      <c r="O529" s="20"/>
      <c r="P529" s="31"/>
      <c r="Q529" s="88"/>
      <c r="R529" s="88"/>
      <c r="S529" s="88"/>
      <c r="T529" s="58"/>
      <c r="U529" s="92"/>
      <c r="V529" s="90"/>
    </row>
    <row r="530" spans="1:22" s="168" customFormat="1" ht="22.500000" customHeight="1">
      <c r="A530" s="34">
        <v>528</v>
      </c>
      <c r="B530" s="34"/>
      <c r="C530" s="34"/>
      <c r="D530" s="34"/>
      <c r="E530" s="34"/>
      <c r="F530" s="85"/>
      <c r="G530" s="159"/>
      <c r="H530" s="155"/>
      <c r="I530" s="164"/>
      <c r="J530" s="164"/>
      <c r="K530" s="155"/>
      <c r="L530" s="85"/>
      <c r="M530" s="84" t="s">
        <v>30</v>
      </c>
      <c r="N530" s="87"/>
      <c r="O530" s="20"/>
      <c r="P530" s="31"/>
      <c r="Q530" s="88"/>
      <c r="R530" s="88"/>
      <c r="S530" s="88"/>
      <c r="T530" s="58"/>
      <c r="U530" s="92"/>
      <c r="V530" s="90"/>
    </row>
    <row r="531" spans="1:22" s="168" customFormat="1" ht="22.500000" customHeight="1">
      <c r="A531" s="34">
        <v>529</v>
      </c>
      <c r="B531" s="34"/>
      <c r="C531" s="34"/>
      <c r="D531" s="34"/>
      <c r="E531" s="34"/>
      <c r="F531" s="85"/>
      <c r="G531" s="159"/>
      <c r="H531" s="155"/>
      <c r="I531" s="164"/>
      <c r="J531" s="164"/>
      <c r="K531" s="155"/>
      <c r="L531" s="85"/>
      <c r="M531" s="79" t="s">
        <v>28</v>
      </c>
      <c r="N531" s="87"/>
      <c r="O531" s="20"/>
      <c r="P531" s="31"/>
      <c r="Q531" s="88"/>
      <c r="R531" s="88"/>
      <c r="S531" s="88"/>
      <c r="T531" s="58"/>
      <c r="U531" s="92"/>
      <c r="V531" s="90"/>
    </row>
    <row r="532" spans="1:22" s="168" customFormat="1" ht="22.500000" customHeight="1">
      <c r="A532" s="34">
        <v>530</v>
      </c>
      <c r="B532" s="34"/>
      <c r="C532" s="34"/>
      <c r="D532" s="34"/>
      <c r="E532" s="34"/>
      <c r="F532" s="85"/>
      <c r="G532" s="159"/>
      <c r="H532" s="155"/>
      <c r="I532" s="164"/>
      <c r="J532" s="164"/>
      <c r="K532" s="155"/>
      <c r="L532" s="85"/>
      <c r="M532" s="80" t="s">
        <v>28</v>
      </c>
      <c r="N532" s="87"/>
      <c r="O532" s="20"/>
      <c r="P532" s="31"/>
      <c r="Q532" s="88"/>
      <c r="R532" s="88"/>
      <c r="S532" s="88"/>
      <c r="T532" s="58"/>
      <c r="U532" s="92"/>
      <c r="V532" s="90"/>
    </row>
    <row r="533" spans="1:22" s="168" customFormat="1" ht="22.500000" customHeight="1">
      <c r="A533" s="34">
        <v>531</v>
      </c>
      <c r="B533" s="34"/>
      <c r="C533" s="34"/>
      <c r="D533" s="34"/>
      <c r="E533" s="34"/>
      <c r="F533" s="85"/>
      <c r="G533" s="159"/>
      <c r="H533" s="155"/>
      <c r="I533" s="164"/>
      <c r="J533" s="164"/>
      <c r="K533" s="155"/>
      <c r="L533" s="85"/>
      <c r="M533" s="79" t="s">
        <v>28</v>
      </c>
      <c r="N533" s="87"/>
      <c r="O533" s="20"/>
      <c r="P533" s="31"/>
      <c r="Q533" s="88"/>
      <c r="R533" s="88"/>
      <c r="S533" s="88"/>
      <c r="T533" s="58"/>
      <c r="U533" s="92"/>
      <c r="V533" s="90"/>
    </row>
    <row r="534" spans="1:22" s="168" customFormat="1" ht="22.500000" customHeight="1">
      <c r="A534" s="34">
        <v>532</v>
      </c>
      <c r="B534" s="34"/>
      <c r="C534" s="34"/>
      <c r="D534" s="34"/>
      <c r="E534" s="34"/>
      <c r="F534" s="85"/>
      <c r="G534" s="159"/>
      <c r="H534" s="155"/>
      <c r="I534" s="164"/>
      <c r="J534" s="164"/>
      <c r="K534" s="155"/>
      <c r="L534" s="85"/>
      <c r="M534" s="82" t="s">
        <v>29</v>
      </c>
      <c r="N534" s="87"/>
      <c r="O534" s="20"/>
      <c r="P534" s="31"/>
      <c r="Q534" s="88"/>
      <c r="R534" s="88"/>
      <c r="S534" s="88"/>
      <c r="T534" s="58"/>
      <c r="U534" s="92"/>
      <c r="V534" s="90"/>
    </row>
    <row r="535" spans="1:22" s="168" customFormat="1" ht="22.500000" customHeight="1">
      <c r="A535" s="34">
        <v>533</v>
      </c>
      <c r="B535" s="34"/>
      <c r="C535" s="34"/>
      <c r="D535" s="34"/>
      <c r="E535" s="34"/>
      <c r="F535" s="85"/>
      <c r="G535" s="159"/>
      <c r="H535" s="155"/>
      <c r="I535" s="164"/>
      <c r="J535" s="164"/>
      <c r="K535" s="155"/>
      <c r="L535" s="85"/>
      <c r="M535" s="83" t="s">
        <v>30</v>
      </c>
      <c r="N535" s="87"/>
      <c r="O535" s="20"/>
      <c r="P535" s="31"/>
      <c r="Q535" s="88"/>
      <c r="R535" s="88"/>
      <c r="S535" s="88"/>
      <c r="T535" s="58"/>
      <c r="U535" s="92"/>
      <c r="V535" s="90"/>
    </row>
    <row r="536" spans="1:22" s="168" customFormat="1" ht="22.500000" customHeight="1">
      <c r="A536" s="34">
        <v>534</v>
      </c>
      <c r="B536" s="34"/>
      <c r="C536" s="34"/>
      <c r="D536" s="34"/>
      <c r="E536" s="34"/>
      <c r="F536" s="85"/>
      <c r="G536" s="159"/>
      <c r="H536" s="155"/>
      <c r="I536" s="164"/>
      <c r="J536" s="164"/>
      <c r="K536" s="155"/>
      <c r="L536" s="85"/>
      <c r="M536" s="80" t="s">
        <v>28</v>
      </c>
      <c r="N536" s="87"/>
      <c r="O536" s="20"/>
      <c r="P536" s="31"/>
      <c r="Q536" s="88"/>
      <c r="R536" s="88"/>
      <c r="S536" s="88"/>
      <c r="T536" s="58"/>
      <c r="U536" s="92"/>
      <c r="V536" s="90"/>
    </row>
    <row r="537" spans="1:22" s="168" customFormat="1" ht="22.500000" customHeight="1">
      <c r="A537" s="34">
        <v>535</v>
      </c>
      <c r="B537" s="34"/>
      <c r="C537" s="34"/>
      <c r="D537" s="34"/>
      <c r="E537" s="34"/>
      <c r="F537" s="85"/>
      <c r="G537" s="159"/>
      <c r="H537" s="155"/>
      <c r="I537" s="164"/>
      <c r="J537" s="164"/>
      <c r="K537" s="155"/>
      <c r="L537" s="85"/>
      <c r="M537" s="79" t="s">
        <v>28</v>
      </c>
      <c r="N537" s="87"/>
      <c r="O537" s="20"/>
      <c r="P537" s="31"/>
      <c r="Q537" s="88"/>
      <c r="R537" s="88"/>
      <c r="S537" s="88"/>
      <c r="T537" s="58"/>
      <c r="U537" s="92"/>
      <c r="V537" s="90"/>
    </row>
    <row r="538" spans="1:22" s="168" customFormat="1" ht="22.500000" customHeight="1">
      <c r="A538" s="34">
        <v>536</v>
      </c>
      <c r="B538" s="34"/>
      <c r="C538" s="34"/>
      <c r="D538" s="34"/>
      <c r="E538" s="34"/>
      <c r="F538" s="85"/>
      <c r="G538" s="159"/>
      <c r="H538" s="155"/>
      <c r="I538" s="164"/>
      <c r="J538" s="164"/>
      <c r="K538" s="155"/>
      <c r="L538" s="85"/>
      <c r="M538" s="80" t="s">
        <v>28</v>
      </c>
      <c r="N538" s="87"/>
      <c r="O538" s="20"/>
      <c r="P538" s="31"/>
      <c r="Q538" s="88"/>
      <c r="R538" s="88"/>
      <c r="S538" s="88"/>
      <c r="T538" s="58"/>
      <c r="U538" s="92"/>
      <c r="V538" s="90"/>
    </row>
    <row r="539" spans="1:22" s="168" customFormat="1" ht="22.500000" customHeight="1">
      <c r="A539" s="34">
        <v>537</v>
      </c>
      <c r="B539" s="34"/>
      <c r="C539" s="34"/>
      <c r="D539" s="34"/>
      <c r="E539" s="34"/>
      <c r="F539" s="85"/>
      <c r="G539" s="159"/>
      <c r="H539" s="155"/>
      <c r="I539" s="164"/>
      <c r="J539" s="164"/>
      <c r="K539" s="155"/>
      <c r="L539" s="85"/>
      <c r="M539" s="81" t="s">
        <v>29</v>
      </c>
      <c r="N539" s="87"/>
      <c r="O539" s="20"/>
      <c r="P539" s="31"/>
      <c r="Q539" s="88"/>
      <c r="R539" s="88"/>
      <c r="S539" s="88"/>
      <c r="T539" s="58"/>
      <c r="U539" s="92"/>
      <c r="V539" s="90"/>
    </row>
    <row r="540" spans="1:22" s="168" customFormat="1" ht="22.500000" customHeight="1">
      <c r="A540" s="34">
        <v>538</v>
      </c>
      <c r="B540" s="34"/>
      <c r="C540" s="34"/>
      <c r="D540" s="34"/>
      <c r="E540" s="34"/>
      <c r="F540" s="85"/>
      <c r="G540" s="159"/>
      <c r="H540" s="155"/>
      <c r="I540" s="164"/>
      <c r="J540" s="164"/>
      <c r="K540" s="155"/>
      <c r="L540" s="85"/>
      <c r="M540" s="84" t="s">
        <v>30</v>
      </c>
      <c r="N540" s="87"/>
      <c r="O540" s="20"/>
      <c r="P540" s="31"/>
      <c r="Q540" s="88"/>
      <c r="R540" s="88"/>
      <c r="S540" s="88"/>
      <c r="T540" s="58"/>
      <c r="U540" s="92"/>
      <c r="V540" s="90"/>
    </row>
    <row r="541" spans="1:22" s="168" customFormat="1" ht="22.500000" customHeight="1">
      <c r="A541" s="34">
        <v>539</v>
      </c>
      <c r="B541" s="34"/>
      <c r="C541" s="34"/>
      <c r="D541" s="34"/>
      <c r="E541" s="34"/>
      <c r="F541" s="85"/>
      <c r="G541" s="159"/>
      <c r="H541" s="155"/>
      <c r="I541" s="164"/>
      <c r="J541" s="164"/>
      <c r="K541" s="155"/>
      <c r="L541" s="85"/>
      <c r="M541" s="79" t="s">
        <v>28</v>
      </c>
      <c r="N541" s="87"/>
      <c r="O541" s="20"/>
      <c r="P541" s="31"/>
      <c r="Q541" s="88"/>
      <c r="R541" s="88"/>
      <c r="S541" s="88"/>
      <c r="T541" s="58"/>
      <c r="U541" s="92"/>
      <c r="V541" s="90"/>
    </row>
    <row r="542" spans="1:22" s="168" customFormat="1" ht="22.500000" customHeight="1">
      <c r="A542" s="34">
        <v>540</v>
      </c>
      <c r="B542" s="34"/>
      <c r="C542" s="34"/>
      <c r="D542" s="34"/>
      <c r="E542" s="34"/>
      <c r="F542" s="85"/>
      <c r="G542" s="159"/>
      <c r="H542" s="155"/>
      <c r="I542" s="164"/>
      <c r="J542" s="164"/>
      <c r="K542" s="155"/>
      <c r="L542" s="85"/>
      <c r="M542" s="80" t="s">
        <v>28</v>
      </c>
      <c r="N542" s="87"/>
      <c r="O542" s="20"/>
      <c r="P542" s="31"/>
      <c r="Q542" s="88"/>
      <c r="R542" s="88"/>
      <c r="S542" s="88"/>
      <c r="T542" s="58"/>
      <c r="U542" s="92"/>
      <c r="V542" s="90"/>
    </row>
    <row r="543" spans="1:22" s="168" customFormat="1" ht="22.500000" customHeight="1">
      <c r="A543" s="34">
        <v>541</v>
      </c>
      <c r="B543" s="34"/>
      <c r="C543" s="34"/>
      <c r="D543" s="34"/>
      <c r="E543" s="34"/>
      <c r="F543" s="85"/>
      <c r="G543" s="159"/>
      <c r="H543" s="155"/>
      <c r="I543" s="164"/>
      <c r="J543" s="164"/>
      <c r="K543" s="155"/>
      <c r="L543" s="85"/>
      <c r="M543" s="79" t="s">
        <v>28</v>
      </c>
      <c r="N543" s="87"/>
      <c r="O543" s="20"/>
      <c r="P543" s="31"/>
      <c r="Q543" s="88"/>
      <c r="R543" s="88"/>
      <c r="S543" s="88"/>
      <c r="T543" s="58"/>
      <c r="U543" s="92"/>
      <c r="V543" s="90"/>
    </row>
    <row r="544" spans="1:22" s="168" customFormat="1" ht="22.500000" customHeight="1">
      <c r="A544" s="34">
        <v>542</v>
      </c>
      <c r="B544" s="34"/>
      <c r="C544" s="34"/>
      <c r="D544" s="34"/>
      <c r="E544" s="34"/>
      <c r="F544" s="85"/>
      <c r="G544" s="159"/>
      <c r="H544" s="155"/>
      <c r="I544" s="164"/>
      <c r="J544" s="164"/>
      <c r="K544" s="155"/>
      <c r="L544" s="85"/>
      <c r="M544" s="82" t="s">
        <v>29</v>
      </c>
      <c r="N544" s="87"/>
      <c r="O544" s="20"/>
      <c r="P544" s="31"/>
      <c r="Q544" s="88"/>
      <c r="R544" s="88"/>
      <c r="S544" s="88"/>
      <c r="T544" s="58"/>
      <c r="U544" s="92"/>
      <c r="V544" s="90"/>
    </row>
    <row r="545" spans="1:22" s="168" customFormat="1" ht="22.500000" customHeight="1">
      <c r="A545" s="34">
        <v>543</v>
      </c>
      <c r="B545" s="34"/>
      <c r="C545" s="34"/>
      <c r="D545" s="34"/>
      <c r="E545" s="34"/>
      <c r="F545" s="85"/>
      <c r="G545" s="159"/>
      <c r="H545" s="155"/>
      <c r="I545" s="164"/>
      <c r="J545" s="164"/>
      <c r="K545" s="155"/>
      <c r="L545" s="85"/>
      <c r="M545" s="83" t="s">
        <v>30</v>
      </c>
      <c r="N545" s="87"/>
      <c r="O545" s="20"/>
      <c r="P545" s="31"/>
      <c r="Q545" s="88"/>
      <c r="R545" s="88"/>
      <c r="S545" s="88"/>
      <c r="T545" s="58"/>
      <c r="U545" s="92"/>
      <c r="V545" s="90"/>
    </row>
    <row r="546" spans="1:22" s="168" customFormat="1" ht="22.500000" customHeight="1">
      <c r="A546" s="34">
        <v>544</v>
      </c>
      <c r="B546" s="34"/>
      <c r="C546" s="34"/>
      <c r="D546" s="34"/>
      <c r="E546" s="34"/>
      <c r="F546" s="85"/>
      <c r="G546" s="159"/>
      <c r="H546" s="155"/>
      <c r="I546" s="164"/>
      <c r="J546" s="164"/>
      <c r="K546" s="155"/>
      <c r="L546" s="85"/>
      <c r="M546" s="80" t="s">
        <v>28</v>
      </c>
      <c r="N546" s="87"/>
      <c r="O546" s="20"/>
      <c r="P546" s="31"/>
      <c r="Q546" s="88"/>
      <c r="R546" s="88"/>
      <c r="S546" s="88"/>
      <c r="T546" s="58"/>
      <c r="U546" s="92"/>
      <c r="V546" s="90"/>
    </row>
    <row r="547" spans="1:22" s="168" customFormat="1" ht="22.500000" customHeight="1">
      <c r="A547" s="34">
        <v>545</v>
      </c>
      <c r="B547" s="34"/>
      <c r="C547" s="34"/>
      <c r="D547" s="34"/>
      <c r="E547" s="34"/>
      <c r="F547" s="85"/>
      <c r="G547" s="159"/>
      <c r="H547" s="155"/>
      <c r="I547" s="164"/>
      <c r="J547" s="164"/>
      <c r="K547" s="155"/>
      <c r="L547" s="85"/>
      <c r="M547" s="79" t="s">
        <v>28</v>
      </c>
      <c r="N547" s="87"/>
      <c r="O547" s="20"/>
      <c r="P547" s="31"/>
      <c r="Q547" s="88"/>
      <c r="R547" s="88"/>
      <c r="S547" s="88"/>
      <c r="T547" s="58"/>
      <c r="U547" s="92"/>
      <c r="V547" s="90"/>
    </row>
    <row r="548" spans="1:22" s="168" customFormat="1" ht="22.500000" customHeight="1">
      <c r="A548" s="34">
        <v>546</v>
      </c>
      <c r="B548" s="34"/>
      <c r="C548" s="34"/>
      <c r="D548" s="34"/>
      <c r="E548" s="34"/>
      <c r="F548" s="85"/>
      <c r="G548" s="159"/>
      <c r="H548" s="155"/>
      <c r="I548" s="164"/>
      <c r="J548" s="164"/>
      <c r="K548" s="155"/>
      <c r="L548" s="85"/>
      <c r="M548" s="80" t="s">
        <v>28</v>
      </c>
      <c r="N548" s="87"/>
      <c r="O548" s="20"/>
      <c r="P548" s="31"/>
      <c r="Q548" s="88"/>
      <c r="R548" s="88"/>
      <c r="S548" s="88"/>
      <c r="T548" s="58"/>
      <c r="U548" s="92"/>
      <c r="V548" s="90"/>
    </row>
    <row r="549" spans="1:22" s="168" customFormat="1" ht="22.500000" customHeight="1">
      <c r="A549" s="34">
        <v>547</v>
      </c>
      <c r="B549" s="34"/>
      <c r="C549" s="34"/>
      <c r="D549" s="34"/>
      <c r="E549" s="34"/>
      <c r="F549" s="85"/>
      <c r="G549" s="159"/>
      <c r="H549" s="155"/>
      <c r="I549" s="164"/>
      <c r="J549" s="164"/>
      <c r="K549" s="155"/>
      <c r="L549" s="85"/>
      <c r="M549" s="81" t="s">
        <v>29</v>
      </c>
      <c r="N549" s="87"/>
      <c r="O549" s="20"/>
      <c r="P549" s="31"/>
      <c r="Q549" s="88"/>
      <c r="R549" s="88"/>
      <c r="S549" s="88"/>
      <c r="T549" s="58"/>
      <c r="U549" s="92"/>
      <c r="V549" s="90"/>
    </row>
    <row r="550" spans="1:22" s="168" customFormat="1" ht="22.500000" customHeight="1">
      <c r="A550" s="34">
        <v>548</v>
      </c>
      <c r="B550" s="34"/>
      <c r="C550" s="34"/>
      <c r="D550" s="34"/>
      <c r="E550" s="34"/>
      <c r="F550" s="85"/>
      <c r="G550" s="159"/>
      <c r="H550" s="155"/>
      <c r="I550" s="164"/>
      <c r="J550" s="164"/>
      <c r="K550" s="155"/>
      <c r="L550" s="85"/>
      <c r="M550" s="84" t="s">
        <v>30</v>
      </c>
      <c r="N550" s="87"/>
      <c r="O550" s="20"/>
      <c r="P550" s="31"/>
      <c r="Q550" s="88"/>
      <c r="R550" s="88"/>
      <c r="S550" s="88"/>
      <c r="T550" s="58"/>
      <c r="U550" s="92"/>
      <c r="V550" s="90"/>
    </row>
    <row r="551" spans="1:22" s="168" customFormat="1" ht="22.500000" customHeight="1">
      <c r="A551" s="34">
        <v>549</v>
      </c>
      <c r="B551" s="34"/>
      <c r="C551" s="34"/>
      <c r="D551" s="34"/>
      <c r="E551" s="34"/>
      <c r="F551" s="85"/>
      <c r="G551" s="159"/>
      <c r="H551" s="155"/>
      <c r="I551" s="164"/>
      <c r="J551" s="164"/>
      <c r="K551" s="155"/>
      <c r="L551" s="85"/>
      <c r="M551" s="79" t="s">
        <v>28</v>
      </c>
      <c r="N551" s="87"/>
      <c r="O551" s="20"/>
      <c r="P551" s="31"/>
      <c r="Q551" s="88"/>
      <c r="R551" s="88"/>
      <c r="S551" s="88"/>
      <c r="T551" s="58"/>
      <c r="U551" s="92"/>
      <c r="V551" s="90"/>
    </row>
    <row r="552" spans="1:22" s="168" customFormat="1" ht="22.500000" customHeight="1">
      <c r="A552" s="34">
        <v>550</v>
      </c>
      <c r="B552" s="34"/>
      <c r="C552" s="34"/>
      <c r="D552" s="34"/>
      <c r="E552" s="34"/>
      <c r="F552" s="85"/>
      <c r="G552" s="159"/>
      <c r="H552" s="155"/>
      <c r="I552" s="164"/>
      <c r="J552" s="164"/>
      <c r="K552" s="155"/>
      <c r="L552" s="85"/>
      <c r="M552" s="80" t="s">
        <v>28</v>
      </c>
      <c r="N552" s="87"/>
      <c r="O552" s="20"/>
      <c r="P552" s="31"/>
      <c r="Q552" s="88"/>
      <c r="R552" s="88"/>
      <c r="S552" s="88"/>
      <c r="T552" s="58"/>
      <c r="U552" s="92"/>
      <c r="V552" s="90"/>
    </row>
    <row r="553" spans="1:22" s="168" customFormat="1" ht="22.500000" customHeight="1">
      <c r="A553" s="34">
        <v>551</v>
      </c>
      <c r="B553" s="34"/>
      <c r="C553" s="34"/>
      <c r="D553" s="34"/>
      <c r="E553" s="34"/>
      <c r="F553" s="85"/>
      <c r="G553" s="159"/>
      <c r="H553" s="155"/>
      <c r="I553" s="164"/>
      <c r="J553" s="164"/>
      <c r="K553" s="155"/>
      <c r="L553" s="85"/>
      <c r="M553" s="79" t="s">
        <v>28</v>
      </c>
      <c r="N553" s="87"/>
      <c r="O553" s="20"/>
      <c r="P553" s="31"/>
      <c r="Q553" s="88"/>
      <c r="R553" s="88"/>
      <c r="S553" s="88"/>
      <c r="T553" s="58"/>
      <c r="U553" s="92"/>
      <c r="V553" s="90"/>
    </row>
    <row r="554" spans="1:22" s="168" customFormat="1" ht="22.500000" customHeight="1">
      <c r="A554" s="34">
        <v>552</v>
      </c>
      <c r="B554" s="34"/>
      <c r="C554" s="34"/>
      <c r="D554" s="34"/>
      <c r="E554" s="34"/>
      <c r="F554" s="85"/>
      <c r="G554" s="159"/>
      <c r="H554" s="155"/>
      <c r="I554" s="164"/>
      <c r="J554" s="164"/>
      <c r="K554" s="155"/>
      <c r="L554" s="85"/>
      <c r="M554" s="80" t="s">
        <v>28</v>
      </c>
      <c r="N554" s="87"/>
      <c r="O554" s="20"/>
      <c r="P554" s="31"/>
      <c r="Q554" s="88"/>
      <c r="R554" s="88"/>
      <c r="S554" s="88"/>
      <c r="T554" s="58"/>
      <c r="U554" s="92"/>
      <c r="V554" s="90"/>
    </row>
    <row r="555" spans="1:22" s="168" customFormat="1" ht="22.500000" customHeight="1">
      <c r="A555" s="34">
        <v>553</v>
      </c>
      <c r="B555" s="34"/>
      <c r="C555" s="34"/>
      <c r="D555" s="34"/>
      <c r="E555" s="34"/>
      <c r="F555" s="85"/>
      <c r="G555" s="159"/>
      <c r="H555" s="155"/>
      <c r="I555" s="164"/>
      <c r="J555" s="164"/>
      <c r="K555" s="155"/>
      <c r="L555" s="85"/>
      <c r="M555" s="83" t="s">
        <v>30</v>
      </c>
      <c r="N555" s="87"/>
      <c r="O555" s="20"/>
      <c r="P555" s="31"/>
      <c r="Q555" s="88"/>
      <c r="R555" s="88"/>
      <c r="S555" s="88"/>
      <c r="T555" s="58"/>
      <c r="U555" s="92"/>
      <c r="V555" s="90"/>
    </row>
    <row r="556" spans="1:22" s="168" customFormat="1" ht="22.500000" customHeight="1">
      <c r="A556" s="34">
        <v>554</v>
      </c>
      <c r="B556" s="34"/>
      <c r="C556" s="34"/>
      <c r="D556" s="34"/>
      <c r="E556" s="34"/>
      <c r="F556" s="85"/>
      <c r="G556" s="159"/>
      <c r="H556" s="155"/>
      <c r="I556" s="164"/>
      <c r="J556" s="164"/>
      <c r="K556" s="155"/>
      <c r="L556" s="85"/>
      <c r="M556" s="80" t="s">
        <v>28</v>
      </c>
      <c r="N556" s="87"/>
      <c r="O556" s="20"/>
      <c r="P556" s="31"/>
      <c r="Q556" s="88"/>
      <c r="R556" s="88"/>
      <c r="S556" s="88"/>
      <c r="T556" s="58"/>
      <c r="U556" s="92"/>
      <c r="V556" s="90"/>
    </row>
    <row r="557" spans="1:22" s="168" customFormat="1" ht="22.500000" customHeight="1">
      <c r="A557" s="34">
        <v>555</v>
      </c>
      <c r="B557" s="34"/>
      <c r="C557" s="34"/>
      <c r="D557" s="34"/>
      <c r="E557" s="34"/>
      <c r="F557" s="85"/>
      <c r="G557" s="159"/>
      <c r="H557" s="155"/>
      <c r="I557" s="164"/>
      <c r="J557" s="164"/>
      <c r="K557" s="155"/>
      <c r="L557" s="85"/>
      <c r="M557" s="79" t="s">
        <v>28</v>
      </c>
      <c r="N557" s="87"/>
      <c r="O557" s="20"/>
      <c r="P557" s="31"/>
      <c r="Q557" s="88"/>
      <c r="R557" s="88"/>
      <c r="S557" s="88"/>
      <c r="T557" s="58"/>
      <c r="U557" s="92"/>
      <c r="V557" s="90"/>
    </row>
    <row r="558" spans="1:22" s="168" customFormat="1" ht="22.500000" customHeight="1">
      <c r="A558" s="34">
        <v>556</v>
      </c>
      <c r="B558" s="34"/>
      <c r="C558" s="34"/>
      <c r="D558" s="34"/>
      <c r="E558" s="34"/>
      <c r="F558" s="85"/>
      <c r="G558" s="159"/>
      <c r="H558" s="155"/>
      <c r="I558" s="164"/>
      <c r="J558" s="164"/>
      <c r="K558" s="155"/>
      <c r="L558" s="85"/>
      <c r="M558" s="80" t="s">
        <v>28</v>
      </c>
      <c r="N558" s="87"/>
      <c r="O558" s="20"/>
      <c r="P558" s="31"/>
      <c r="Q558" s="88"/>
      <c r="R558" s="88"/>
      <c r="S558" s="88"/>
      <c r="T558" s="58"/>
      <c r="U558" s="92"/>
      <c r="V558" s="90"/>
    </row>
    <row r="559" spans="1:22" s="168" customFormat="1" ht="22.500000" customHeight="1">
      <c r="A559" s="34">
        <v>557</v>
      </c>
      <c r="B559" s="34"/>
      <c r="C559" s="34"/>
      <c r="D559" s="34"/>
      <c r="E559" s="34"/>
      <c r="F559" s="85"/>
      <c r="G559" s="159"/>
      <c r="H559" s="155"/>
      <c r="I559" s="164"/>
      <c r="J559" s="164"/>
      <c r="K559" s="155"/>
      <c r="L559" s="85"/>
      <c r="M559" s="83" t="s">
        <v>30</v>
      </c>
      <c r="N559" s="87"/>
      <c r="O559" s="20"/>
      <c r="P559" s="31"/>
      <c r="Q559" s="88"/>
      <c r="R559" s="88"/>
      <c r="S559" s="88"/>
      <c r="T559" s="58"/>
      <c r="U559" s="92"/>
      <c r="V559" s="90"/>
    </row>
    <row r="560" spans="1:22" s="168" customFormat="1" ht="22.500000" customHeight="1">
      <c r="A560" s="34">
        <v>558</v>
      </c>
      <c r="B560" s="34"/>
      <c r="C560" s="34"/>
      <c r="D560" s="34"/>
      <c r="E560" s="34"/>
      <c r="F560" s="85"/>
      <c r="G560" s="159"/>
      <c r="H560" s="155"/>
      <c r="I560" s="164"/>
      <c r="J560" s="164"/>
      <c r="K560" s="155"/>
      <c r="L560" s="85"/>
      <c r="M560" s="80" t="s">
        <v>28</v>
      </c>
      <c r="N560" s="87"/>
      <c r="O560" s="20"/>
      <c r="P560" s="31"/>
      <c r="Q560" s="88"/>
      <c r="R560" s="88"/>
      <c r="S560" s="88"/>
      <c r="T560" s="58"/>
      <c r="U560" s="94"/>
      <c r="V560" s="93"/>
    </row>
    <row r="561" spans="1:22" s="168" customFormat="1" ht="22.500000" customHeight="1">
      <c r="A561" s="34">
        <v>559</v>
      </c>
      <c r="B561" s="34"/>
      <c r="C561" s="34"/>
      <c r="D561" s="34"/>
      <c r="E561" s="34"/>
      <c r="F561" s="85"/>
      <c r="G561" s="159"/>
      <c r="H561" s="155"/>
      <c r="I561" s="164"/>
      <c r="J561" s="164"/>
      <c r="K561" s="155"/>
      <c r="L561" s="85"/>
      <c r="M561" s="81" t="s">
        <v>29</v>
      </c>
      <c r="N561" s="87"/>
      <c r="O561" s="20"/>
      <c r="P561" s="31"/>
      <c r="Q561" s="88"/>
      <c r="R561" s="88"/>
      <c r="S561" s="88"/>
      <c r="T561" s="58"/>
      <c r="U561" s="92"/>
      <c r="V561" s="90"/>
    </row>
    <row r="562" spans="1:22" s="168" customFormat="1" ht="22.500000" customHeight="1">
      <c r="A562" s="34">
        <v>560</v>
      </c>
      <c r="B562" s="34"/>
      <c r="C562" s="34"/>
      <c r="D562" s="34"/>
      <c r="E562" s="34"/>
      <c r="F562" s="85"/>
      <c r="G562" s="159"/>
      <c r="H562" s="155"/>
      <c r="I562" s="164"/>
      <c r="J562" s="164"/>
      <c r="K562" s="155"/>
      <c r="L562" s="85"/>
      <c r="M562" s="80" t="s">
        <v>28</v>
      </c>
      <c r="N562" s="87"/>
      <c r="O562" s="20"/>
      <c r="P562" s="31"/>
      <c r="Q562" s="88"/>
      <c r="R562" s="88"/>
      <c r="S562" s="88"/>
      <c r="T562" s="58"/>
      <c r="U562" s="94"/>
      <c r="V562" s="93"/>
    </row>
    <row r="563" spans="1:22" s="168" customFormat="1" ht="22.500000" customHeight="1">
      <c r="A563" s="34">
        <v>561</v>
      </c>
      <c r="B563" s="34"/>
      <c r="C563" s="34"/>
      <c r="D563" s="34"/>
      <c r="E563" s="34"/>
      <c r="F563" s="85"/>
      <c r="G563" s="159"/>
      <c r="H563" s="155"/>
      <c r="I563" s="164"/>
      <c r="J563" s="164"/>
      <c r="K563" s="155"/>
      <c r="L563" s="85"/>
      <c r="M563" s="79" t="s">
        <v>28</v>
      </c>
      <c r="N563" s="87"/>
      <c r="O563" s="20"/>
      <c r="P563" s="31"/>
      <c r="Q563" s="88"/>
      <c r="R563" s="88"/>
      <c r="S563" s="88"/>
      <c r="T563" s="58"/>
      <c r="U563" s="92"/>
      <c r="V563" s="90"/>
    </row>
    <row r="564" spans="1:22" s="168" customFormat="1" ht="22.500000" customHeight="1">
      <c r="A564" s="34">
        <v>562</v>
      </c>
      <c r="B564" s="34"/>
      <c r="C564" s="34"/>
      <c r="D564" s="34"/>
      <c r="E564" s="34"/>
      <c r="F564" s="85"/>
      <c r="G564" s="159"/>
      <c r="H564" s="155"/>
      <c r="I564" s="164"/>
      <c r="J564" s="164"/>
      <c r="K564" s="155"/>
      <c r="L564" s="85"/>
      <c r="M564" s="82" t="s">
        <v>29</v>
      </c>
      <c r="N564" s="87"/>
      <c r="O564" s="20"/>
      <c r="P564" s="31"/>
      <c r="Q564" s="88"/>
      <c r="R564" s="88"/>
      <c r="S564" s="88"/>
      <c r="T564" s="58"/>
      <c r="U564" s="94"/>
      <c r="V564" s="93"/>
    </row>
    <row r="565" spans="1:22" s="168" customFormat="1" ht="22.500000" customHeight="1">
      <c r="A565" s="34">
        <v>563</v>
      </c>
      <c r="B565" s="34"/>
      <c r="C565" s="34"/>
      <c r="D565" s="34"/>
      <c r="E565" s="34"/>
      <c r="F565" s="85"/>
      <c r="G565" s="159"/>
      <c r="H565" s="155"/>
      <c r="I565" s="164"/>
      <c r="J565" s="164"/>
      <c r="K565" s="155"/>
      <c r="L565" s="85"/>
      <c r="M565" s="83" t="s">
        <v>30</v>
      </c>
      <c r="N565" s="87"/>
      <c r="O565" s="20"/>
      <c r="P565" s="31"/>
      <c r="Q565" s="88"/>
      <c r="R565" s="88"/>
      <c r="S565" s="88"/>
      <c r="T565" s="58"/>
      <c r="U565" s="92"/>
      <c r="V565" s="90"/>
    </row>
    <row r="566" spans="1:22" s="168" customFormat="1" ht="22.500000" customHeight="1">
      <c r="A566" s="34">
        <v>564</v>
      </c>
      <c r="B566" s="34"/>
      <c r="C566" s="34"/>
      <c r="D566" s="34"/>
      <c r="E566" s="34"/>
      <c r="F566" s="85"/>
      <c r="G566" s="159"/>
      <c r="H566" s="155"/>
      <c r="I566" s="164"/>
      <c r="J566" s="164"/>
      <c r="K566" s="155"/>
      <c r="L566" s="85"/>
      <c r="M566" s="80" t="s">
        <v>28</v>
      </c>
      <c r="N566" s="87"/>
      <c r="O566" s="20"/>
      <c r="P566" s="31"/>
      <c r="Q566" s="88"/>
      <c r="R566" s="88"/>
      <c r="S566" s="88"/>
      <c r="T566" s="58"/>
      <c r="U566" s="94"/>
      <c r="V566" s="93"/>
    </row>
    <row r="567" spans="1:22" s="168" customFormat="1" ht="22.500000" customHeight="1">
      <c r="A567" s="34">
        <v>565</v>
      </c>
      <c r="B567" s="34"/>
      <c r="C567" s="34"/>
      <c r="D567" s="34"/>
      <c r="E567" s="34"/>
      <c r="F567" s="85"/>
      <c r="G567" s="159"/>
      <c r="H567" s="155"/>
      <c r="I567" s="164"/>
      <c r="J567" s="164"/>
      <c r="K567" s="155"/>
      <c r="L567" s="85"/>
      <c r="M567" s="79" t="s">
        <v>28</v>
      </c>
      <c r="N567" s="87"/>
      <c r="O567" s="20"/>
      <c r="P567" s="31"/>
      <c r="Q567" s="88"/>
      <c r="R567" s="88"/>
      <c r="S567" s="88"/>
      <c r="T567" s="58"/>
      <c r="U567" s="92"/>
      <c r="V567" s="90"/>
    </row>
    <row r="568" spans="1:22" s="168" customFormat="1" ht="22.500000" customHeight="1">
      <c r="A568" s="34">
        <v>566</v>
      </c>
      <c r="B568" s="34"/>
      <c r="C568" s="34"/>
      <c r="D568" s="34"/>
      <c r="E568" s="34"/>
      <c r="F568" s="85"/>
      <c r="G568" s="159"/>
      <c r="H568" s="155"/>
      <c r="I568" s="164"/>
      <c r="J568" s="164"/>
      <c r="K568" s="155"/>
      <c r="L568" s="85"/>
      <c r="M568" s="80" t="s">
        <v>28</v>
      </c>
      <c r="N568" s="87"/>
      <c r="O568" s="20"/>
      <c r="P568" s="31"/>
      <c r="Q568" s="88"/>
      <c r="R568" s="88"/>
      <c r="S568" s="88"/>
      <c r="T568" s="58"/>
      <c r="U568" s="94"/>
      <c r="V568" s="93"/>
    </row>
    <row r="569" spans="1:22" s="168" customFormat="1" ht="22.500000" customHeight="1">
      <c r="A569" s="34">
        <v>567</v>
      </c>
      <c r="B569" s="34"/>
      <c r="C569" s="34"/>
      <c r="D569" s="34"/>
      <c r="E569" s="34"/>
      <c r="F569" s="85"/>
      <c r="G569" s="159"/>
      <c r="H569" s="155"/>
      <c r="I569" s="164"/>
      <c r="J569" s="164"/>
      <c r="K569" s="155"/>
      <c r="L569" s="85"/>
      <c r="M569" s="81" t="s">
        <v>29</v>
      </c>
      <c r="N569" s="87"/>
      <c r="O569" s="20"/>
      <c r="P569" s="31"/>
      <c r="Q569" s="88"/>
      <c r="R569" s="88"/>
      <c r="S569" s="88"/>
      <c r="T569" s="58"/>
      <c r="U569" s="92"/>
      <c r="V569" s="90"/>
    </row>
    <row r="570" spans="1:22" s="168" customFormat="1" ht="22.500000" customHeight="1">
      <c r="A570" s="34">
        <v>568</v>
      </c>
      <c r="B570" s="34"/>
      <c r="C570" s="34"/>
      <c r="D570" s="34"/>
      <c r="E570" s="34"/>
      <c r="F570" s="85"/>
      <c r="G570" s="159"/>
      <c r="H570" s="155"/>
      <c r="I570" s="164"/>
      <c r="J570" s="164"/>
      <c r="K570" s="155"/>
      <c r="L570" s="85"/>
      <c r="M570" s="84" t="s">
        <v>30</v>
      </c>
      <c r="N570" s="87"/>
      <c r="O570" s="20"/>
      <c r="P570" s="31"/>
      <c r="Q570" s="88"/>
      <c r="R570" s="88"/>
      <c r="S570" s="88"/>
      <c r="T570" s="58"/>
      <c r="U570" s="94"/>
      <c r="V570" s="93"/>
    </row>
    <row r="571" spans="1:22" s="168" customFormat="1" ht="22.500000" customHeight="1">
      <c r="A571" s="34">
        <v>569</v>
      </c>
      <c r="B571" s="34"/>
      <c r="C571" s="34"/>
      <c r="D571" s="34"/>
      <c r="E571" s="34"/>
      <c r="F571" s="85"/>
      <c r="G571" s="159"/>
      <c r="H571" s="155"/>
      <c r="I571" s="164"/>
      <c r="J571" s="164"/>
      <c r="K571" s="155"/>
      <c r="L571" s="85"/>
      <c r="M571" s="79" t="s">
        <v>28</v>
      </c>
      <c r="N571" s="87"/>
      <c r="O571" s="20"/>
      <c r="P571" s="31"/>
      <c r="Q571" s="88"/>
      <c r="R571" s="88"/>
      <c r="S571" s="88"/>
      <c r="T571" s="58"/>
      <c r="U571" s="92"/>
      <c r="V571" s="90"/>
    </row>
    <row r="572" spans="1:22" s="168" customFormat="1" ht="22.500000" customHeight="1">
      <c r="A572" s="34">
        <v>570</v>
      </c>
      <c r="B572" s="34"/>
      <c r="C572" s="34"/>
      <c r="D572" s="34"/>
      <c r="E572" s="34"/>
      <c r="F572" s="85"/>
      <c r="G572" s="159"/>
      <c r="H572" s="155"/>
      <c r="I572" s="164"/>
      <c r="J572" s="164"/>
      <c r="K572" s="155"/>
      <c r="L572" s="85"/>
      <c r="M572" s="80" t="s">
        <v>28</v>
      </c>
      <c r="N572" s="87"/>
      <c r="O572" s="20"/>
      <c r="P572" s="31"/>
      <c r="Q572" s="88"/>
      <c r="R572" s="88"/>
      <c r="S572" s="88"/>
      <c r="T572" s="58"/>
      <c r="U572" s="94"/>
      <c r="V572" s="93"/>
    </row>
    <row r="573" spans="1:22" s="168" customFormat="1" ht="22.500000" customHeight="1">
      <c r="A573" s="34">
        <v>571</v>
      </c>
      <c r="B573" s="34"/>
      <c r="C573" s="34"/>
      <c r="D573" s="34"/>
      <c r="E573" s="34"/>
      <c r="F573" s="85"/>
      <c r="G573" s="159"/>
      <c r="H573" s="155"/>
      <c r="I573" s="164"/>
      <c r="J573" s="164"/>
      <c r="K573" s="155"/>
      <c r="L573" s="85"/>
      <c r="M573" s="79" t="s">
        <v>28</v>
      </c>
      <c r="N573" s="87"/>
      <c r="O573" s="20"/>
      <c r="P573" s="31"/>
      <c r="Q573" s="88"/>
      <c r="R573" s="88"/>
      <c r="S573" s="88"/>
      <c r="T573" s="58"/>
      <c r="U573" s="92"/>
      <c r="V573" s="90"/>
    </row>
    <row r="574" spans="1:22" s="168" customFormat="1" ht="22.500000" customHeight="1">
      <c r="A574" s="34">
        <v>572</v>
      </c>
      <c r="B574" s="34"/>
      <c r="C574" s="34"/>
      <c r="D574" s="34"/>
      <c r="E574" s="34"/>
      <c r="F574" s="85"/>
      <c r="G574" s="159"/>
      <c r="H574" s="155"/>
      <c r="I574" s="164"/>
      <c r="J574" s="164"/>
      <c r="K574" s="155"/>
      <c r="L574" s="85"/>
      <c r="M574" s="82" t="s">
        <v>29</v>
      </c>
      <c r="N574" s="87"/>
      <c r="O574" s="20"/>
      <c r="P574" s="31"/>
      <c r="Q574" s="88"/>
      <c r="R574" s="88"/>
      <c r="S574" s="88"/>
      <c r="T574" s="58"/>
      <c r="U574" s="94"/>
      <c r="V574" s="93"/>
    </row>
    <row r="575" spans="1:22" s="168" customFormat="1" ht="22.500000" customHeight="1">
      <c r="A575" s="34">
        <v>573</v>
      </c>
      <c r="B575" s="34"/>
      <c r="C575" s="34"/>
      <c r="D575" s="34"/>
      <c r="E575" s="34"/>
      <c r="F575" s="85"/>
      <c r="G575" s="159"/>
      <c r="H575" s="155"/>
      <c r="I575" s="164"/>
      <c r="J575" s="164"/>
      <c r="K575" s="155"/>
      <c r="L575" s="85"/>
      <c r="M575" s="83" t="s">
        <v>30</v>
      </c>
      <c r="N575" s="87"/>
      <c r="O575" s="20"/>
      <c r="P575" s="31"/>
      <c r="Q575" s="88"/>
      <c r="R575" s="88"/>
      <c r="S575" s="88"/>
      <c r="T575" s="58"/>
      <c r="U575" s="92"/>
      <c r="V575" s="90"/>
    </row>
    <row r="576" spans="1:22" s="168" customFormat="1" ht="22.500000" customHeight="1">
      <c r="A576" s="34">
        <v>574</v>
      </c>
      <c r="B576" s="34"/>
      <c r="C576" s="34"/>
      <c r="D576" s="34"/>
      <c r="E576" s="34"/>
      <c r="F576" s="85"/>
      <c r="G576" s="159"/>
      <c r="H576" s="155"/>
      <c r="I576" s="164"/>
      <c r="J576" s="164"/>
      <c r="K576" s="155"/>
      <c r="L576" s="85"/>
      <c r="M576" s="80" t="s">
        <v>28</v>
      </c>
      <c r="N576" s="87"/>
      <c r="O576" s="20"/>
      <c r="P576" s="31"/>
      <c r="Q576" s="88"/>
      <c r="R576" s="88"/>
      <c r="S576" s="88"/>
      <c r="T576" s="58"/>
      <c r="U576" s="94"/>
      <c r="V576" s="93"/>
    </row>
    <row r="577" spans="1:22" s="168" customFormat="1" ht="22.500000" customHeight="1">
      <c r="A577" s="34">
        <v>575</v>
      </c>
      <c r="B577" s="34"/>
      <c r="C577" s="34"/>
      <c r="D577" s="34"/>
      <c r="E577" s="34"/>
      <c r="F577" s="85"/>
      <c r="G577" s="159"/>
      <c r="H577" s="155"/>
      <c r="I577" s="164"/>
      <c r="J577" s="164"/>
      <c r="K577" s="155"/>
      <c r="L577" s="85"/>
      <c r="M577" s="79" t="s">
        <v>28</v>
      </c>
      <c r="N577" s="87"/>
      <c r="O577" s="20"/>
      <c r="P577" s="31"/>
      <c r="Q577" s="88"/>
      <c r="R577" s="88"/>
      <c r="S577" s="88"/>
      <c r="T577" s="58"/>
      <c r="U577" s="92"/>
      <c r="V577" s="90"/>
    </row>
    <row r="578" spans="1:22" s="168" customFormat="1" ht="22.500000" customHeight="1">
      <c r="A578" s="34">
        <v>576</v>
      </c>
      <c r="B578" s="34"/>
      <c r="C578" s="34"/>
      <c r="D578" s="34"/>
      <c r="E578" s="34"/>
      <c r="F578" s="85"/>
      <c r="G578" s="159"/>
      <c r="H578" s="155"/>
      <c r="I578" s="164"/>
      <c r="J578" s="164"/>
      <c r="K578" s="155"/>
      <c r="L578" s="85"/>
      <c r="M578" s="80" t="s">
        <v>28</v>
      </c>
      <c r="N578" s="87"/>
      <c r="O578" s="20"/>
      <c r="P578" s="31"/>
      <c r="Q578" s="88"/>
      <c r="R578" s="88"/>
      <c r="S578" s="88"/>
      <c r="T578" s="58"/>
      <c r="U578" s="94"/>
      <c r="V578" s="93"/>
    </row>
    <row r="579" spans="1:22" s="168" customFormat="1" ht="22.500000" customHeight="1">
      <c r="A579" s="34">
        <v>577</v>
      </c>
      <c r="B579" s="34"/>
      <c r="C579" s="34"/>
      <c r="D579" s="34"/>
      <c r="E579" s="34"/>
      <c r="F579" s="85"/>
      <c r="G579" s="159"/>
      <c r="H579" s="155"/>
      <c r="I579" s="164"/>
      <c r="J579" s="164"/>
      <c r="K579" s="155"/>
      <c r="L579" s="85"/>
      <c r="M579" s="81" t="s">
        <v>29</v>
      </c>
      <c r="N579" s="87"/>
      <c r="O579" s="20"/>
      <c r="P579" s="31"/>
      <c r="Q579" s="88"/>
      <c r="R579" s="88"/>
      <c r="S579" s="88"/>
      <c r="T579" s="58"/>
      <c r="U579" s="92"/>
      <c r="V579" s="90"/>
    </row>
    <row r="580" spans="1:22" s="168" customFormat="1" ht="22.500000" customHeight="1">
      <c r="A580" s="34">
        <v>578</v>
      </c>
      <c r="B580" s="34"/>
      <c r="C580" s="34"/>
      <c r="D580" s="34"/>
      <c r="E580" s="34"/>
      <c r="F580" s="85"/>
      <c r="G580" s="159"/>
      <c r="H580" s="155"/>
      <c r="I580" s="164"/>
      <c r="J580" s="164"/>
      <c r="K580" s="155"/>
      <c r="L580" s="85"/>
      <c r="M580" s="84" t="s">
        <v>30</v>
      </c>
      <c r="N580" s="87"/>
      <c r="O580" s="20"/>
      <c r="P580" s="31"/>
      <c r="Q580" s="88"/>
      <c r="R580" s="88"/>
      <c r="S580" s="88"/>
      <c r="T580" s="58"/>
      <c r="U580" s="94"/>
      <c r="V580" s="93"/>
    </row>
    <row r="581" spans="1:22" s="168" customFormat="1" ht="22.500000" customHeight="1">
      <c r="A581" s="34">
        <v>579</v>
      </c>
      <c r="B581" s="34"/>
      <c r="C581" s="34"/>
      <c r="D581" s="34"/>
      <c r="E581" s="34"/>
      <c r="F581" s="85"/>
      <c r="G581" s="159"/>
      <c r="H581" s="155"/>
      <c r="I581" s="164"/>
      <c r="J581" s="164"/>
      <c r="K581" s="155"/>
      <c r="L581" s="85"/>
      <c r="M581" s="79" t="s">
        <v>28</v>
      </c>
      <c r="N581" s="87"/>
      <c r="O581" s="20"/>
      <c r="P581" s="31"/>
      <c r="Q581" s="88"/>
      <c r="R581" s="88"/>
      <c r="S581" s="88"/>
      <c r="T581" s="58"/>
      <c r="U581" s="92"/>
      <c r="V581" s="90"/>
    </row>
    <row r="582" spans="1:22" s="168" customFormat="1" ht="22.500000" customHeight="1">
      <c r="A582" s="34">
        <v>580</v>
      </c>
      <c r="B582" s="34"/>
      <c r="C582" s="34"/>
      <c r="D582" s="34"/>
      <c r="E582" s="34"/>
      <c r="F582" s="85"/>
      <c r="G582" s="159"/>
      <c r="H582" s="155"/>
      <c r="I582" s="164"/>
      <c r="J582" s="164"/>
      <c r="K582" s="155"/>
      <c r="L582" s="85"/>
      <c r="M582" s="80" t="s">
        <v>28</v>
      </c>
      <c r="N582" s="87"/>
      <c r="O582" s="20"/>
      <c r="P582" s="31"/>
      <c r="Q582" s="88"/>
      <c r="R582" s="88"/>
      <c r="S582" s="88"/>
      <c r="T582" s="58"/>
      <c r="U582" s="94"/>
      <c r="V582" s="93"/>
    </row>
    <row r="583" spans="1:22" s="168" customFormat="1" ht="22.500000" customHeight="1">
      <c r="A583" s="34">
        <v>581</v>
      </c>
      <c r="B583" s="34"/>
      <c r="C583" s="34"/>
      <c r="D583" s="34"/>
      <c r="E583" s="34"/>
      <c r="F583" s="85"/>
      <c r="G583" s="159"/>
      <c r="H583" s="155"/>
      <c r="I583" s="164"/>
      <c r="J583" s="164"/>
      <c r="K583" s="155"/>
      <c r="L583" s="85"/>
      <c r="M583" s="79" t="s">
        <v>28</v>
      </c>
      <c r="N583" s="87"/>
      <c r="O583" s="20"/>
      <c r="P583" s="31"/>
      <c r="Q583" s="88"/>
      <c r="R583" s="88"/>
      <c r="S583" s="88"/>
      <c r="T583" s="58"/>
      <c r="U583" s="92"/>
      <c r="V583" s="90"/>
    </row>
    <row r="584" spans="1:22" s="168" customFormat="1" ht="22.500000" customHeight="1">
      <c r="A584" s="34">
        <v>582</v>
      </c>
      <c r="B584" s="34"/>
      <c r="C584" s="34"/>
      <c r="D584" s="34"/>
      <c r="E584" s="34"/>
      <c r="F584" s="85"/>
      <c r="G584" s="159"/>
      <c r="H584" s="155"/>
      <c r="I584" s="164"/>
      <c r="J584" s="164"/>
      <c r="K584" s="155"/>
      <c r="L584" s="85"/>
      <c r="M584" s="82" t="s">
        <v>29</v>
      </c>
      <c r="N584" s="87"/>
      <c r="O584" s="20"/>
      <c r="P584" s="31"/>
      <c r="Q584" s="88"/>
      <c r="R584" s="88"/>
      <c r="S584" s="88"/>
      <c r="T584" s="58"/>
      <c r="U584" s="94"/>
      <c r="V584" s="93"/>
    </row>
    <row r="585" spans="1:22" s="168" customFormat="1" ht="22.500000" customHeight="1">
      <c r="A585" s="34">
        <v>583</v>
      </c>
      <c r="B585" s="34"/>
      <c r="C585" s="34"/>
      <c r="D585" s="34"/>
      <c r="E585" s="34"/>
      <c r="F585" s="85"/>
      <c r="G585" s="159"/>
      <c r="H585" s="155"/>
      <c r="I585" s="164"/>
      <c r="J585" s="164"/>
      <c r="K585" s="155"/>
      <c r="L585" s="85"/>
      <c r="M585" s="83" t="s">
        <v>30</v>
      </c>
      <c r="N585" s="87"/>
      <c r="O585" s="20"/>
      <c r="P585" s="31"/>
      <c r="Q585" s="88"/>
      <c r="R585" s="88"/>
      <c r="S585" s="88"/>
      <c r="T585" s="58"/>
      <c r="U585" s="92"/>
      <c r="V585" s="90"/>
    </row>
    <row r="586" spans="1:22" s="168" customFormat="1" ht="22.500000" customHeight="1">
      <c r="A586" s="34">
        <v>584</v>
      </c>
      <c r="B586" s="34"/>
      <c r="C586" s="34"/>
      <c r="D586" s="34"/>
      <c r="E586" s="34"/>
      <c r="F586" s="85"/>
      <c r="G586" s="159"/>
      <c r="H586" s="155"/>
      <c r="I586" s="164"/>
      <c r="J586" s="164"/>
      <c r="K586" s="155"/>
      <c r="L586" s="85"/>
      <c r="M586" s="80" t="s">
        <v>28</v>
      </c>
      <c r="N586" s="87"/>
      <c r="O586" s="20"/>
      <c r="P586" s="31"/>
      <c r="Q586" s="88"/>
      <c r="R586" s="88"/>
      <c r="S586" s="88"/>
      <c r="T586" s="58"/>
      <c r="U586" s="94"/>
      <c r="V586" s="93"/>
    </row>
    <row r="587" spans="1:22" s="168" customFormat="1" ht="22.500000" customHeight="1">
      <c r="A587" s="34">
        <v>585</v>
      </c>
      <c r="B587" s="34"/>
      <c r="C587" s="34"/>
      <c r="D587" s="34"/>
      <c r="E587" s="34"/>
      <c r="F587" s="85"/>
      <c r="G587" s="159"/>
      <c r="H587" s="155"/>
      <c r="I587" s="164"/>
      <c r="J587" s="164"/>
      <c r="K587" s="155"/>
      <c r="L587" s="85"/>
      <c r="M587" s="79" t="s">
        <v>28</v>
      </c>
      <c r="N587" s="87"/>
      <c r="O587" s="20"/>
      <c r="P587" s="31"/>
      <c r="Q587" s="88"/>
      <c r="R587" s="88"/>
      <c r="S587" s="88"/>
      <c r="T587" s="58"/>
      <c r="U587" s="92"/>
      <c r="V587" s="90"/>
    </row>
    <row r="588" spans="1:22" s="168" customFormat="1" ht="22.500000" customHeight="1">
      <c r="A588" s="34">
        <v>586</v>
      </c>
      <c r="B588" s="34"/>
      <c r="C588" s="34"/>
      <c r="D588" s="34"/>
      <c r="E588" s="34"/>
      <c r="F588" s="85"/>
      <c r="G588" s="159"/>
      <c r="H588" s="155"/>
      <c r="I588" s="164"/>
      <c r="J588" s="164"/>
      <c r="K588" s="155"/>
      <c r="L588" s="85"/>
      <c r="M588" s="80" t="s">
        <v>28</v>
      </c>
      <c r="N588" s="87"/>
      <c r="O588" s="20"/>
      <c r="P588" s="31"/>
      <c r="Q588" s="88"/>
      <c r="R588" s="88"/>
      <c r="S588" s="88"/>
      <c r="T588" s="58"/>
      <c r="U588" s="94"/>
      <c r="V588" s="93"/>
    </row>
    <row r="589" spans="1:22" s="168" customFormat="1" ht="22.500000" customHeight="1">
      <c r="A589" s="34">
        <v>587</v>
      </c>
      <c r="B589" s="34"/>
      <c r="C589" s="34"/>
      <c r="D589" s="34"/>
      <c r="E589" s="34"/>
      <c r="F589" s="85"/>
      <c r="G589" s="159"/>
      <c r="H589" s="155"/>
      <c r="I589" s="164"/>
      <c r="J589" s="164"/>
      <c r="K589" s="155"/>
      <c r="L589" s="85"/>
      <c r="M589" s="81" t="s">
        <v>29</v>
      </c>
      <c r="N589" s="87"/>
      <c r="O589" s="20"/>
      <c r="P589" s="31"/>
      <c r="Q589" s="88"/>
      <c r="R589" s="88"/>
      <c r="S589" s="88"/>
      <c r="T589" s="58"/>
      <c r="U589" s="92"/>
      <c r="V589" s="90"/>
    </row>
    <row r="590" spans="1:22" s="168" customFormat="1" ht="22.500000" customHeight="1">
      <c r="A590" s="34">
        <v>588</v>
      </c>
      <c r="B590" s="34"/>
      <c r="C590" s="34"/>
      <c r="D590" s="34"/>
      <c r="E590" s="34"/>
      <c r="F590" s="85"/>
      <c r="G590" s="159"/>
      <c r="H590" s="155"/>
      <c r="I590" s="164"/>
      <c r="J590" s="164"/>
      <c r="K590" s="155"/>
      <c r="L590" s="85"/>
      <c r="M590" s="84" t="s">
        <v>30</v>
      </c>
      <c r="N590" s="87"/>
      <c r="O590" s="20"/>
      <c r="P590" s="31"/>
      <c r="Q590" s="88"/>
      <c r="R590" s="88"/>
      <c r="S590" s="88"/>
      <c r="T590" s="58"/>
      <c r="U590" s="94"/>
      <c r="V590" s="93"/>
    </row>
    <row r="591" spans="1:22" s="168" customFormat="1" ht="22.500000" customHeight="1">
      <c r="A591" s="34">
        <v>589</v>
      </c>
      <c r="B591" s="34"/>
      <c r="C591" s="34"/>
      <c r="D591" s="34"/>
      <c r="E591" s="34"/>
      <c r="F591" s="85"/>
      <c r="G591" s="159"/>
      <c r="H591" s="155"/>
      <c r="I591" s="164"/>
      <c r="J591" s="164"/>
      <c r="K591" s="155"/>
      <c r="L591" s="85"/>
      <c r="M591" s="79" t="s">
        <v>28</v>
      </c>
      <c r="N591" s="87"/>
      <c r="O591" s="20"/>
      <c r="P591" s="31"/>
      <c r="Q591" s="88"/>
      <c r="R591" s="88"/>
      <c r="S591" s="88"/>
      <c r="T591" s="58"/>
      <c r="U591" s="92"/>
      <c r="V591" s="90"/>
    </row>
    <row r="592" spans="1:22" s="168" customFormat="1" ht="22.500000" customHeight="1">
      <c r="A592" s="34">
        <v>590</v>
      </c>
      <c r="B592" s="34"/>
      <c r="C592" s="34"/>
      <c r="D592" s="34"/>
      <c r="E592" s="34"/>
      <c r="F592" s="85"/>
      <c r="G592" s="159"/>
      <c r="H592" s="155"/>
      <c r="I592" s="164"/>
      <c r="J592" s="164"/>
      <c r="K592" s="155"/>
      <c r="L592" s="85"/>
      <c r="M592" s="80" t="s">
        <v>28</v>
      </c>
      <c r="N592" s="87"/>
      <c r="O592" s="20"/>
      <c r="P592" s="31"/>
      <c r="Q592" s="88"/>
      <c r="R592" s="88"/>
      <c r="S592" s="88"/>
      <c r="T592" s="58"/>
      <c r="U592" s="94"/>
      <c r="V592" s="93"/>
    </row>
    <row r="593" spans="1:22" s="168" customFormat="1" ht="22.500000" customHeight="1">
      <c r="A593" s="34">
        <v>591</v>
      </c>
      <c r="B593" s="34"/>
      <c r="C593" s="34"/>
      <c r="D593" s="34"/>
      <c r="E593" s="34"/>
      <c r="F593" s="85"/>
      <c r="G593" s="159"/>
      <c r="H593" s="155"/>
      <c r="I593" s="164"/>
      <c r="J593" s="164"/>
      <c r="K593" s="155"/>
      <c r="L593" s="85"/>
      <c r="M593" s="79" t="s">
        <v>28</v>
      </c>
      <c r="N593" s="87"/>
      <c r="O593" s="20"/>
      <c r="P593" s="31"/>
      <c r="Q593" s="88"/>
      <c r="R593" s="88"/>
      <c r="S593" s="88"/>
      <c r="T593" s="58"/>
      <c r="U593" s="92"/>
      <c r="V593" s="90"/>
    </row>
    <row r="594" spans="1:22" s="168" customFormat="1" ht="22.500000" customHeight="1">
      <c r="A594" s="34">
        <v>592</v>
      </c>
      <c r="B594" s="34"/>
      <c r="C594" s="34"/>
      <c r="D594" s="34"/>
      <c r="E594" s="34"/>
      <c r="F594" s="85"/>
      <c r="G594" s="159"/>
      <c r="H594" s="155"/>
      <c r="I594" s="164"/>
      <c r="J594" s="164"/>
      <c r="K594" s="155"/>
      <c r="L594" s="85"/>
      <c r="M594" s="82" t="s">
        <v>29</v>
      </c>
      <c r="N594" s="87"/>
      <c r="O594" s="20"/>
      <c r="P594" s="31"/>
      <c r="Q594" s="88"/>
      <c r="R594" s="88"/>
      <c r="S594" s="88"/>
      <c r="T594" s="58"/>
      <c r="U594" s="94"/>
      <c r="V594" s="93"/>
    </row>
    <row r="595" spans="1:22" s="168" customFormat="1" ht="22.500000" customHeight="1">
      <c r="A595" s="34">
        <v>593</v>
      </c>
      <c r="B595" s="34"/>
      <c r="C595" s="34"/>
      <c r="D595" s="34"/>
      <c r="E595" s="34"/>
      <c r="F595" s="85"/>
      <c r="G595" s="159"/>
      <c r="H595" s="155"/>
      <c r="I595" s="164"/>
      <c r="J595" s="164"/>
      <c r="K595" s="155"/>
      <c r="L595" s="85"/>
      <c r="M595" s="83" t="s">
        <v>30</v>
      </c>
      <c r="N595" s="87"/>
      <c r="O595" s="20"/>
      <c r="P595" s="31"/>
      <c r="Q595" s="88"/>
      <c r="R595" s="88"/>
      <c r="S595" s="88"/>
      <c r="T595" s="58"/>
      <c r="U595" s="92"/>
      <c r="V595" s="90"/>
    </row>
    <row r="596" spans="1:22" s="168" customFormat="1" ht="22.500000" customHeight="1">
      <c r="A596" s="34">
        <v>594</v>
      </c>
      <c r="B596" s="34"/>
      <c r="C596" s="34"/>
      <c r="D596" s="34"/>
      <c r="E596" s="34"/>
      <c r="F596" s="85"/>
      <c r="G596" s="159"/>
      <c r="H596" s="155"/>
      <c r="I596" s="164"/>
      <c r="J596" s="164"/>
      <c r="K596" s="155"/>
      <c r="L596" s="85"/>
      <c r="M596" s="80" t="s">
        <v>28</v>
      </c>
      <c r="N596" s="87"/>
      <c r="O596" s="20"/>
      <c r="P596" s="31"/>
      <c r="Q596" s="88"/>
      <c r="R596" s="88"/>
      <c r="S596" s="88"/>
      <c r="T596" s="58"/>
      <c r="U596" s="94"/>
      <c r="V596" s="93"/>
    </row>
    <row r="597" spans="1:22" s="168" customFormat="1" ht="22.500000" customHeight="1">
      <c r="A597" s="34">
        <v>595</v>
      </c>
      <c r="B597" s="34"/>
      <c r="C597" s="34"/>
      <c r="D597" s="34"/>
      <c r="E597" s="34"/>
      <c r="F597" s="85"/>
      <c r="G597" s="159"/>
      <c r="H597" s="155"/>
      <c r="I597" s="164"/>
      <c r="J597" s="164"/>
      <c r="K597" s="155"/>
      <c r="L597" s="85"/>
      <c r="M597" s="79" t="s">
        <v>28</v>
      </c>
      <c r="N597" s="87"/>
      <c r="O597" s="20"/>
      <c r="P597" s="31"/>
      <c r="Q597" s="88"/>
      <c r="R597" s="88"/>
      <c r="S597" s="88"/>
      <c r="T597" s="58"/>
      <c r="U597" s="92"/>
      <c r="V597" s="90"/>
    </row>
    <row r="598" spans="1:22" s="168" customFormat="1" ht="22.500000" customHeight="1">
      <c r="A598" s="34">
        <v>596</v>
      </c>
      <c r="B598" s="34"/>
      <c r="C598" s="34"/>
      <c r="D598" s="34"/>
      <c r="E598" s="34"/>
      <c r="F598" s="85"/>
      <c r="G598" s="159"/>
      <c r="H598" s="155"/>
      <c r="I598" s="164"/>
      <c r="J598" s="164"/>
      <c r="K598" s="155"/>
      <c r="L598" s="85"/>
      <c r="M598" s="80" t="s">
        <v>28</v>
      </c>
      <c r="N598" s="87"/>
      <c r="O598" s="20"/>
      <c r="P598" s="31"/>
      <c r="Q598" s="88"/>
      <c r="R598" s="88"/>
      <c r="S598" s="88"/>
      <c r="T598" s="58"/>
      <c r="U598" s="94"/>
      <c r="V598" s="93"/>
    </row>
    <row r="599" spans="1:22" s="168" customFormat="1" ht="22.500000" customHeight="1">
      <c r="A599" s="34">
        <v>597</v>
      </c>
      <c r="B599" s="34"/>
      <c r="C599" s="34"/>
      <c r="D599" s="34"/>
      <c r="E599" s="34"/>
      <c r="F599" s="85"/>
      <c r="G599" s="159"/>
      <c r="H599" s="155"/>
      <c r="I599" s="164"/>
      <c r="J599" s="164"/>
      <c r="K599" s="155"/>
      <c r="L599" s="85"/>
      <c r="M599" s="81" t="s">
        <v>29</v>
      </c>
      <c r="N599" s="87"/>
      <c r="O599" s="20"/>
      <c r="P599" s="31"/>
      <c r="Q599" s="88"/>
      <c r="R599" s="88"/>
      <c r="S599" s="88"/>
      <c r="T599" s="58"/>
      <c r="U599" s="92"/>
      <c r="V599" s="90"/>
    </row>
    <row r="600" spans="1:22" s="168" customFormat="1" ht="22.500000" customHeight="1">
      <c r="A600" s="34">
        <v>598</v>
      </c>
      <c r="B600" s="34"/>
      <c r="C600" s="34"/>
      <c r="D600" s="34"/>
      <c r="E600" s="34"/>
      <c r="F600" s="85"/>
      <c r="G600" s="159"/>
      <c r="H600" s="155"/>
      <c r="I600" s="164"/>
      <c r="J600" s="164"/>
      <c r="K600" s="155"/>
      <c r="L600" s="85"/>
      <c r="M600" s="84" t="s">
        <v>30</v>
      </c>
      <c r="N600" s="87"/>
      <c r="O600" s="20"/>
      <c r="P600" s="31"/>
      <c r="Q600" s="88"/>
      <c r="R600" s="88"/>
      <c r="S600" s="88"/>
      <c r="T600" s="58"/>
      <c r="U600" s="94"/>
      <c r="V600" s="93"/>
    </row>
    <row r="601" spans="1:22" s="168" customFormat="1" ht="22.500000" customHeight="1">
      <c r="A601" s="34">
        <v>599</v>
      </c>
      <c r="B601" s="34"/>
      <c r="C601" s="34"/>
      <c r="D601" s="34"/>
      <c r="E601" s="34"/>
      <c r="F601" s="85"/>
      <c r="G601" s="159"/>
      <c r="H601" s="155"/>
      <c r="I601" s="164"/>
      <c r="J601" s="164"/>
      <c r="K601" s="155"/>
      <c r="L601" s="85"/>
      <c r="M601" s="79" t="s">
        <v>28</v>
      </c>
      <c r="N601" s="87"/>
      <c r="O601" s="20"/>
      <c r="P601" s="31"/>
      <c r="Q601" s="88"/>
      <c r="R601" s="88"/>
      <c r="S601" s="88"/>
      <c r="T601" s="58"/>
      <c r="U601" s="92"/>
      <c r="V601" s="90"/>
    </row>
    <row r="602" spans="1:22" s="168" customFormat="1" ht="22.500000" customHeight="1">
      <c r="A602" s="34">
        <v>600</v>
      </c>
      <c r="B602" s="34"/>
      <c r="C602" s="34"/>
      <c r="D602" s="34"/>
      <c r="E602" s="34"/>
      <c r="F602" s="85"/>
      <c r="G602" s="159"/>
      <c r="H602" s="155"/>
      <c r="I602" s="164"/>
      <c r="J602" s="164"/>
      <c r="K602" s="155"/>
      <c r="L602" s="85"/>
      <c r="M602" s="80" t="s">
        <v>28</v>
      </c>
      <c r="N602" s="87"/>
      <c r="O602" s="20"/>
      <c r="P602" s="31"/>
      <c r="Q602" s="88"/>
      <c r="R602" s="88"/>
      <c r="S602" s="88"/>
      <c r="T602" s="58"/>
      <c r="U602" s="94"/>
      <c r="V602" s="93"/>
    </row>
    <row r="603" spans="1:22" s="168" customFormat="1" ht="22.500000" customHeight="1">
      <c r="A603" s="34">
        <v>601</v>
      </c>
      <c r="B603" s="34"/>
      <c r="C603" s="34"/>
      <c r="D603" s="34"/>
      <c r="E603" s="34"/>
      <c r="F603" s="85"/>
      <c r="G603" s="159"/>
      <c r="H603" s="155"/>
      <c r="I603" s="164"/>
      <c r="J603" s="164"/>
      <c r="K603" s="155"/>
      <c r="L603" s="85"/>
      <c r="M603" s="95"/>
      <c r="N603" s="87"/>
      <c r="O603" s="20"/>
      <c r="P603" s="31"/>
      <c r="Q603" s="88"/>
      <c r="R603" s="88"/>
      <c r="S603" s="88"/>
      <c r="T603" s="58"/>
      <c r="U603" s="92"/>
      <c r="V603" s="90"/>
    </row>
    <row r="604" spans="1:22" s="168" customFormat="1" ht="22.500000" customHeight="1">
      <c r="A604" s="34">
        <v>602</v>
      </c>
      <c r="B604" s="34"/>
      <c r="C604" s="34"/>
      <c r="D604" s="34"/>
      <c r="E604" s="34"/>
      <c r="F604" s="85"/>
      <c r="G604" s="159"/>
      <c r="H604" s="155"/>
      <c r="I604" s="164"/>
      <c r="J604" s="164"/>
      <c r="K604" s="155"/>
      <c r="L604" s="85"/>
      <c r="M604" s="96"/>
      <c r="N604" s="87"/>
      <c r="O604" s="20"/>
      <c r="P604" s="31"/>
      <c r="Q604" s="88"/>
      <c r="R604" s="88"/>
      <c r="S604" s="88"/>
      <c r="T604" s="58"/>
      <c r="U604" s="94"/>
      <c r="V604" s="93"/>
    </row>
    <row r="605" spans="1:22" s="168" customFormat="1" ht="22.500000" customHeight="1">
      <c r="A605" s="34">
        <v>603</v>
      </c>
      <c r="B605" s="34"/>
      <c r="C605" s="34"/>
      <c r="D605" s="34"/>
      <c r="E605" s="34"/>
      <c r="F605" s="85"/>
      <c r="G605" s="159"/>
      <c r="H605" s="155"/>
      <c r="I605" s="164"/>
      <c r="J605" s="164"/>
      <c r="K605" s="155"/>
      <c r="L605" s="85"/>
      <c r="M605" s="95"/>
      <c r="N605" s="87"/>
      <c r="O605" s="20"/>
      <c r="P605" s="31"/>
      <c r="Q605" s="88"/>
      <c r="R605" s="88"/>
      <c r="S605" s="88"/>
      <c r="T605" s="58"/>
      <c r="U605" s="92"/>
      <c r="V605" s="90"/>
    </row>
    <row r="606" spans="1:22" s="168" customFormat="1" ht="22.500000" customHeight="1">
      <c r="A606" s="34">
        <v>604</v>
      </c>
      <c r="B606" s="34"/>
      <c r="C606" s="34"/>
      <c r="D606" s="34"/>
      <c r="E606" s="34"/>
      <c r="F606" s="85"/>
      <c r="G606" s="159"/>
      <c r="H606" s="155"/>
      <c r="I606" s="164"/>
      <c r="J606" s="164"/>
      <c r="K606" s="155"/>
      <c r="L606" s="85"/>
      <c r="M606" s="96"/>
      <c r="N606" s="87"/>
      <c r="O606" s="20"/>
      <c r="P606" s="31"/>
      <c r="Q606" s="88"/>
      <c r="R606" s="88"/>
      <c r="S606" s="88"/>
      <c r="T606" s="58"/>
      <c r="U606" s="94"/>
      <c r="V606" s="93"/>
    </row>
    <row r="607" spans="1:22" s="168" customFormat="1" ht="22.500000" customHeight="1">
      <c r="A607" s="34">
        <v>605</v>
      </c>
      <c r="B607" s="34"/>
      <c r="C607" s="34"/>
      <c r="D607" s="34"/>
      <c r="E607" s="34"/>
      <c r="F607" s="85"/>
      <c r="G607" s="159"/>
      <c r="H607" s="155"/>
      <c r="I607" s="164"/>
      <c r="J607" s="164"/>
      <c r="K607" s="155"/>
      <c r="L607" s="85"/>
      <c r="M607" s="95"/>
      <c r="N607" s="87"/>
      <c r="O607" s="20"/>
      <c r="P607" s="31"/>
      <c r="Q607" s="88"/>
      <c r="R607" s="88"/>
      <c r="S607" s="88"/>
      <c r="T607" s="58"/>
      <c r="U607" s="92"/>
      <c r="V607" s="90"/>
    </row>
    <row r="608" spans="1:22" s="168" customFormat="1" ht="22.500000" customHeight="1">
      <c r="A608" s="34">
        <v>606</v>
      </c>
      <c r="B608" s="34"/>
      <c r="C608" s="34"/>
      <c r="D608" s="34"/>
      <c r="E608" s="34"/>
      <c r="F608" s="85"/>
      <c r="G608" s="159"/>
      <c r="H608" s="155"/>
      <c r="I608" s="164"/>
      <c r="J608" s="164"/>
      <c r="K608" s="155"/>
      <c r="L608" s="85"/>
      <c r="M608" s="96"/>
      <c r="N608" s="87"/>
      <c r="O608" s="20"/>
      <c r="P608" s="31"/>
      <c r="Q608" s="88"/>
      <c r="R608" s="88"/>
      <c r="S608" s="88"/>
      <c r="T608" s="58"/>
      <c r="U608" s="94"/>
      <c r="V608" s="93"/>
    </row>
    <row r="609" spans="1:22" s="168" customFormat="1" ht="22.500000" customHeight="1">
      <c r="A609" s="34">
        <v>607</v>
      </c>
      <c r="B609" s="34"/>
      <c r="C609" s="34"/>
      <c r="D609" s="34"/>
      <c r="E609" s="34"/>
      <c r="F609" s="85"/>
      <c r="G609" s="159"/>
      <c r="H609" s="155"/>
      <c r="I609" s="164"/>
      <c r="J609" s="164"/>
      <c r="K609" s="155"/>
      <c r="L609" s="85"/>
      <c r="M609" s="95"/>
      <c r="N609" s="87"/>
      <c r="O609" s="20"/>
      <c r="P609" s="31"/>
      <c r="Q609" s="88"/>
      <c r="R609" s="88"/>
      <c r="S609" s="88"/>
      <c r="T609" s="58"/>
      <c r="U609" s="92"/>
      <c r="V609" s="90"/>
    </row>
    <row r="610" spans="1:22" s="168" customFormat="1" ht="22.500000" customHeight="1">
      <c r="A610" s="34">
        <v>608</v>
      </c>
      <c r="B610" s="34"/>
      <c r="C610" s="34"/>
      <c r="D610" s="34"/>
      <c r="E610" s="34"/>
      <c r="F610" s="85"/>
      <c r="G610" s="159"/>
      <c r="H610" s="155"/>
      <c r="I610" s="164"/>
      <c r="J610" s="164"/>
      <c r="K610" s="155"/>
      <c r="L610" s="85"/>
      <c r="M610" s="96"/>
      <c r="N610" s="87"/>
      <c r="O610" s="20"/>
      <c r="P610" s="31"/>
      <c r="Q610" s="88"/>
      <c r="R610" s="88"/>
      <c r="S610" s="88"/>
      <c r="T610" s="58"/>
      <c r="U610" s="94"/>
      <c r="V610" s="93"/>
    </row>
    <row r="611" spans="1:22" s="168" customFormat="1" ht="22.500000" customHeight="1">
      <c r="A611" s="34">
        <v>609</v>
      </c>
      <c r="B611" s="34"/>
      <c r="C611" s="34"/>
      <c r="D611" s="34"/>
      <c r="E611" s="34"/>
      <c r="F611" s="85"/>
      <c r="G611" s="159"/>
      <c r="H611" s="155"/>
      <c r="I611" s="164"/>
      <c r="J611" s="164"/>
      <c r="K611" s="155"/>
      <c r="L611" s="85"/>
      <c r="M611" s="95"/>
      <c r="N611" s="87"/>
      <c r="O611" s="20"/>
      <c r="P611" s="31"/>
      <c r="Q611" s="88"/>
      <c r="R611" s="88"/>
      <c r="S611" s="88"/>
      <c r="T611" s="58"/>
      <c r="U611" s="92"/>
      <c r="V611" s="90"/>
    </row>
    <row r="612" spans="1:22" s="168" customFormat="1" ht="22.500000" customHeight="1">
      <c r="A612" s="34">
        <v>610</v>
      </c>
      <c r="B612" s="34"/>
      <c r="C612" s="34"/>
      <c r="D612" s="34"/>
      <c r="E612" s="34"/>
      <c r="F612" s="85"/>
      <c r="G612" s="159"/>
      <c r="H612" s="155"/>
      <c r="I612" s="164"/>
      <c r="J612" s="164"/>
      <c r="K612" s="155"/>
      <c r="L612" s="85"/>
      <c r="M612" s="96"/>
      <c r="N612" s="87"/>
      <c r="O612" s="20"/>
      <c r="P612" s="31"/>
      <c r="Q612" s="88"/>
      <c r="R612" s="88"/>
      <c r="S612" s="88"/>
      <c r="T612" s="58"/>
      <c r="U612" s="94"/>
      <c r="V612" s="93"/>
    </row>
    <row r="613" spans="1:22" s="168" customFormat="1" ht="22.500000" customHeight="1">
      <c r="A613" s="34">
        <v>611</v>
      </c>
      <c r="B613" s="34"/>
      <c r="C613" s="34"/>
      <c r="D613" s="34"/>
      <c r="E613" s="34"/>
      <c r="F613" s="85"/>
      <c r="G613" s="159"/>
      <c r="H613" s="155"/>
      <c r="I613" s="164"/>
      <c r="J613" s="164"/>
      <c r="K613" s="155"/>
      <c r="L613" s="85"/>
      <c r="M613" s="95"/>
      <c r="N613" s="87"/>
      <c r="O613" s="20"/>
      <c r="P613" s="31"/>
      <c r="Q613" s="88"/>
      <c r="R613" s="88"/>
      <c r="S613" s="88"/>
      <c r="T613" s="58"/>
      <c r="U613" s="92"/>
      <c r="V613" s="90"/>
    </row>
    <row r="614" spans="1:22" s="168" customFormat="1" ht="22.500000" customHeight="1">
      <c r="A614" s="34">
        <v>612</v>
      </c>
      <c r="B614" s="34"/>
      <c r="C614" s="34"/>
      <c r="D614" s="34"/>
      <c r="E614" s="34"/>
      <c r="F614" s="85"/>
      <c r="G614" s="159"/>
      <c r="H614" s="155"/>
      <c r="I614" s="164"/>
      <c r="J614" s="164"/>
      <c r="K614" s="155"/>
      <c r="L614" s="85"/>
      <c r="M614" s="96"/>
      <c r="N614" s="87"/>
      <c r="O614" s="20"/>
      <c r="P614" s="31"/>
      <c r="Q614" s="88"/>
      <c r="R614" s="88"/>
      <c r="S614" s="88"/>
      <c r="T614" s="58"/>
      <c r="U614" s="94"/>
      <c r="V614" s="93"/>
    </row>
    <row r="615" spans="1:22" s="168" customFormat="1" ht="22.500000" customHeight="1">
      <c r="A615" s="34">
        <v>613</v>
      </c>
      <c r="B615" s="34"/>
      <c r="C615" s="34"/>
      <c r="D615" s="34"/>
      <c r="E615" s="34"/>
      <c r="F615" s="85"/>
      <c r="G615" s="159"/>
      <c r="H615" s="155"/>
      <c r="I615" s="164"/>
      <c r="J615" s="164"/>
      <c r="K615" s="155"/>
      <c r="L615" s="85"/>
      <c r="M615" s="95"/>
      <c r="N615" s="87"/>
      <c r="O615" s="20"/>
      <c r="P615" s="31"/>
      <c r="Q615" s="88"/>
      <c r="R615" s="88"/>
      <c r="S615" s="88"/>
      <c r="T615" s="58"/>
      <c r="U615" s="92"/>
      <c r="V615" s="90"/>
    </row>
    <row r="616" spans="1:22" s="168" customFormat="1" ht="22.500000" customHeight="1">
      <c r="A616" s="34">
        <v>614</v>
      </c>
      <c r="B616" s="34"/>
      <c r="C616" s="34"/>
      <c r="D616" s="34"/>
      <c r="E616" s="34"/>
      <c r="F616" s="85"/>
      <c r="G616" s="159"/>
      <c r="H616" s="155"/>
      <c r="I616" s="164"/>
      <c r="J616" s="164"/>
      <c r="K616" s="155"/>
      <c r="L616" s="85"/>
      <c r="M616" s="96"/>
      <c r="N616" s="87"/>
      <c r="O616" s="20"/>
      <c r="P616" s="31"/>
      <c r="Q616" s="88"/>
      <c r="R616" s="88"/>
      <c r="S616" s="88"/>
      <c r="T616" s="58"/>
      <c r="U616" s="94"/>
      <c r="V616" s="93"/>
    </row>
    <row r="617" spans="1:22" s="168" customFormat="1" ht="22.500000" customHeight="1">
      <c r="A617" s="34">
        <v>615</v>
      </c>
      <c r="B617" s="34"/>
      <c r="C617" s="34"/>
      <c r="D617" s="34"/>
      <c r="E617" s="34"/>
      <c r="F617" s="85"/>
      <c r="G617" s="159"/>
      <c r="H617" s="155"/>
      <c r="I617" s="164"/>
      <c r="J617" s="164"/>
      <c r="K617" s="155"/>
      <c r="L617" s="85"/>
      <c r="M617" s="95"/>
      <c r="N617" s="87"/>
      <c r="O617" s="20"/>
      <c r="P617" s="31"/>
      <c r="Q617" s="88"/>
      <c r="R617" s="88"/>
      <c r="S617" s="88"/>
      <c r="T617" s="58"/>
      <c r="U617" s="92"/>
      <c r="V617" s="90"/>
    </row>
    <row r="618" spans="1:22" s="168" customFormat="1" ht="22.500000" customHeight="1">
      <c r="A618" s="34">
        <v>616</v>
      </c>
      <c r="B618" s="34"/>
      <c r="C618" s="34"/>
      <c r="D618" s="34"/>
      <c r="E618" s="34"/>
      <c r="F618" s="85"/>
      <c r="G618" s="159"/>
      <c r="H618" s="155"/>
      <c r="I618" s="164"/>
      <c r="J618" s="164"/>
      <c r="K618" s="155"/>
      <c r="L618" s="85"/>
      <c r="M618" s="96"/>
      <c r="N618" s="87"/>
      <c r="O618" s="20"/>
      <c r="P618" s="31"/>
      <c r="Q618" s="88"/>
      <c r="R618" s="88"/>
      <c r="S618" s="88"/>
      <c r="T618" s="58"/>
      <c r="U618" s="94"/>
      <c r="V618" s="93"/>
    </row>
    <row r="619" spans="1:22" s="168" customFormat="1" ht="22.500000" customHeight="1">
      <c r="A619" s="34">
        <v>617</v>
      </c>
      <c r="B619" s="34"/>
      <c r="C619" s="34"/>
      <c r="D619" s="34"/>
      <c r="E619" s="34"/>
      <c r="F619" s="85"/>
      <c r="G619" s="159"/>
      <c r="H619" s="155"/>
      <c r="I619" s="164"/>
      <c r="J619" s="164"/>
      <c r="K619" s="155"/>
      <c r="L619" s="85"/>
      <c r="M619" s="95"/>
      <c r="N619" s="87"/>
      <c r="O619" s="20"/>
      <c r="P619" s="31"/>
      <c r="Q619" s="88"/>
      <c r="R619" s="88"/>
      <c r="S619" s="88"/>
      <c r="T619" s="58"/>
      <c r="U619" s="92"/>
      <c r="V619" s="90"/>
    </row>
    <row r="620" spans="1:22" s="168" customFormat="1" ht="22.500000" customHeight="1">
      <c r="A620" s="34">
        <v>618</v>
      </c>
      <c r="B620" s="34"/>
      <c r="C620" s="34"/>
      <c r="D620" s="34"/>
      <c r="E620" s="34"/>
      <c r="F620" s="85"/>
      <c r="G620" s="159"/>
      <c r="H620" s="155"/>
      <c r="I620" s="164"/>
      <c r="J620" s="164"/>
      <c r="K620" s="155"/>
      <c r="L620" s="85"/>
      <c r="M620" s="96"/>
      <c r="N620" s="87"/>
      <c r="O620" s="20"/>
      <c r="P620" s="31"/>
      <c r="Q620" s="88"/>
      <c r="R620" s="88"/>
      <c r="S620" s="88"/>
      <c r="T620" s="58"/>
      <c r="U620" s="94"/>
      <c r="V620" s="93"/>
    </row>
    <row r="621" spans="1:22" s="168" customFormat="1" ht="22.500000" customHeight="1">
      <c r="A621" s="34">
        <v>619</v>
      </c>
      <c r="B621" s="34"/>
      <c r="C621" s="34"/>
      <c r="D621" s="34"/>
      <c r="E621" s="34"/>
      <c r="F621" s="85"/>
      <c r="G621" s="159"/>
      <c r="H621" s="155"/>
      <c r="I621" s="164"/>
      <c r="J621" s="164"/>
      <c r="K621" s="155"/>
      <c r="L621" s="85"/>
      <c r="M621" s="95"/>
      <c r="N621" s="87"/>
      <c r="O621" s="20"/>
      <c r="P621" s="31"/>
      <c r="Q621" s="88"/>
      <c r="R621" s="88"/>
      <c r="S621" s="88"/>
      <c r="T621" s="58"/>
      <c r="U621" s="92"/>
      <c r="V621" s="90"/>
    </row>
    <row r="622" spans="1:22" s="168" customFormat="1" ht="22.500000" customHeight="1">
      <c r="A622" s="34">
        <v>620</v>
      </c>
      <c r="B622" s="34"/>
      <c r="C622" s="34"/>
      <c r="D622" s="34"/>
      <c r="E622" s="34"/>
      <c r="F622" s="85"/>
      <c r="G622" s="159"/>
      <c r="H622" s="155"/>
      <c r="I622" s="164"/>
      <c r="J622" s="164"/>
      <c r="K622" s="155"/>
      <c r="L622" s="85"/>
      <c r="M622" s="96"/>
      <c r="N622" s="87"/>
      <c r="O622" s="20"/>
      <c r="P622" s="31"/>
      <c r="Q622" s="88"/>
      <c r="R622" s="88"/>
      <c r="S622" s="88"/>
      <c r="T622" s="58"/>
      <c r="U622" s="94"/>
      <c r="V622" s="93"/>
    </row>
    <row r="623" spans="1:22" s="168" customFormat="1" ht="22.500000" customHeight="1">
      <c r="A623" s="34">
        <v>621</v>
      </c>
      <c r="B623" s="34"/>
      <c r="C623" s="34"/>
      <c r="D623" s="34"/>
      <c r="E623" s="34"/>
      <c r="F623" s="85"/>
      <c r="G623" s="159"/>
      <c r="H623" s="155"/>
      <c r="I623" s="164"/>
      <c r="J623" s="164"/>
      <c r="K623" s="155"/>
      <c r="L623" s="85"/>
      <c r="M623" s="95"/>
      <c r="N623" s="87"/>
      <c r="O623" s="20"/>
      <c r="P623" s="31"/>
      <c r="Q623" s="88"/>
      <c r="R623" s="88"/>
      <c r="S623" s="88"/>
      <c r="T623" s="58"/>
      <c r="U623" s="92"/>
      <c r="V623" s="90"/>
    </row>
    <row r="624" spans="1:22" s="168" customFormat="1" ht="22.500000" customHeight="1">
      <c r="A624" s="34">
        <v>622</v>
      </c>
      <c r="B624" s="34"/>
      <c r="C624" s="34"/>
      <c r="D624" s="34"/>
      <c r="E624" s="34"/>
      <c r="F624" s="85"/>
      <c r="G624" s="159"/>
      <c r="H624" s="155"/>
      <c r="I624" s="164"/>
      <c r="J624" s="164"/>
      <c r="K624" s="155"/>
      <c r="L624" s="85"/>
      <c r="M624" s="96"/>
      <c r="N624" s="87"/>
      <c r="O624" s="20"/>
      <c r="P624" s="31"/>
      <c r="Q624" s="88"/>
      <c r="R624" s="88"/>
      <c r="S624" s="88"/>
      <c r="T624" s="58"/>
      <c r="U624" s="94"/>
      <c r="V624" s="93"/>
    </row>
    <row r="625" spans="1:22" s="168" customFormat="1" ht="22.500000" customHeight="1">
      <c r="A625" s="34">
        <v>623</v>
      </c>
      <c r="B625" s="34"/>
      <c r="C625" s="34"/>
      <c r="D625" s="34"/>
      <c r="E625" s="34"/>
      <c r="F625" s="85"/>
      <c r="G625" s="159"/>
      <c r="H625" s="155"/>
      <c r="I625" s="164"/>
      <c r="J625" s="164"/>
      <c r="K625" s="155"/>
      <c r="L625" s="85"/>
      <c r="M625" s="95"/>
      <c r="N625" s="87"/>
      <c r="O625" s="20"/>
      <c r="P625" s="31"/>
      <c r="Q625" s="88"/>
      <c r="R625" s="88"/>
      <c r="S625" s="88"/>
      <c r="T625" s="58"/>
      <c r="U625" s="92"/>
      <c r="V625" s="90"/>
    </row>
    <row r="626" spans="1:22" s="168" customFormat="1" ht="22.500000" customHeight="1">
      <c r="A626" s="34">
        <v>624</v>
      </c>
      <c r="B626" s="34"/>
      <c r="C626" s="34"/>
      <c r="D626" s="34"/>
      <c r="E626" s="34"/>
      <c r="F626" s="85"/>
      <c r="G626" s="159"/>
      <c r="H626" s="155"/>
      <c r="I626" s="164"/>
      <c r="J626" s="164"/>
      <c r="K626" s="155"/>
      <c r="L626" s="85"/>
      <c r="M626" s="96"/>
      <c r="N626" s="87"/>
      <c r="O626" s="20"/>
      <c r="P626" s="31"/>
      <c r="Q626" s="88"/>
      <c r="R626" s="88"/>
      <c r="S626" s="88"/>
      <c r="T626" s="58"/>
      <c r="U626" s="94"/>
      <c r="V626" s="93"/>
    </row>
    <row r="627" spans="1:22" s="168" customFormat="1" ht="22.500000" customHeight="1">
      <c r="A627" s="34">
        <v>625</v>
      </c>
      <c r="B627" s="34"/>
      <c r="C627" s="34"/>
      <c r="D627" s="34"/>
      <c r="E627" s="34"/>
      <c r="F627" s="85"/>
      <c r="G627" s="159"/>
      <c r="H627" s="155"/>
      <c r="I627" s="164"/>
      <c r="J627" s="164"/>
      <c r="K627" s="155"/>
      <c r="L627" s="85"/>
      <c r="M627" s="95"/>
      <c r="N627" s="87"/>
      <c r="O627" s="20"/>
      <c r="P627" s="31"/>
      <c r="Q627" s="88"/>
      <c r="R627" s="88"/>
      <c r="S627" s="88"/>
      <c r="T627" s="58"/>
      <c r="U627" s="92"/>
      <c r="V627" s="90"/>
    </row>
    <row r="628" spans="1:22" s="168" customFormat="1" ht="22.500000" customHeight="1">
      <c r="A628" s="34">
        <v>626</v>
      </c>
      <c r="B628" s="34"/>
      <c r="C628" s="34"/>
      <c r="D628" s="34"/>
      <c r="E628" s="34"/>
      <c r="F628" s="85"/>
      <c r="G628" s="159"/>
      <c r="H628" s="155"/>
      <c r="I628" s="164"/>
      <c r="J628" s="164"/>
      <c r="K628" s="155"/>
      <c r="L628" s="85"/>
      <c r="M628" s="96"/>
      <c r="N628" s="87"/>
      <c r="O628" s="20"/>
      <c r="P628" s="31"/>
      <c r="Q628" s="88"/>
      <c r="R628" s="88"/>
      <c r="S628" s="88"/>
      <c r="T628" s="58"/>
      <c r="U628" s="94"/>
      <c r="V628" s="93"/>
    </row>
    <row r="629" spans="1:22" s="168" customFormat="1" ht="22.500000" customHeight="1">
      <c r="A629" s="34">
        <v>627</v>
      </c>
      <c r="B629" s="34"/>
      <c r="C629" s="34"/>
      <c r="D629" s="34"/>
      <c r="E629" s="34"/>
      <c r="F629" s="85"/>
      <c r="G629" s="159"/>
      <c r="H629" s="155"/>
      <c r="I629" s="164"/>
      <c r="J629" s="164"/>
      <c r="K629" s="155"/>
      <c r="L629" s="85"/>
      <c r="M629" s="95"/>
      <c r="N629" s="87"/>
      <c r="O629" s="20"/>
      <c r="P629" s="31"/>
      <c r="Q629" s="88"/>
      <c r="R629" s="88"/>
      <c r="S629" s="88"/>
      <c r="T629" s="58"/>
      <c r="U629" s="92"/>
      <c r="V629" s="90"/>
    </row>
    <row r="630" spans="1:22" s="168" customFormat="1" ht="22.500000" customHeight="1">
      <c r="A630" s="34">
        <v>628</v>
      </c>
      <c r="B630" s="34"/>
      <c r="C630" s="34"/>
      <c r="D630" s="34"/>
      <c r="E630" s="34"/>
      <c r="F630" s="85"/>
      <c r="G630" s="159"/>
      <c r="H630" s="155"/>
      <c r="I630" s="164"/>
      <c r="J630" s="164"/>
      <c r="K630" s="155"/>
      <c r="L630" s="85"/>
      <c r="M630" s="96"/>
      <c r="N630" s="87"/>
      <c r="O630" s="20"/>
      <c r="P630" s="31"/>
      <c r="Q630" s="88"/>
      <c r="R630" s="88"/>
      <c r="S630" s="88"/>
      <c r="T630" s="58"/>
      <c r="U630" s="94"/>
      <c r="V630" s="93"/>
    </row>
    <row r="631" spans="1:22" s="168" customFormat="1" ht="22.500000" customHeight="1">
      <c r="A631" s="34">
        <v>629</v>
      </c>
      <c r="B631" s="34"/>
      <c r="C631" s="34"/>
      <c r="D631" s="34"/>
      <c r="E631" s="34"/>
      <c r="F631" s="85"/>
      <c r="G631" s="159"/>
      <c r="H631" s="155"/>
      <c r="I631" s="164"/>
      <c r="J631" s="164"/>
      <c r="K631" s="155"/>
      <c r="L631" s="85"/>
      <c r="M631" s="95"/>
      <c r="N631" s="87"/>
      <c r="O631" s="20"/>
      <c r="P631" s="31"/>
      <c r="Q631" s="88"/>
      <c r="R631" s="88"/>
      <c r="S631" s="88"/>
      <c r="T631" s="58"/>
      <c r="U631" s="92"/>
      <c r="V631" s="90"/>
    </row>
    <row r="632" spans="1:22" s="168" customFormat="1" ht="22.500000" customHeight="1">
      <c r="A632" s="34">
        <v>630</v>
      </c>
      <c r="B632" s="34"/>
      <c r="C632" s="34"/>
      <c r="D632" s="34"/>
      <c r="E632" s="34"/>
      <c r="F632" s="85"/>
      <c r="G632" s="159"/>
      <c r="H632" s="155"/>
      <c r="I632" s="164"/>
      <c r="J632" s="164"/>
      <c r="K632" s="155"/>
      <c r="L632" s="85"/>
      <c r="M632" s="96"/>
      <c r="N632" s="87"/>
      <c r="O632" s="20"/>
      <c r="P632" s="31"/>
      <c r="Q632" s="88"/>
      <c r="R632" s="88"/>
      <c r="S632" s="88"/>
      <c r="T632" s="58"/>
      <c r="U632" s="94"/>
      <c r="V632" s="93"/>
    </row>
    <row r="633" spans="1:22" s="168" customFormat="1" ht="22.500000" customHeight="1">
      <c r="A633" s="34">
        <v>631</v>
      </c>
      <c r="B633" s="34"/>
      <c r="C633" s="34"/>
      <c r="D633" s="34"/>
      <c r="E633" s="34"/>
      <c r="F633" s="85"/>
      <c r="G633" s="159"/>
      <c r="H633" s="155"/>
      <c r="I633" s="164"/>
      <c r="J633" s="164"/>
      <c r="K633" s="155"/>
      <c r="L633" s="85"/>
      <c r="M633" s="95"/>
      <c r="N633" s="87"/>
      <c r="O633" s="20"/>
      <c r="P633" s="31"/>
      <c r="Q633" s="88"/>
      <c r="R633" s="88"/>
      <c r="S633" s="88"/>
      <c r="T633" s="58"/>
      <c r="U633" s="92"/>
      <c r="V633" s="90"/>
    </row>
    <row r="634" spans="1:22" s="168" customFormat="1" ht="22.500000" customHeight="1">
      <c r="A634" s="34">
        <v>632</v>
      </c>
      <c r="B634" s="34"/>
      <c r="C634" s="34"/>
      <c r="D634" s="34"/>
      <c r="E634" s="34"/>
      <c r="F634" s="85"/>
      <c r="G634" s="159"/>
      <c r="H634" s="155"/>
      <c r="I634" s="164"/>
      <c r="J634" s="164"/>
      <c r="K634" s="155"/>
      <c r="L634" s="85"/>
      <c r="M634" s="96"/>
      <c r="N634" s="87"/>
      <c r="O634" s="20"/>
      <c r="P634" s="31"/>
      <c r="Q634" s="88"/>
      <c r="R634" s="88"/>
      <c r="S634" s="88"/>
      <c r="T634" s="58"/>
      <c r="U634" s="94"/>
      <c r="V634" s="93"/>
    </row>
    <row r="635" spans="1:22" s="168" customFormat="1" ht="22.500000" customHeight="1">
      <c r="A635" s="34">
        <v>633</v>
      </c>
      <c r="B635" s="34"/>
      <c r="C635" s="34"/>
      <c r="D635" s="34"/>
      <c r="E635" s="34"/>
      <c r="F635" s="85"/>
      <c r="G635" s="159"/>
      <c r="H635" s="155"/>
      <c r="I635" s="164"/>
      <c r="J635" s="164"/>
      <c r="K635" s="155"/>
      <c r="L635" s="85"/>
      <c r="M635" s="95"/>
      <c r="N635" s="87"/>
      <c r="O635" s="20"/>
      <c r="P635" s="31"/>
      <c r="Q635" s="88"/>
      <c r="R635" s="88"/>
      <c r="S635" s="88"/>
      <c r="T635" s="58"/>
      <c r="U635" s="92"/>
      <c r="V635" s="90"/>
    </row>
    <row r="636" spans="1:22" s="168" customFormat="1" ht="22.500000" customHeight="1">
      <c r="A636" s="34">
        <v>634</v>
      </c>
      <c r="B636" s="34"/>
      <c r="C636" s="34"/>
      <c r="D636" s="34"/>
      <c r="E636" s="34"/>
      <c r="F636" s="85"/>
      <c r="G636" s="159"/>
      <c r="H636" s="155"/>
      <c r="I636" s="164"/>
      <c r="J636" s="164"/>
      <c r="K636" s="155"/>
      <c r="L636" s="85"/>
      <c r="M636" s="96"/>
      <c r="N636" s="87"/>
      <c r="O636" s="20"/>
      <c r="P636" s="31"/>
      <c r="Q636" s="88"/>
      <c r="R636" s="88"/>
      <c r="S636" s="88"/>
      <c r="T636" s="58"/>
      <c r="U636" s="94"/>
      <c r="V636" s="93"/>
    </row>
    <row r="637" spans="1:22" s="168" customFormat="1" ht="22.500000" customHeight="1">
      <c r="A637" s="34">
        <v>635</v>
      </c>
      <c r="B637" s="34"/>
      <c r="C637" s="34"/>
      <c r="D637" s="34"/>
      <c r="E637" s="34"/>
      <c r="F637" s="85"/>
      <c r="G637" s="159"/>
      <c r="H637" s="155"/>
      <c r="I637" s="164"/>
      <c r="J637" s="164"/>
      <c r="K637" s="155"/>
      <c r="L637" s="85"/>
      <c r="M637" s="95"/>
      <c r="N637" s="87"/>
      <c r="O637" s="20"/>
      <c r="P637" s="31"/>
      <c r="Q637" s="88"/>
      <c r="R637" s="88"/>
      <c r="S637" s="88"/>
      <c r="T637" s="58"/>
      <c r="U637" s="92"/>
      <c r="V637" s="90"/>
    </row>
    <row r="638" spans="1:22" s="168" customFormat="1" ht="22.500000" customHeight="1">
      <c r="A638" s="34">
        <v>636</v>
      </c>
      <c r="B638" s="34"/>
      <c r="C638" s="34"/>
      <c r="D638" s="34"/>
      <c r="E638" s="34"/>
      <c r="F638" s="85"/>
      <c r="G638" s="159"/>
      <c r="H638" s="155"/>
      <c r="I638" s="164"/>
      <c r="J638" s="164"/>
      <c r="K638" s="155"/>
      <c r="L638" s="85"/>
      <c r="M638" s="96"/>
      <c r="N638" s="87"/>
      <c r="O638" s="20"/>
      <c r="P638" s="31"/>
      <c r="Q638" s="88"/>
      <c r="R638" s="88"/>
      <c r="S638" s="88"/>
      <c r="T638" s="58"/>
      <c r="U638" s="94"/>
      <c r="V638" s="93"/>
    </row>
    <row r="639" spans="1:22" s="168" customFormat="1" ht="22.500000" customHeight="1">
      <c r="A639" s="34">
        <v>637</v>
      </c>
      <c r="B639" s="34"/>
      <c r="C639" s="34"/>
      <c r="D639" s="34"/>
      <c r="E639" s="34"/>
      <c r="F639" s="85"/>
      <c r="G639" s="159"/>
      <c r="H639" s="155"/>
      <c r="I639" s="164"/>
      <c r="J639" s="164"/>
      <c r="K639" s="155"/>
      <c r="L639" s="85"/>
      <c r="M639" s="95"/>
      <c r="N639" s="87"/>
      <c r="O639" s="20"/>
      <c r="P639" s="31"/>
      <c r="Q639" s="88"/>
      <c r="R639" s="88"/>
      <c r="S639" s="88"/>
      <c r="T639" s="58"/>
      <c r="U639" s="92"/>
      <c r="V639" s="90"/>
    </row>
    <row r="640" spans="1:22" s="168" customFormat="1" ht="22.500000" customHeight="1">
      <c r="A640" s="34">
        <v>638</v>
      </c>
      <c r="B640" s="34"/>
      <c r="C640" s="34"/>
      <c r="D640" s="34"/>
      <c r="E640" s="34"/>
      <c r="F640" s="85"/>
      <c r="G640" s="159"/>
      <c r="H640" s="155"/>
      <c r="I640" s="164"/>
      <c r="J640" s="164"/>
      <c r="K640" s="155"/>
      <c r="L640" s="85"/>
      <c r="M640" s="96"/>
      <c r="N640" s="87"/>
      <c r="O640" s="20"/>
      <c r="P640" s="31"/>
      <c r="Q640" s="88"/>
      <c r="R640" s="88"/>
      <c r="S640" s="88"/>
      <c r="T640" s="58"/>
      <c r="U640" s="94"/>
      <c r="V640" s="93"/>
    </row>
    <row r="641" spans="1:22" s="168" customFormat="1" ht="22.500000" customHeight="1">
      <c r="A641" s="34">
        <v>639</v>
      </c>
      <c r="B641" s="34"/>
      <c r="C641" s="34"/>
      <c r="D641" s="34"/>
      <c r="E641" s="34"/>
      <c r="F641" s="85"/>
      <c r="G641" s="159"/>
      <c r="H641" s="155"/>
      <c r="I641" s="164"/>
      <c r="J641" s="164"/>
      <c r="K641" s="155"/>
      <c r="L641" s="85"/>
      <c r="M641" s="95"/>
      <c r="N641" s="87"/>
      <c r="O641" s="20"/>
      <c r="P641" s="31"/>
      <c r="Q641" s="88"/>
      <c r="R641" s="88"/>
      <c r="S641" s="88"/>
      <c r="T641" s="58"/>
      <c r="U641" s="92"/>
      <c r="V641" s="90"/>
    </row>
    <row r="642" spans="1:22" s="168" customFormat="1" ht="22.500000" customHeight="1">
      <c r="A642" s="34">
        <v>640</v>
      </c>
      <c r="B642" s="34"/>
      <c r="C642" s="34"/>
      <c r="D642" s="34"/>
      <c r="E642" s="34"/>
      <c r="F642" s="85"/>
      <c r="G642" s="159"/>
      <c r="H642" s="155"/>
      <c r="I642" s="164"/>
      <c r="J642" s="164"/>
      <c r="K642" s="155"/>
      <c r="L642" s="85"/>
      <c r="M642" s="96"/>
      <c r="N642" s="87"/>
      <c r="O642" s="20"/>
      <c r="P642" s="31"/>
      <c r="Q642" s="88"/>
      <c r="R642" s="88"/>
      <c r="S642" s="88"/>
      <c r="T642" s="58"/>
      <c r="U642" s="94"/>
      <c r="V642" s="93"/>
    </row>
    <row r="643" spans="1:22" s="168" customFormat="1" ht="22.500000" customHeight="1">
      <c r="A643" s="34">
        <v>641</v>
      </c>
      <c r="B643" s="34"/>
      <c r="C643" s="34"/>
      <c r="D643" s="34"/>
      <c r="E643" s="34"/>
      <c r="F643" s="85"/>
      <c r="G643" s="159"/>
      <c r="H643" s="155"/>
      <c r="I643" s="164"/>
      <c r="J643" s="164"/>
      <c r="K643" s="155"/>
      <c r="L643" s="85"/>
      <c r="M643" s="95"/>
      <c r="N643" s="87"/>
      <c r="O643" s="20"/>
      <c r="P643" s="31"/>
      <c r="Q643" s="88"/>
      <c r="R643" s="88"/>
      <c r="S643" s="88"/>
      <c r="T643" s="58"/>
      <c r="U643" s="92"/>
      <c r="V643" s="90"/>
    </row>
    <row r="644" spans="1:22" s="168" customFormat="1" ht="22.500000" customHeight="1">
      <c r="A644" s="34">
        <v>642</v>
      </c>
      <c r="B644" s="34"/>
      <c r="C644" s="34"/>
      <c r="D644" s="34"/>
      <c r="E644" s="34"/>
      <c r="F644" s="85"/>
      <c r="G644" s="159"/>
      <c r="H644" s="155"/>
      <c r="I644" s="164"/>
      <c r="J644" s="164"/>
      <c r="K644" s="155"/>
      <c r="L644" s="85"/>
      <c r="M644" s="96"/>
      <c r="N644" s="87"/>
      <c r="O644" s="20"/>
      <c r="P644" s="31"/>
      <c r="Q644" s="88"/>
      <c r="R644" s="88"/>
      <c r="S644" s="88"/>
      <c r="T644" s="58"/>
      <c r="U644" s="94"/>
      <c r="V644" s="93"/>
    </row>
    <row r="645" spans="1:22" s="168" customFormat="1" ht="22.500000" customHeight="1">
      <c r="A645" s="34">
        <v>643</v>
      </c>
      <c r="B645" s="34"/>
      <c r="C645" s="34"/>
      <c r="D645" s="34"/>
      <c r="E645" s="34"/>
      <c r="F645" s="85"/>
      <c r="G645" s="159"/>
      <c r="H645" s="155"/>
      <c r="I645" s="164"/>
      <c r="J645" s="164"/>
      <c r="K645" s="155"/>
      <c r="L645" s="85"/>
      <c r="M645" s="95"/>
      <c r="N645" s="87"/>
      <c r="O645" s="20"/>
      <c r="P645" s="31"/>
      <c r="Q645" s="88"/>
      <c r="R645" s="88"/>
      <c r="S645" s="88"/>
      <c r="T645" s="58"/>
      <c r="U645" s="92"/>
      <c r="V645" s="90"/>
    </row>
    <row r="646" spans="1:22" s="168" customFormat="1" ht="22.500000" customHeight="1">
      <c r="A646" s="34">
        <v>644</v>
      </c>
      <c r="B646" s="34"/>
      <c r="C646" s="34"/>
      <c r="D646" s="34"/>
      <c r="E646" s="34"/>
      <c r="F646" s="85"/>
      <c r="G646" s="159"/>
      <c r="H646" s="155"/>
      <c r="I646" s="164"/>
      <c r="J646" s="164"/>
      <c r="K646" s="155"/>
      <c r="L646" s="85"/>
      <c r="M646" s="96"/>
      <c r="N646" s="87"/>
      <c r="O646" s="20"/>
      <c r="P646" s="31"/>
      <c r="Q646" s="88"/>
      <c r="R646" s="88"/>
      <c r="S646" s="88"/>
      <c r="T646" s="58"/>
      <c r="U646" s="94"/>
      <c r="V646" s="93"/>
    </row>
    <row r="647" spans="1:22" s="168" customFormat="1" ht="22.500000" customHeight="1">
      <c r="A647" s="34">
        <v>645</v>
      </c>
      <c r="B647" s="34"/>
      <c r="C647" s="34"/>
      <c r="D647" s="34"/>
      <c r="E647" s="34"/>
      <c r="F647" s="85"/>
      <c r="G647" s="159"/>
      <c r="H647" s="155"/>
      <c r="I647" s="164"/>
      <c r="J647" s="164"/>
      <c r="K647" s="155"/>
      <c r="L647" s="85"/>
      <c r="M647" s="95"/>
      <c r="N647" s="87"/>
      <c r="O647" s="20"/>
      <c r="P647" s="31"/>
      <c r="Q647" s="88"/>
      <c r="R647" s="88"/>
      <c r="S647" s="88"/>
      <c r="T647" s="58"/>
      <c r="U647" s="92"/>
      <c r="V647" s="90"/>
    </row>
    <row r="648" spans="1:22" s="168" customFormat="1" ht="22.500000" customHeight="1">
      <c r="A648" s="34">
        <v>646</v>
      </c>
      <c r="B648" s="34"/>
      <c r="C648" s="34"/>
      <c r="D648" s="34"/>
      <c r="E648" s="34"/>
      <c r="F648" s="85"/>
      <c r="G648" s="159"/>
      <c r="H648" s="155"/>
      <c r="I648" s="164"/>
      <c r="J648" s="164"/>
      <c r="K648" s="155"/>
      <c r="L648" s="85"/>
      <c r="M648" s="96"/>
      <c r="N648" s="87"/>
      <c r="O648" s="20"/>
      <c r="P648" s="31"/>
      <c r="Q648" s="88"/>
      <c r="R648" s="88"/>
      <c r="S648" s="88"/>
      <c r="T648" s="58"/>
      <c r="U648" s="94"/>
      <c r="V648" s="93"/>
    </row>
    <row r="649" spans="1:22" s="168" customFormat="1" ht="22.500000" customHeight="1">
      <c r="A649" s="34">
        <v>647</v>
      </c>
      <c r="B649" s="34"/>
      <c r="C649" s="34"/>
      <c r="D649" s="34"/>
      <c r="E649" s="34"/>
      <c r="F649" s="85"/>
      <c r="G649" s="159"/>
      <c r="H649" s="155"/>
      <c r="I649" s="164"/>
      <c r="J649" s="164"/>
      <c r="K649" s="155"/>
      <c r="L649" s="85"/>
      <c r="M649" s="95"/>
      <c r="N649" s="87"/>
      <c r="O649" s="20"/>
      <c r="P649" s="31"/>
      <c r="Q649" s="88"/>
      <c r="R649" s="88"/>
      <c r="S649" s="88"/>
      <c r="T649" s="58"/>
      <c r="U649" s="92"/>
      <c r="V649" s="90"/>
    </row>
    <row r="650" spans="1:22" s="168" customFormat="1" ht="22.500000" customHeight="1">
      <c r="A650" s="34">
        <v>648</v>
      </c>
      <c r="B650" s="34"/>
      <c r="C650" s="34"/>
      <c r="D650" s="34"/>
      <c r="E650" s="34"/>
      <c r="F650" s="85"/>
      <c r="G650" s="159"/>
      <c r="H650" s="155"/>
      <c r="I650" s="164"/>
      <c r="J650" s="164"/>
      <c r="K650" s="155"/>
      <c r="L650" s="85"/>
      <c r="M650" s="96"/>
      <c r="N650" s="87"/>
      <c r="O650" s="20"/>
      <c r="P650" s="31"/>
      <c r="Q650" s="88"/>
      <c r="R650" s="88"/>
      <c r="S650" s="88"/>
      <c r="T650" s="58"/>
      <c r="U650" s="94"/>
      <c r="V650" s="93"/>
    </row>
    <row r="651" spans="1:22" s="168" customFormat="1" ht="22.500000" customHeight="1">
      <c r="A651" s="34">
        <v>649</v>
      </c>
      <c r="B651" s="34"/>
      <c r="C651" s="34"/>
      <c r="D651" s="34"/>
      <c r="E651" s="34"/>
      <c r="F651" s="85"/>
      <c r="G651" s="159"/>
      <c r="H651" s="155"/>
      <c r="I651" s="164"/>
      <c r="J651" s="164"/>
      <c r="K651" s="155"/>
      <c r="L651" s="85"/>
      <c r="M651" s="95"/>
      <c r="N651" s="87"/>
      <c r="O651" s="20"/>
      <c r="P651" s="31"/>
      <c r="Q651" s="88"/>
      <c r="R651" s="88"/>
      <c r="S651" s="88"/>
      <c r="T651" s="58"/>
      <c r="U651" s="92"/>
      <c r="V651" s="90"/>
    </row>
    <row r="652" spans="1:22" s="168" customFormat="1" ht="22.500000" customHeight="1">
      <c r="A652" s="34">
        <v>650</v>
      </c>
      <c r="B652" s="34"/>
      <c r="C652" s="34"/>
      <c r="D652" s="34"/>
      <c r="E652" s="34"/>
      <c r="F652" s="85"/>
      <c r="G652" s="159"/>
      <c r="H652" s="155"/>
      <c r="I652" s="164"/>
      <c r="J652" s="164"/>
      <c r="K652" s="155"/>
      <c r="L652" s="85"/>
      <c r="M652" s="96"/>
      <c r="N652" s="87"/>
      <c r="O652" s="20"/>
      <c r="P652" s="31"/>
      <c r="Q652" s="88"/>
      <c r="R652" s="88"/>
      <c r="S652" s="88"/>
      <c r="T652" s="58"/>
      <c r="U652" s="94"/>
      <c r="V652" s="93"/>
    </row>
    <row r="653" spans="1:22" s="168" customFormat="1" ht="22.500000" customHeight="1">
      <c r="A653" s="34">
        <v>651</v>
      </c>
      <c r="B653" s="34"/>
      <c r="C653" s="34"/>
      <c r="D653" s="34"/>
      <c r="E653" s="34"/>
      <c r="F653" s="85"/>
      <c r="G653" s="159"/>
      <c r="H653" s="155"/>
      <c r="I653" s="164"/>
      <c r="J653" s="164"/>
      <c r="K653" s="155"/>
      <c r="L653" s="85"/>
      <c r="M653" s="95"/>
      <c r="N653" s="87"/>
      <c r="O653" s="20"/>
      <c r="P653" s="31"/>
      <c r="Q653" s="88"/>
      <c r="R653" s="88"/>
      <c r="S653" s="88"/>
      <c r="T653" s="58"/>
      <c r="U653" s="92"/>
      <c r="V653" s="90"/>
    </row>
    <row r="654" spans="1:22" s="168" customFormat="1" ht="22.500000" customHeight="1">
      <c r="A654" s="34">
        <v>652</v>
      </c>
      <c r="B654" s="34"/>
      <c r="C654" s="34"/>
      <c r="D654" s="34"/>
      <c r="E654" s="34"/>
      <c r="F654" s="85"/>
      <c r="G654" s="159"/>
      <c r="H654" s="155"/>
      <c r="I654" s="164"/>
      <c r="J654" s="164"/>
      <c r="K654" s="155"/>
      <c r="L654" s="85"/>
      <c r="M654" s="96"/>
      <c r="N654" s="87"/>
      <c r="O654" s="20"/>
      <c r="P654" s="31"/>
      <c r="Q654" s="88"/>
      <c r="R654" s="88"/>
      <c r="S654" s="88"/>
      <c r="T654" s="58"/>
      <c r="U654" s="94"/>
      <c r="V654" s="93"/>
    </row>
    <row r="655" spans="1:22" s="168" customFormat="1" ht="22.500000" customHeight="1">
      <c r="A655" s="34">
        <v>653</v>
      </c>
      <c r="B655" s="34"/>
      <c r="C655" s="34"/>
      <c r="D655" s="34"/>
      <c r="E655" s="34"/>
      <c r="F655" s="85"/>
      <c r="G655" s="159"/>
      <c r="H655" s="155"/>
      <c r="I655" s="164"/>
      <c r="J655" s="164"/>
      <c r="K655" s="155"/>
      <c r="L655" s="85"/>
      <c r="M655" s="95"/>
      <c r="N655" s="87"/>
      <c r="O655" s="20"/>
      <c r="P655" s="31"/>
      <c r="Q655" s="88"/>
      <c r="R655" s="88"/>
      <c r="S655" s="88"/>
      <c r="T655" s="58"/>
      <c r="U655" s="92"/>
      <c r="V655" s="90"/>
    </row>
    <row r="656" spans="1:22" s="168" customFormat="1" ht="22.500000" customHeight="1">
      <c r="A656" s="34">
        <v>654</v>
      </c>
      <c r="B656" s="34"/>
      <c r="C656" s="34"/>
      <c r="D656" s="34"/>
      <c r="E656" s="34"/>
      <c r="F656" s="85"/>
      <c r="G656" s="159"/>
      <c r="H656" s="155"/>
      <c r="I656" s="164"/>
      <c r="J656" s="164"/>
      <c r="K656" s="155"/>
      <c r="L656" s="85"/>
      <c r="M656" s="96"/>
      <c r="N656" s="87"/>
      <c r="O656" s="20"/>
      <c r="P656" s="31"/>
      <c r="Q656" s="88"/>
      <c r="R656" s="88"/>
      <c r="S656" s="88"/>
      <c r="T656" s="58"/>
      <c r="U656" s="94"/>
      <c r="V656" s="93"/>
    </row>
    <row r="657" spans="1:22" s="168" customFormat="1" ht="22.500000" customHeight="1">
      <c r="A657" s="34">
        <v>655</v>
      </c>
      <c r="B657" s="34"/>
      <c r="C657" s="34"/>
      <c r="D657" s="34"/>
      <c r="E657" s="34"/>
      <c r="F657" s="85"/>
      <c r="G657" s="159"/>
      <c r="H657" s="155"/>
      <c r="I657" s="164"/>
      <c r="J657" s="164"/>
      <c r="K657" s="155"/>
      <c r="L657" s="85"/>
      <c r="M657" s="95"/>
      <c r="N657" s="87"/>
      <c r="O657" s="20"/>
      <c r="P657" s="31"/>
      <c r="Q657" s="88"/>
      <c r="R657" s="88"/>
      <c r="S657" s="88"/>
      <c r="T657" s="58"/>
      <c r="U657" s="92"/>
      <c r="V657" s="90"/>
    </row>
    <row r="658" spans="1:22" s="168" customFormat="1" ht="22.500000" customHeight="1">
      <c r="A658" s="34">
        <v>656</v>
      </c>
      <c r="B658" s="34"/>
      <c r="C658" s="34"/>
      <c r="D658" s="34"/>
      <c r="E658" s="34"/>
      <c r="F658" s="85"/>
      <c r="G658" s="159"/>
      <c r="H658" s="155"/>
      <c r="I658" s="164"/>
      <c r="J658" s="164"/>
      <c r="K658" s="155"/>
      <c r="L658" s="85"/>
      <c r="M658" s="96"/>
      <c r="N658" s="87"/>
      <c r="O658" s="20"/>
      <c r="P658" s="31"/>
      <c r="Q658" s="88"/>
      <c r="R658" s="88"/>
      <c r="S658" s="88"/>
      <c r="T658" s="58"/>
      <c r="U658" s="94"/>
      <c r="V658" s="93"/>
    </row>
    <row r="659" spans="1:22" s="168" customFormat="1" ht="22.500000" customHeight="1">
      <c r="A659" s="34">
        <v>657</v>
      </c>
      <c r="B659" s="34"/>
      <c r="C659" s="34"/>
      <c r="D659" s="34"/>
      <c r="E659" s="34"/>
      <c r="F659" s="85"/>
      <c r="G659" s="159"/>
      <c r="H659" s="155"/>
      <c r="I659" s="164"/>
      <c r="J659" s="164"/>
      <c r="K659" s="155"/>
      <c r="L659" s="85"/>
      <c r="M659" s="95"/>
      <c r="N659" s="87"/>
      <c r="O659" s="20"/>
      <c r="P659" s="31"/>
      <c r="Q659" s="88"/>
      <c r="R659" s="88"/>
      <c r="S659" s="88"/>
      <c r="T659" s="58"/>
      <c r="U659" s="92"/>
      <c r="V659" s="90"/>
    </row>
    <row r="660" spans="1:22" s="168" customFormat="1" ht="22.500000" customHeight="1">
      <c r="A660" s="34">
        <v>658</v>
      </c>
      <c r="B660" s="34"/>
      <c r="C660" s="34"/>
      <c r="D660" s="34"/>
      <c r="E660" s="34"/>
      <c r="F660" s="85"/>
      <c r="G660" s="159"/>
      <c r="H660" s="155"/>
      <c r="I660" s="164"/>
      <c r="J660" s="164"/>
      <c r="K660" s="155"/>
      <c r="L660" s="85"/>
      <c r="M660" s="96"/>
      <c r="N660" s="87"/>
      <c r="O660" s="20"/>
      <c r="P660" s="31"/>
      <c r="Q660" s="88"/>
      <c r="R660" s="88"/>
      <c r="S660" s="88"/>
      <c r="T660" s="58"/>
      <c r="U660" s="94"/>
      <c r="V660" s="93"/>
    </row>
    <row r="661" spans="1:22" s="168" customFormat="1" ht="22.500000" customHeight="1">
      <c r="A661" s="34">
        <v>659</v>
      </c>
      <c r="B661" s="34"/>
      <c r="C661" s="34"/>
      <c r="D661" s="34"/>
      <c r="E661" s="34"/>
      <c r="F661" s="85"/>
      <c r="G661" s="159"/>
      <c r="H661" s="155"/>
      <c r="I661" s="164"/>
      <c r="J661" s="164"/>
      <c r="K661" s="155"/>
      <c r="L661" s="85"/>
      <c r="M661" s="95"/>
      <c r="N661" s="87"/>
      <c r="O661" s="20"/>
      <c r="P661" s="31"/>
      <c r="Q661" s="88"/>
      <c r="R661" s="88"/>
      <c r="S661" s="88"/>
      <c r="T661" s="58"/>
      <c r="U661" s="92"/>
      <c r="V661" s="90"/>
    </row>
    <row r="662" spans="1:22" s="168" customFormat="1" ht="22.500000" customHeight="1">
      <c r="A662" s="34">
        <v>660</v>
      </c>
      <c r="B662" s="34"/>
      <c r="C662" s="34"/>
      <c r="D662" s="34"/>
      <c r="E662" s="34"/>
      <c r="F662" s="85"/>
      <c r="G662" s="159"/>
      <c r="H662" s="155"/>
      <c r="I662" s="164"/>
      <c r="J662" s="164"/>
      <c r="K662" s="155"/>
      <c r="L662" s="85"/>
      <c r="M662" s="96"/>
      <c r="N662" s="87"/>
      <c r="O662" s="20"/>
      <c r="P662" s="31"/>
      <c r="Q662" s="88"/>
      <c r="R662" s="88"/>
      <c r="S662" s="88"/>
      <c r="T662" s="58"/>
      <c r="U662" s="94"/>
      <c r="V662" s="93"/>
    </row>
    <row r="663" spans="1:22" s="168" customFormat="1" ht="22.500000" customHeight="1">
      <c r="A663" s="34">
        <v>661</v>
      </c>
      <c r="B663" s="34"/>
      <c r="C663" s="34"/>
      <c r="D663" s="34"/>
      <c r="E663" s="34"/>
      <c r="F663" s="85"/>
      <c r="G663" s="159"/>
      <c r="H663" s="155"/>
      <c r="I663" s="164"/>
      <c r="J663" s="164"/>
      <c r="K663" s="155"/>
      <c r="L663" s="85"/>
      <c r="M663" s="95"/>
      <c r="N663" s="87"/>
      <c r="O663" s="20"/>
      <c r="P663" s="31"/>
      <c r="Q663" s="88"/>
      <c r="R663" s="88"/>
      <c r="S663" s="88"/>
      <c r="T663" s="58"/>
      <c r="U663" s="92"/>
      <c r="V663" s="90"/>
    </row>
    <row r="664" spans="1:22" s="168" customFormat="1" ht="22.500000" customHeight="1">
      <c r="A664" s="34">
        <v>662</v>
      </c>
      <c r="B664" s="34"/>
      <c r="C664" s="34"/>
      <c r="D664" s="34"/>
      <c r="E664" s="34"/>
      <c r="F664" s="85"/>
      <c r="G664" s="159"/>
      <c r="H664" s="155"/>
      <c r="I664" s="164"/>
      <c r="J664" s="164"/>
      <c r="K664" s="155"/>
      <c r="L664" s="85"/>
      <c r="M664" s="96"/>
      <c r="N664" s="87"/>
      <c r="O664" s="20"/>
      <c r="P664" s="31"/>
      <c r="Q664" s="88"/>
      <c r="R664" s="88"/>
      <c r="S664" s="88"/>
      <c r="T664" s="58"/>
      <c r="U664" s="94"/>
      <c r="V664" s="93"/>
    </row>
    <row r="665" spans="1:22" s="168" customFormat="1" ht="22.500000" customHeight="1">
      <c r="A665" s="34">
        <v>663</v>
      </c>
      <c r="B665" s="34"/>
      <c r="C665" s="34"/>
      <c r="D665" s="34"/>
      <c r="E665" s="34"/>
      <c r="F665" s="85"/>
      <c r="G665" s="159"/>
      <c r="H665" s="155"/>
      <c r="I665" s="164"/>
      <c r="J665" s="164"/>
      <c r="K665" s="155"/>
      <c r="L665" s="85"/>
      <c r="M665" s="95"/>
      <c r="N665" s="87"/>
      <c r="O665" s="20"/>
      <c r="P665" s="31"/>
      <c r="Q665" s="88"/>
      <c r="R665" s="88"/>
      <c r="S665" s="88"/>
      <c r="T665" s="58"/>
      <c r="U665" s="92"/>
      <c r="V665" s="90"/>
    </row>
    <row r="666" spans="1:22" s="168" customFormat="1" ht="22.500000" customHeight="1">
      <c r="A666" s="34">
        <v>664</v>
      </c>
      <c r="B666" s="34"/>
      <c r="C666" s="34"/>
      <c r="D666" s="34"/>
      <c r="E666" s="34"/>
      <c r="F666" s="85"/>
      <c r="G666" s="159"/>
      <c r="H666" s="155"/>
      <c r="I666" s="164"/>
      <c r="J666" s="164"/>
      <c r="K666" s="155"/>
      <c r="L666" s="85"/>
      <c r="M666" s="96"/>
      <c r="N666" s="87"/>
      <c r="O666" s="20"/>
      <c r="P666" s="31"/>
      <c r="Q666" s="88"/>
      <c r="R666" s="88"/>
      <c r="S666" s="88"/>
      <c r="T666" s="58"/>
      <c r="U666" s="94"/>
      <c r="V666" s="93"/>
    </row>
    <row r="667" spans="1:22" s="168" customFormat="1" ht="22.500000" customHeight="1">
      <c r="A667" s="34">
        <v>665</v>
      </c>
      <c r="B667" s="34"/>
      <c r="C667" s="34"/>
      <c r="D667" s="34"/>
      <c r="E667" s="34"/>
      <c r="F667" s="85"/>
      <c r="G667" s="159"/>
      <c r="H667" s="155"/>
      <c r="I667" s="164"/>
      <c r="J667" s="164"/>
      <c r="K667" s="155"/>
      <c r="L667" s="85"/>
      <c r="M667" s="95"/>
      <c r="N667" s="87"/>
      <c r="O667" s="20"/>
      <c r="P667" s="31"/>
      <c r="Q667" s="88"/>
      <c r="R667" s="88"/>
      <c r="S667" s="88"/>
      <c r="T667" s="58"/>
      <c r="U667" s="92"/>
      <c r="V667" s="90"/>
    </row>
    <row r="668" spans="1:22" s="168" customFormat="1" ht="22.500000" customHeight="1">
      <c r="A668" s="34">
        <v>666</v>
      </c>
      <c r="B668" s="34"/>
      <c r="C668" s="34"/>
      <c r="D668" s="34"/>
      <c r="E668" s="34"/>
      <c r="F668" s="85"/>
      <c r="G668" s="159"/>
      <c r="H668" s="155"/>
      <c r="I668" s="164"/>
      <c r="J668" s="164"/>
      <c r="K668" s="155"/>
      <c r="L668" s="85"/>
      <c r="M668" s="96"/>
      <c r="N668" s="87"/>
      <c r="O668" s="20"/>
      <c r="P668" s="31"/>
      <c r="Q668" s="88"/>
      <c r="R668" s="88"/>
      <c r="S668" s="88"/>
      <c r="T668" s="58"/>
      <c r="U668" s="94"/>
      <c r="V668" s="93"/>
    </row>
    <row r="669" spans="1:22" s="168" customFormat="1" ht="22.500000" customHeight="1">
      <c r="A669" s="34">
        <v>667</v>
      </c>
      <c r="B669" s="34"/>
      <c r="C669" s="34"/>
      <c r="D669" s="34"/>
      <c r="E669" s="34"/>
      <c r="F669" s="85"/>
      <c r="G669" s="159"/>
      <c r="H669" s="155"/>
      <c r="I669" s="164"/>
      <c r="J669" s="164"/>
      <c r="K669" s="155"/>
      <c r="L669" s="85"/>
      <c r="M669" s="95"/>
      <c r="N669" s="87"/>
      <c r="O669" s="20"/>
      <c r="P669" s="31"/>
      <c r="Q669" s="88"/>
      <c r="R669" s="88"/>
      <c r="S669" s="88"/>
      <c r="T669" s="58"/>
      <c r="U669" s="92"/>
      <c r="V669" s="90"/>
    </row>
    <row r="670" spans="1:22" s="168" customFormat="1" ht="22.500000" customHeight="1">
      <c r="A670" s="34">
        <v>668</v>
      </c>
      <c r="B670" s="34"/>
      <c r="C670" s="34"/>
      <c r="D670" s="34"/>
      <c r="E670" s="34"/>
      <c r="F670" s="85"/>
      <c r="G670" s="159"/>
      <c r="H670" s="155"/>
      <c r="I670" s="164"/>
      <c r="J670" s="164"/>
      <c r="K670" s="155"/>
      <c r="L670" s="85"/>
      <c r="M670" s="96"/>
      <c r="N670" s="87"/>
      <c r="O670" s="20"/>
      <c r="P670" s="31"/>
      <c r="Q670" s="88"/>
      <c r="R670" s="88"/>
      <c r="S670" s="88"/>
      <c r="T670" s="58"/>
      <c r="U670" s="94"/>
      <c r="V670" s="93"/>
    </row>
    <row r="671" spans="1:22" s="168" customFormat="1" ht="22.500000" customHeight="1">
      <c r="A671" s="34">
        <v>669</v>
      </c>
      <c r="B671" s="34"/>
      <c r="C671" s="34"/>
      <c r="D671" s="34"/>
      <c r="E671" s="34"/>
      <c r="F671" s="85"/>
      <c r="G671" s="159"/>
      <c r="H671" s="155"/>
      <c r="I671" s="164"/>
      <c r="J671" s="164"/>
      <c r="K671" s="155"/>
      <c r="L671" s="85"/>
      <c r="M671" s="95"/>
      <c r="N671" s="87"/>
      <c r="O671" s="20"/>
      <c r="P671" s="31"/>
      <c r="Q671" s="88"/>
      <c r="R671" s="88"/>
      <c r="S671" s="88"/>
      <c r="T671" s="58"/>
      <c r="U671" s="92"/>
      <c r="V671" s="90"/>
    </row>
    <row r="672" spans="1:22" s="168" customFormat="1" ht="22.500000" customHeight="1">
      <c r="A672" s="34">
        <v>670</v>
      </c>
      <c r="B672" s="34"/>
      <c r="C672" s="34"/>
      <c r="D672" s="34"/>
      <c r="E672" s="34"/>
      <c r="F672" s="85"/>
      <c r="G672" s="159"/>
      <c r="H672" s="155"/>
      <c r="I672" s="164"/>
      <c r="J672" s="164"/>
      <c r="K672" s="155"/>
      <c r="L672" s="85"/>
      <c r="M672" s="96"/>
      <c r="N672" s="87"/>
      <c r="O672" s="20"/>
      <c r="P672" s="31"/>
      <c r="Q672" s="88"/>
      <c r="R672" s="88"/>
      <c r="S672" s="88"/>
      <c r="T672" s="58"/>
      <c r="U672" s="94"/>
      <c r="V672" s="93"/>
    </row>
    <row r="673" spans="1:22" s="168" customFormat="1" ht="22.500000" customHeight="1">
      <c r="A673" s="34">
        <v>671</v>
      </c>
      <c r="B673" s="34"/>
      <c r="C673" s="34"/>
      <c r="D673" s="34"/>
      <c r="E673" s="34"/>
      <c r="F673" s="85"/>
      <c r="G673" s="159"/>
      <c r="H673" s="155"/>
      <c r="I673" s="164"/>
      <c r="J673" s="164"/>
      <c r="K673" s="155"/>
      <c r="L673" s="85"/>
      <c r="M673" s="95"/>
      <c r="N673" s="87"/>
      <c r="O673" s="20"/>
      <c r="P673" s="31"/>
      <c r="Q673" s="88"/>
      <c r="R673" s="88"/>
      <c r="S673" s="88"/>
      <c r="T673" s="58"/>
      <c r="U673" s="92"/>
      <c r="V673" s="90"/>
    </row>
    <row r="674" spans="1:22" s="168" customFormat="1" ht="22.500000" customHeight="1">
      <c r="A674" s="34">
        <v>672</v>
      </c>
      <c r="B674" s="34"/>
      <c r="C674" s="34"/>
      <c r="D674" s="34"/>
      <c r="E674" s="34"/>
      <c r="F674" s="85"/>
      <c r="G674" s="159"/>
      <c r="H674" s="155"/>
      <c r="I674" s="164"/>
      <c r="J674" s="164"/>
      <c r="K674" s="155"/>
      <c r="L674" s="85"/>
      <c r="M674" s="96"/>
      <c r="N674" s="87"/>
      <c r="O674" s="20"/>
      <c r="P674" s="31"/>
      <c r="Q674" s="88"/>
      <c r="R674" s="88"/>
      <c r="S674" s="88"/>
      <c r="T674" s="58"/>
      <c r="U674" s="94"/>
      <c r="V674" s="93"/>
    </row>
    <row r="675" spans="1:22" s="168" customFormat="1" ht="22.500000" customHeight="1">
      <c r="A675" s="34">
        <v>673</v>
      </c>
      <c r="B675" s="34"/>
      <c r="C675" s="34"/>
      <c r="D675" s="34"/>
      <c r="E675" s="34"/>
      <c r="F675" s="85"/>
      <c r="G675" s="159"/>
      <c r="H675" s="155"/>
      <c r="I675" s="164"/>
      <c r="J675" s="164"/>
      <c r="K675" s="155"/>
      <c r="L675" s="85"/>
      <c r="M675" s="95"/>
      <c r="N675" s="87"/>
      <c r="O675" s="20"/>
      <c r="P675" s="31"/>
      <c r="Q675" s="88"/>
      <c r="R675" s="88"/>
      <c r="S675" s="88"/>
      <c r="T675" s="58"/>
      <c r="U675" s="92"/>
      <c r="V675" s="90"/>
    </row>
    <row r="676" spans="1:22" s="168" customFormat="1" ht="22.500000" customHeight="1">
      <c r="A676" s="34">
        <v>674</v>
      </c>
      <c r="B676" s="34"/>
      <c r="C676" s="34"/>
      <c r="D676" s="34"/>
      <c r="E676" s="34"/>
      <c r="F676" s="85"/>
      <c r="G676" s="159"/>
      <c r="H676" s="155"/>
      <c r="I676" s="164"/>
      <c r="J676" s="164"/>
      <c r="K676" s="155"/>
      <c r="L676" s="85"/>
      <c r="M676" s="96"/>
      <c r="N676" s="87"/>
      <c r="O676" s="20"/>
      <c r="P676" s="31"/>
      <c r="Q676" s="88"/>
      <c r="R676" s="88"/>
      <c r="S676" s="88"/>
      <c r="T676" s="58"/>
      <c r="U676" s="94"/>
      <c r="V676" s="93"/>
    </row>
    <row r="677" spans="1:22" s="168" customFormat="1" ht="22.500000" customHeight="1">
      <c r="A677" s="34">
        <v>675</v>
      </c>
      <c r="B677" s="34"/>
      <c r="C677" s="34"/>
      <c r="D677" s="34"/>
      <c r="E677" s="34"/>
      <c r="F677" s="85"/>
      <c r="G677" s="159"/>
      <c r="H677" s="155"/>
      <c r="I677" s="164"/>
      <c r="J677" s="164"/>
      <c r="K677" s="155"/>
      <c r="L677" s="85"/>
      <c r="M677" s="95"/>
      <c r="N677" s="87"/>
      <c r="O677" s="20"/>
      <c r="P677" s="31"/>
      <c r="Q677" s="88"/>
      <c r="R677" s="88"/>
      <c r="S677" s="88"/>
      <c r="T677" s="58"/>
      <c r="U677" s="92"/>
      <c r="V677" s="90"/>
    </row>
    <row r="678" spans="1:22" s="168" customFormat="1" ht="22.500000" customHeight="1">
      <c r="A678" s="34">
        <v>676</v>
      </c>
      <c r="B678" s="34"/>
      <c r="C678" s="34"/>
      <c r="D678" s="34"/>
      <c r="E678" s="34"/>
      <c r="F678" s="85"/>
      <c r="G678" s="159"/>
      <c r="H678" s="155"/>
      <c r="I678" s="164"/>
      <c r="J678" s="164"/>
      <c r="K678" s="155"/>
      <c r="L678" s="85"/>
      <c r="M678" s="96"/>
      <c r="N678" s="87"/>
      <c r="O678" s="20"/>
      <c r="P678" s="31"/>
      <c r="Q678" s="88"/>
      <c r="R678" s="88"/>
      <c r="S678" s="88"/>
      <c r="T678" s="58"/>
      <c r="U678" s="94"/>
      <c r="V678" s="93"/>
    </row>
    <row r="679" spans="1:22" s="168" customFormat="1" ht="22.500000" customHeight="1">
      <c r="A679" s="34">
        <v>677</v>
      </c>
      <c r="B679" s="34"/>
      <c r="C679" s="34"/>
      <c r="D679" s="34"/>
      <c r="E679" s="34"/>
      <c r="F679" s="85"/>
      <c r="G679" s="159"/>
      <c r="H679" s="155"/>
      <c r="I679" s="164"/>
      <c r="J679" s="164"/>
      <c r="K679" s="155"/>
      <c r="L679" s="85"/>
      <c r="M679" s="95"/>
      <c r="N679" s="87"/>
      <c r="O679" s="20"/>
      <c r="P679" s="31"/>
      <c r="Q679" s="88"/>
      <c r="R679" s="88"/>
      <c r="S679" s="88"/>
      <c r="T679" s="58"/>
      <c r="U679" s="92"/>
      <c r="V679" s="90"/>
    </row>
    <row r="680" spans="1:22" s="168" customFormat="1" ht="22.500000" customHeight="1">
      <c r="A680" s="34">
        <v>678</v>
      </c>
      <c r="B680" s="34"/>
      <c r="C680" s="34"/>
      <c r="D680" s="34"/>
      <c r="E680" s="34"/>
      <c r="F680" s="85"/>
      <c r="G680" s="159"/>
      <c r="H680" s="155"/>
      <c r="I680" s="164"/>
      <c r="J680" s="164"/>
      <c r="K680" s="155"/>
      <c r="L680" s="85"/>
      <c r="M680" s="96"/>
      <c r="N680" s="87"/>
      <c r="O680" s="20"/>
      <c r="P680" s="31"/>
      <c r="Q680" s="88"/>
      <c r="R680" s="88"/>
      <c r="S680" s="88"/>
      <c r="T680" s="58"/>
      <c r="U680" s="94"/>
      <c r="V680" s="93"/>
    </row>
    <row r="681" spans="1:22" s="168" customFormat="1" ht="22.500000" customHeight="1">
      <c r="A681" s="34">
        <v>679</v>
      </c>
      <c r="B681" s="34"/>
      <c r="C681" s="34"/>
      <c r="D681" s="34"/>
      <c r="E681" s="34"/>
      <c r="F681" s="85"/>
      <c r="G681" s="159"/>
      <c r="H681" s="155"/>
      <c r="I681" s="164"/>
      <c r="J681" s="164"/>
      <c r="K681" s="155"/>
      <c r="L681" s="85"/>
      <c r="M681" s="95"/>
      <c r="N681" s="87"/>
      <c r="O681" s="20"/>
      <c r="P681" s="31"/>
      <c r="Q681" s="88"/>
      <c r="R681" s="88"/>
      <c r="S681" s="88"/>
      <c r="T681" s="58"/>
      <c r="U681" s="92"/>
      <c r="V681" s="90"/>
    </row>
    <row r="682" spans="1:22" s="168" customFormat="1" ht="22.500000" customHeight="1">
      <c r="A682" s="34">
        <v>680</v>
      </c>
      <c r="B682" s="34"/>
      <c r="C682" s="34"/>
      <c r="D682" s="34"/>
      <c r="E682" s="34"/>
      <c r="F682" s="85"/>
      <c r="G682" s="159"/>
      <c r="H682" s="155"/>
      <c r="I682" s="164"/>
      <c r="J682" s="164"/>
      <c r="K682" s="155"/>
      <c r="L682" s="85"/>
      <c r="M682" s="96"/>
      <c r="N682" s="87"/>
      <c r="O682" s="20"/>
      <c r="P682" s="31"/>
      <c r="Q682" s="88"/>
      <c r="R682" s="88"/>
      <c r="S682" s="88"/>
      <c r="T682" s="58"/>
      <c r="U682" s="94"/>
      <c r="V682" s="93"/>
    </row>
    <row r="683" spans="1:22" s="168" customFormat="1" ht="22.500000" customHeight="1">
      <c r="A683" s="34">
        <v>681</v>
      </c>
      <c r="B683" s="34"/>
      <c r="C683" s="34"/>
      <c r="D683" s="34"/>
      <c r="E683" s="34"/>
      <c r="F683" s="85"/>
      <c r="G683" s="159"/>
      <c r="H683" s="155"/>
      <c r="I683" s="164"/>
      <c r="J683" s="164"/>
      <c r="K683" s="155"/>
      <c r="L683" s="85"/>
      <c r="M683" s="95"/>
      <c r="N683" s="87"/>
      <c r="O683" s="20"/>
      <c r="P683" s="31"/>
      <c r="Q683" s="88"/>
      <c r="R683" s="88"/>
      <c r="S683" s="88"/>
      <c r="T683" s="58"/>
      <c r="U683" s="92"/>
      <c r="V683" s="90"/>
    </row>
    <row r="684" spans="1:22" s="168" customFormat="1" ht="22.500000" customHeight="1">
      <c r="A684" s="34">
        <v>682</v>
      </c>
      <c r="B684" s="34"/>
      <c r="C684" s="34"/>
      <c r="D684" s="34"/>
      <c r="E684" s="34"/>
      <c r="F684" s="85"/>
      <c r="G684" s="159"/>
      <c r="H684" s="155"/>
      <c r="I684" s="164"/>
      <c r="J684" s="164"/>
      <c r="K684" s="155"/>
      <c r="L684" s="85"/>
      <c r="M684" s="96"/>
      <c r="N684" s="87"/>
      <c r="O684" s="20"/>
      <c r="P684" s="31"/>
      <c r="Q684" s="88"/>
      <c r="R684" s="88"/>
      <c r="S684" s="88"/>
      <c r="T684" s="58"/>
      <c r="U684" s="94"/>
      <c r="V684" s="93"/>
    </row>
    <row r="685" spans="1:22" s="168" customFormat="1" ht="22.500000" customHeight="1">
      <c r="A685" s="34">
        <v>683</v>
      </c>
      <c r="B685" s="34"/>
      <c r="C685" s="34"/>
      <c r="D685" s="34"/>
      <c r="E685" s="34"/>
      <c r="F685" s="85"/>
      <c r="G685" s="159"/>
      <c r="H685" s="155"/>
      <c r="I685" s="164"/>
      <c r="J685" s="164"/>
      <c r="K685" s="155"/>
      <c r="L685" s="85"/>
      <c r="M685" s="95"/>
      <c r="N685" s="87"/>
      <c r="O685" s="20"/>
      <c r="P685" s="31"/>
      <c r="Q685" s="88"/>
      <c r="R685" s="88"/>
      <c r="S685" s="88"/>
      <c r="T685" s="58"/>
      <c r="U685" s="92"/>
      <c r="V685" s="90"/>
    </row>
    <row r="686" spans="1:22" s="168" customFormat="1" ht="22.500000" customHeight="1">
      <c r="A686" s="34">
        <v>684</v>
      </c>
      <c r="B686" s="34"/>
      <c r="C686" s="34"/>
      <c r="D686" s="34"/>
      <c r="E686" s="34"/>
      <c r="F686" s="85"/>
      <c r="G686" s="159"/>
      <c r="H686" s="155"/>
      <c r="I686" s="164"/>
      <c r="J686" s="164"/>
      <c r="K686" s="155"/>
      <c r="L686" s="85"/>
      <c r="M686" s="96"/>
      <c r="N686" s="87"/>
      <c r="O686" s="20"/>
      <c r="P686" s="31"/>
      <c r="Q686" s="88"/>
      <c r="R686" s="88"/>
      <c r="S686" s="88"/>
      <c r="T686" s="58"/>
      <c r="U686" s="94"/>
      <c r="V686" s="93"/>
    </row>
    <row r="687" spans="1:22" s="168" customFormat="1" ht="22.500000" customHeight="1">
      <c r="A687" s="34">
        <v>685</v>
      </c>
      <c r="B687" s="34"/>
      <c r="C687" s="34"/>
      <c r="D687" s="34"/>
      <c r="E687" s="34"/>
      <c r="F687" s="85"/>
      <c r="G687" s="159"/>
      <c r="H687" s="155"/>
      <c r="I687" s="164"/>
      <c r="J687" s="164"/>
      <c r="K687" s="155"/>
      <c r="L687" s="85"/>
      <c r="M687" s="95"/>
      <c r="N687" s="87"/>
      <c r="O687" s="20"/>
      <c r="P687" s="31"/>
      <c r="Q687" s="88"/>
      <c r="R687" s="88"/>
      <c r="S687" s="88"/>
      <c r="T687" s="58"/>
      <c r="U687" s="92"/>
      <c r="V687" s="90"/>
    </row>
    <row r="688" spans="1:22" s="168" customFormat="1" ht="22.500000" customHeight="1">
      <c r="A688" s="34">
        <v>686</v>
      </c>
      <c r="B688" s="34"/>
      <c r="C688" s="34"/>
      <c r="D688" s="34"/>
      <c r="E688" s="34"/>
      <c r="F688" s="85"/>
      <c r="G688" s="159"/>
      <c r="H688" s="155"/>
      <c r="I688" s="164"/>
      <c r="J688" s="164"/>
      <c r="K688" s="155"/>
      <c r="L688" s="85"/>
      <c r="M688" s="96"/>
      <c r="N688" s="87"/>
      <c r="O688" s="20"/>
      <c r="P688" s="31"/>
      <c r="Q688" s="88"/>
      <c r="R688" s="88"/>
      <c r="S688" s="88"/>
      <c r="T688" s="58"/>
      <c r="U688" s="94"/>
      <c r="V688" s="93"/>
    </row>
    <row r="689" spans="1:22" s="168" customFormat="1" ht="22.500000" customHeight="1">
      <c r="A689" s="34">
        <v>687</v>
      </c>
      <c r="B689" s="34"/>
      <c r="C689" s="34"/>
      <c r="D689" s="34"/>
      <c r="E689" s="34"/>
      <c r="F689" s="85"/>
      <c r="G689" s="159"/>
      <c r="H689" s="155"/>
      <c r="I689" s="164"/>
      <c r="J689" s="164"/>
      <c r="K689" s="155"/>
      <c r="L689" s="85"/>
      <c r="M689" s="95"/>
      <c r="N689" s="87"/>
      <c r="O689" s="20"/>
      <c r="P689" s="31"/>
      <c r="Q689" s="88"/>
      <c r="R689" s="88"/>
      <c r="S689" s="88"/>
      <c r="T689" s="58"/>
      <c r="U689" s="92"/>
      <c r="V689" s="90"/>
    </row>
    <row r="690" spans="1:22" s="168" customFormat="1" ht="22.500000" customHeight="1">
      <c r="A690" s="34">
        <v>688</v>
      </c>
      <c r="B690" s="34"/>
      <c r="C690" s="34"/>
      <c r="D690" s="34"/>
      <c r="E690" s="34"/>
      <c r="F690" s="85"/>
      <c r="G690" s="159"/>
      <c r="H690" s="155"/>
      <c r="I690" s="164"/>
      <c r="J690" s="164"/>
      <c r="K690" s="155"/>
      <c r="L690" s="85"/>
      <c r="M690" s="96"/>
      <c r="N690" s="87"/>
      <c r="O690" s="20"/>
      <c r="P690" s="31"/>
      <c r="Q690" s="88"/>
      <c r="R690" s="88"/>
      <c r="S690" s="88"/>
      <c r="T690" s="58"/>
      <c r="U690" s="94"/>
      <c r="V690" s="93"/>
    </row>
    <row r="691" spans="1:22" s="168" customFormat="1" ht="22.500000" customHeight="1">
      <c r="A691" s="34">
        <v>689</v>
      </c>
      <c r="B691" s="34"/>
      <c r="C691" s="34"/>
      <c r="D691" s="34"/>
      <c r="E691" s="34"/>
      <c r="F691" s="85"/>
      <c r="G691" s="159"/>
      <c r="H691" s="155"/>
      <c r="I691" s="164"/>
      <c r="J691" s="164"/>
      <c r="K691" s="155"/>
      <c r="L691" s="85"/>
      <c r="M691" s="95"/>
      <c r="N691" s="87"/>
      <c r="O691" s="20"/>
      <c r="P691" s="31"/>
      <c r="Q691" s="88"/>
      <c r="R691" s="88"/>
      <c r="S691" s="88"/>
      <c r="T691" s="58"/>
      <c r="U691" s="92"/>
      <c r="V691" s="90"/>
    </row>
    <row r="692" spans="1:22" s="168" customFormat="1" ht="22.500000" customHeight="1">
      <c r="A692" s="34">
        <v>690</v>
      </c>
      <c r="B692" s="34"/>
      <c r="C692" s="34"/>
      <c r="D692" s="34"/>
      <c r="E692" s="34"/>
      <c r="F692" s="85"/>
      <c r="G692" s="159"/>
      <c r="H692" s="155"/>
      <c r="I692" s="164"/>
      <c r="J692" s="164"/>
      <c r="K692" s="155"/>
      <c r="L692" s="85"/>
      <c r="M692" s="96"/>
      <c r="N692" s="87"/>
      <c r="O692" s="20"/>
      <c r="P692" s="31"/>
      <c r="Q692" s="88"/>
      <c r="R692" s="88"/>
      <c r="S692" s="88"/>
      <c r="T692" s="58"/>
      <c r="U692" s="94"/>
      <c r="V692" s="93"/>
    </row>
    <row r="693" spans="1:22" s="168" customFormat="1" ht="22.500000" customHeight="1">
      <c r="A693" s="34">
        <v>691</v>
      </c>
      <c r="B693" s="34"/>
      <c r="C693" s="34"/>
      <c r="D693" s="34"/>
      <c r="E693" s="34"/>
      <c r="F693" s="85"/>
      <c r="G693" s="159"/>
      <c r="H693" s="155"/>
      <c r="I693" s="164"/>
      <c r="J693" s="164"/>
      <c r="K693" s="155"/>
      <c r="L693" s="85"/>
      <c r="M693" s="95"/>
      <c r="N693" s="87"/>
      <c r="O693" s="20"/>
      <c r="P693" s="31"/>
      <c r="Q693" s="88"/>
      <c r="R693" s="88"/>
      <c r="S693" s="88"/>
      <c r="T693" s="58"/>
      <c r="U693" s="92"/>
      <c r="V693" s="90"/>
    </row>
    <row r="694" spans="1:22" s="168" customFormat="1" ht="22.500000" customHeight="1">
      <c r="A694" s="34">
        <v>692</v>
      </c>
      <c r="B694" s="34"/>
      <c r="C694" s="34"/>
      <c r="D694" s="34"/>
      <c r="E694" s="34"/>
      <c r="F694" s="85"/>
      <c r="G694" s="159"/>
      <c r="H694" s="155"/>
      <c r="I694" s="164"/>
      <c r="J694" s="164"/>
      <c r="K694" s="155"/>
      <c r="L694" s="85"/>
      <c r="M694" s="96"/>
      <c r="N694" s="87"/>
      <c r="O694" s="20"/>
      <c r="P694" s="31"/>
      <c r="Q694" s="88"/>
      <c r="R694" s="88"/>
      <c r="S694" s="88"/>
      <c r="T694" s="58"/>
      <c r="U694" s="94"/>
      <c r="V694" s="93"/>
    </row>
    <row r="695" spans="1:22" s="168" customFormat="1" ht="22.500000" customHeight="1">
      <c r="A695" s="34">
        <v>693</v>
      </c>
      <c r="B695" s="34"/>
      <c r="C695" s="34"/>
      <c r="D695" s="34"/>
      <c r="E695" s="34"/>
      <c r="F695" s="85"/>
      <c r="G695" s="159"/>
      <c r="H695" s="155"/>
      <c r="I695" s="164"/>
      <c r="J695" s="164"/>
      <c r="K695" s="155"/>
      <c r="L695" s="85"/>
      <c r="M695" s="95"/>
      <c r="N695" s="87"/>
      <c r="O695" s="20"/>
      <c r="P695" s="31"/>
      <c r="Q695" s="88"/>
      <c r="R695" s="88"/>
      <c r="S695" s="88"/>
      <c r="T695" s="58"/>
      <c r="U695" s="92"/>
      <c r="V695" s="90"/>
    </row>
    <row r="696" spans="1:22" s="168" customFormat="1" ht="22.500000" customHeight="1">
      <c r="A696" s="34">
        <v>694</v>
      </c>
      <c r="B696" s="34"/>
      <c r="C696" s="34"/>
      <c r="D696" s="34"/>
      <c r="E696" s="34"/>
      <c r="F696" s="85"/>
      <c r="G696" s="159"/>
      <c r="H696" s="155"/>
      <c r="I696" s="164"/>
      <c r="J696" s="164"/>
      <c r="K696" s="155"/>
      <c r="L696" s="85"/>
      <c r="M696" s="96"/>
      <c r="N696" s="87"/>
      <c r="O696" s="20"/>
      <c r="P696" s="31"/>
      <c r="Q696" s="88"/>
      <c r="R696" s="88"/>
      <c r="S696" s="88"/>
      <c r="T696" s="58"/>
      <c r="U696" s="94"/>
      <c r="V696" s="93"/>
    </row>
    <row r="697" spans="1:22" s="168" customFormat="1" ht="22.500000" customHeight="1">
      <c r="A697" s="34">
        <v>695</v>
      </c>
      <c r="B697" s="34"/>
      <c r="C697" s="34"/>
      <c r="D697" s="34"/>
      <c r="E697" s="34"/>
      <c r="F697" s="85"/>
      <c r="G697" s="159"/>
      <c r="H697" s="155"/>
      <c r="I697" s="164"/>
      <c r="J697" s="164"/>
      <c r="K697" s="155"/>
      <c r="L697" s="85"/>
      <c r="M697" s="95"/>
      <c r="N697" s="87"/>
      <c r="O697" s="20"/>
      <c r="P697" s="31"/>
      <c r="Q697" s="88"/>
      <c r="R697" s="88"/>
      <c r="S697" s="88"/>
      <c r="T697" s="58"/>
      <c r="U697" s="92"/>
      <c r="V697" s="90"/>
    </row>
    <row r="698" spans="1:22" s="168" customFormat="1" ht="22.500000" customHeight="1">
      <c r="A698" s="34">
        <v>696</v>
      </c>
      <c r="B698" s="34"/>
      <c r="C698" s="34"/>
      <c r="D698" s="34"/>
      <c r="E698" s="34"/>
      <c r="F698" s="85"/>
      <c r="G698" s="159"/>
      <c r="H698" s="155"/>
      <c r="I698" s="164"/>
      <c r="J698" s="164"/>
      <c r="K698" s="155"/>
      <c r="L698" s="85"/>
      <c r="M698" s="96"/>
      <c r="N698" s="87"/>
      <c r="O698" s="20"/>
      <c r="P698" s="31"/>
      <c r="Q698" s="88"/>
      <c r="R698" s="88"/>
      <c r="S698" s="88"/>
      <c r="T698" s="58"/>
      <c r="U698" s="94"/>
      <c r="V698" s="93"/>
    </row>
    <row r="699" spans="1:22" s="168" customFormat="1" ht="22.500000" customHeight="1">
      <c r="A699" s="34">
        <v>697</v>
      </c>
      <c r="B699" s="34"/>
      <c r="C699" s="34"/>
      <c r="D699" s="34"/>
      <c r="E699" s="34"/>
      <c r="F699" s="85"/>
      <c r="G699" s="159"/>
      <c r="H699" s="155"/>
      <c r="I699" s="164"/>
      <c r="J699" s="164"/>
      <c r="K699" s="155"/>
      <c r="L699" s="85"/>
      <c r="M699" s="95"/>
      <c r="N699" s="87"/>
      <c r="O699" s="20"/>
      <c r="P699" s="31"/>
      <c r="Q699" s="88"/>
      <c r="R699" s="88"/>
      <c r="S699" s="88"/>
      <c r="T699" s="58"/>
      <c r="U699" s="92"/>
      <c r="V699" s="90"/>
    </row>
    <row r="700" spans="1:22" s="168" customFormat="1" ht="22.500000" customHeight="1">
      <c r="A700" s="34">
        <v>698</v>
      </c>
      <c r="B700" s="34"/>
      <c r="C700" s="34"/>
      <c r="D700" s="34"/>
      <c r="E700" s="34"/>
      <c r="F700" s="85"/>
      <c r="G700" s="159"/>
      <c r="H700" s="155"/>
      <c r="I700" s="164"/>
      <c r="J700" s="164"/>
      <c r="K700" s="155"/>
      <c r="L700" s="85"/>
      <c r="M700" s="96"/>
      <c r="N700" s="87"/>
      <c r="O700" s="20"/>
      <c r="P700" s="31"/>
      <c r="Q700" s="88"/>
      <c r="R700" s="88"/>
      <c r="S700" s="88"/>
      <c r="T700" s="58"/>
      <c r="U700" s="94"/>
      <c r="V700" s="93"/>
    </row>
    <row r="701" spans="1:22" s="168" customFormat="1" ht="22.500000" customHeight="1">
      <c r="A701" s="34">
        <v>699</v>
      </c>
      <c r="B701" s="34"/>
      <c r="C701" s="34"/>
      <c r="D701" s="34"/>
      <c r="E701" s="34"/>
      <c r="F701" s="85"/>
      <c r="G701" s="159"/>
      <c r="H701" s="155"/>
      <c r="I701" s="164"/>
      <c r="J701" s="164"/>
      <c r="K701" s="155"/>
      <c r="L701" s="85"/>
      <c r="M701" s="95"/>
      <c r="N701" s="87"/>
      <c r="O701" s="20"/>
      <c r="P701" s="31"/>
      <c r="Q701" s="88"/>
      <c r="R701" s="88"/>
      <c r="S701" s="88"/>
      <c r="T701" s="58"/>
      <c r="U701" s="92"/>
      <c r="V701" s="90"/>
    </row>
    <row r="702" spans="1:22" s="168" customFormat="1" ht="22.500000" customHeight="1">
      <c r="A702" s="34">
        <v>700</v>
      </c>
      <c r="B702" s="34"/>
      <c r="C702" s="34"/>
      <c r="D702" s="34"/>
      <c r="E702" s="34"/>
      <c r="F702" s="85"/>
      <c r="G702" s="159"/>
      <c r="H702" s="155"/>
      <c r="I702" s="164"/>
      <c r="J702" s="164"/>
      <c r="K702" s="155"/>
      <c r="L702" s="85"/>
      <c r="M702" s="96"/>
      <c r="N702" s="87"/>
      <c r="O702" s="20"/>
      <c r="P702" s="31"/>
      <c r="Q702" s="88"/>
      <c r="R702" s="88"/>
      <c r="S702" s="88"/>
      <c r="T702" s="58"/>
      <c r="U702" s="94"/>
      <c r="V702" s="93"/>
    </row>
    <row r="703" spans="1:22" s="168" customFormat="1" ht="22.500000" customHeight="1">
      <c r="A703" s="34">
        <v>701</v>
      </c>
      <c r="B703" s="34"/>
      <c r="C703" s="34"/>
      <c r="D703" s="34"/>
      <c r="E703" s="34"/>
      <c r="F703" s="85"/>
      <c r="G703" s="159"/>
      <c r="H703" s="155"/>
      <c r="I703" s="164"/>
      <c r="J703" s="164"/>
      <c r="K703" s="155"/>
      <c r="L703" s="85"/>
      <c r="M703" s="95"/>
      <c r="N703" s="87"/>
      <c r="O703" s="20"/>
      <c r="P703" s="31"/>
      <c r="Q703" s="88"/>
      <c r="R703" s="88"/>
      <c r="S703" s="88"/>
      <c r="T703" s="58"/>
      <c r="U703" s="92"/>
      <c r="V703" s="90"/>
    </row>
    <row r="704" spans="1:22" s="168" customFormat="1" ht="22.500000" customHeight="1">
      <c r="A704" s="34">
        <v>702</v>
      </c>
      <c r="B704" s="34"/>
      <c r="C704" s="34"/>
      <c r="D704" s="34"/>
      <c r="E704" s="34"/>
      <c r="F704" s="85"/>
      <c r="G704" s="159"/>
      <c r="H704" s="155"/>
      <c r="I704" s="164"/>
      <c r="J704" s="164"/>
      <c r="K704" s="155"/>
      <c r="L704" s="85"/>
      <c r="M704" s="96"/>
      <c r="N704" s="87"/>
      <c r="O704" s="20"/>
      <c r="P704" s="31"/>
      <c r="Q704" s="88"/>
      <c r="R704" s="88"/>
      <c r="S704" s="88"/>
      <c r="T704" s="58"/>
      <c r="U704" s="94"/>
      <c r="V704" s="93"/>
    </row>
    <row r="705" spans="1:22" s="168" customFormat="1" ht="22.500000" customHeight="1">
      <c r="A705" s="34">
        <v>703</v>
      </c>
      <c r="B705" s="34"/>
      <c r="C705" s="34"/>
      <c r="D705" s="34"/>
      <c r="E705" s="34"/>
      <c r="F705" s="85"/>
      <c r="G705" s="159"/>
      <c r="H705" s="155"/>
      <c r="I705" s="164"/>
      <c r="J705" s="164"/>
      <c r="K705" s="155"/>
      <c r="L705" s="85"/>
      <c r="M705" s="95"/>
      <c r="N705" s="87"/>
      <c r="O705" s="20"/>
      <c r="P705" s="31"/>
      <c r="Q705" s="88"/>
      <c r="R705" s="88"/>
      <c r="S705" s="88"/>
      <c r="T705" s="58"/>
      <c r="U705" s="92"/>
      <c r="V705" s="90"/>
    </row>
    <row r="706" spans="1:22" s="168" customFormat="1" ht="22.500000" customHeight="1">
      <c r="A706" s="34">
        <v>704</v>
      </c>
      <c r="B706" s="34"/>
      <c r="C706" s="34"/>
      <c r="D706" s="34"/>
      <c r="E706" s="34"/>
      <c r="F706" s="85"/>
      <c r="G706" s="159"/>
      <c r="H706" s="155"/>
      <c r="I706" s="164"/>
      <c r="J706" s="164"/>
      <c r="K706" s="155"/>
      <c r="L706" s="85"/>
      <c r="M706" s="96"/>
      <c r="N706" s="87"/>
      <c r="O706" s="20"/>
      <c r="P706" s="31"/>
      <c r="Q706" s="88"/>
      <c r="R706" s="88"/>
      <c r="S706" s="88"/>
      <c r="T706" s="58"/>
      <c r="U706" s="94"/>
      <c r="V706" s="93"/>
    </row>
    <row r="707" spans="1:22" s="168" customFormat="1" ht="22.500000" customHeight="1">
      <c r="A707" s="34">
        <v>705</v>
      </c>
      <c r="B707" s="34"/>
      <c r="C707" s="34"/>
      <c r="D707" s="34"/>
      <c r="E707" s="34"/>
      <c r="F707" s="85"/>
      <c r="G707" s="159"/>
      <c r="H707" s="155"/>
      <c r="I707" s="164"/>
      <c r="J707" s="164"/>
      <c r="K707" s="155"/>
      <c r="L707" s="85"/>
      <c r="M707" s="95"/>
      <c r="N707" s="87"/>
      <c r="O707" s="20"/>
      <c r="P707" s="31"/>
      <c r="Q707" s="88"/>
      <c r="R707" s="88"/>
      <c r="S707" s="88"/>
      <c r="T707" s="58"/>
      <c r="U707" s="92"/>
      <c r="V707" s="90"/>
    </row>
    <row r="708" spans="1:22" s="168" customFormat="1" ht="22.500000" customHeight="1">
      <c r="A708" s="34">
        <v>706</v>
      </c>
      <c r="B708" s="34"/>
      <c r="C708" s="34"/>
      <c r="D708" s="34"/>
      <c r="E708" s="34"/>
      <c r="F708" s="85"/>
      <c r="G708" s="159"/>
      <c r="H708" s="155"/>
      <c r="I708" s="164"/>
      <c r="J708" s="164"/>
      <c r="K708" s="155"/>
      <c r="L708" s="85"/>
      <c r="M708" s="96"/>
      <c r="N708" s="87"/>
      <c r="O708" s="20"/>
      <c r="P708" s="31"/>
      <c r="Q708" s="88"/>
      <c r="R708" s="88"/>
      <c r="S708" s="88"/>
      <c r="T708" s="58"/>
      <c r="U708" s="94"/>
      <c r="V708" s="93"/>
    </row>
    <row r="709" spans="1:22" s="168" customFormat="1" ht="22.500000" customHeight="1">
      <c r="A709" s="34">
        <v>707</v>
      </c>
      <c r="B709" s="34"/>
      <c r="C709" s="34"/>
      <c r="D709" s="34"/>
      <c r="E709" s="34"/>
      <c r="F709" s="85"/>
      <c r="G709" s="159"/>
      <c r="H709" s="155"/>
      <c r="I709" s="164"/>
      <c r="J709" s="164"/>
      <c r="K709" s="155"/>
      <c r="L709" s="85"/>
      <c r="M709" s="95"/>
      <c r="N709" s="87"/>
      <c r="O709" s="20"/>
      <c r="P709" s="31"/>
      <c r="Q709" s="88"/>
      <c r="R709" s="88"/>
      <c r="S709" s="88"/>
      <c r="T709" s="58"/>
      <c r="U709" s="92"/>
      <c r="V709" s="90"/>
    </row>
    <row r="710" spans="1:22" s="168" customFormat="1" ht="22.500000" customHeight="1">
      <c r="A710" s="34">
        <v>708</v>
      </c>
      <c r="B710" s="34"/>
      <c r="C710" s="34"/>
      <c r="D710" s="34"/>
      <c r="E710" s="34"/>
      <c r="F710" s="85"/>
      <c r="G710" s="159"/>
      <c r="H710" s="155"/>
      <c r="I710" s="164"/>
      <c r="J710" s="164"/>
      <c r="K710" s="155"/>
      <c r="L710" s="85"/>
      <c r="M710" s="96"/>
      <c r="N710" s="87"/>
      <c r="O710" s="20"/>
      <c r="P710" s="31"/>
      <c r="Q710" s="88"/>
      <c r="R710" s="88"/>
      <c r="S710" s="88"/>
      <c r="T710" s="58"/>
      <c r="U710" s="94"/>
      <c r="V710" s="93"/>
    </row>
    <row r="711" spans="1:22" s="168" customFormat="1" ht="22.500000" customHeight="1">
      <c r="A711" s="34">
        <v>709</v>
      </c>
      <c r="B711" s="34"/>
      <c r="C711" s="34"/>
      <c r="D711" s="34"/>
      <c r="E711" s="34"/>
      <c r="F711" s="85"/>
      <c r="G711" s="159"/>
      <c r="H711" s="155"/>
      <c r="I711" s="164"/>
      <c r="J711" s="164"/>
      <c r="K711" s="155"/>
      <c r="L711" s="85"/>
      <c r="M711" s="95"/>
      <c r="N711" s="87"/>
      <c r="O711" s="20"/>
      <c r="P711" s="31"/>
      <c r="Q711" s="88"/>
      <c r="R711" s="88"/>
      <c r="S711" s="88"/>
      <c r="T711" s="58"/>
      <c r="U711" s="92"/>
      <c r="V711" s="90"/>
    </row>
    <row r="712" spans="1:22" s="168" customFormat="1" ht="22.500000" customHeight="1">
      <c r="A712" s="34">
        <v>710</v>
      </c>
      <c r="B712" s="34"/>
      <c r="C712" s="34"/>
      <c r="D712" s="34"/>
      <c r="E712" s="34"/>
      <c r="F712" s="85"/>
      <c r="G712" s="159"/>
      <c r="H712" s="155"/>
      <c r="I712" s="164"/>
      <c r="J712" s="164"/>
      <c r="K712" s="155"/>
      <c r="L712" s="85"/>
      <c r="M712" s="96"/>
      <c r="N712" s="87"/>
      <c r="O712" s="20"/>
      <c r="P712" s="31"/>
      <c r="Q712" s="88"/>
      <c r="R712" s="88"/>
      <c r="S712" s="88"/>
      <c r="T712" s="58"/>
      <c r="U712" s="94"/>
      <c r="V712" s="93"/>
    </row>
    <row r="713" spans="1:22" s="168" customFormat="1" ht="22.500000" customHeight="1">
      <c r="A713" s="34">
        <v>711</v>
      </c>
      <c r="B713" s="34"/>
      <c r="C713" s="34"/>
      <c r="D713" s="34"/>
      <c r="E713" s="34"/>
      <c r="F713" s="85"/>
      <c r="G713" s="159"/>
      <c r="H713" s="155"/>
      <c r="I713" s="164"/>
      <c r="J713" s="164"/>
      <c r="K713" s="155"/>
      <c r="L713" s="85"/>
      <c r="M713" s="95"/>
      <c r="N713" s="87"/>
      <c r="O713" s="20"/>
      <c r="P713" s="31"/>
      <c r="Q713" s="88"/>
      <c r="R713" s="88"/>
      <c r="S713" s="88"/>
      <c r="T713" s="58"/>
      <c r="U713" s="92"/>
      <c r="V713" s="90"/>
    </row>
    <row r="714" spans="1:22" s="168" customFormat="1" ht="22.500000" customHeight="1">
      <c r="A714" s="34">
        <v>712</v>
      </c>
      <c r="B714" s="34"/>
      <c r="C714" s="34"/>
      <c r="D714" s="34"/>
      <c r="E714" s="34"/>
      <c r="F714" s="85"/>
      <c r="G714" s="159"/>
      <c r="H714" s="155"/>
      <c r="I714" s="164"/>
      <c r="J714" s="164"/>
      <c r="K714" s="155"/>
      <c r="L714" s="85"/>
      <c r="M714" s="96"/>
      <c r="N714" s="87"/>
      <c r="O714" s="20"/>
      <c r="P714" s="31"/>
      <c r="Q714" s="88"/>
      <c r="R714" s="88"/>
      <c r="S714" s="88"/>
      <c r="T714" s="58"/>
      <c r="U714" s="94"/>
      <c r="V714" s="93"/>
    </row>
    <row r="715" spans="1:22" s="168" customFormat="1" ht="22.500000" customHeight="1">
      <c r="A715" s="34">
        <v>713</v>
      </c>
      <c r="B715" s="34"/>
      <c r="C715" s="34"/>
      <c r="D715" s="34"/>
      <c r="E715" s="34"/>
      <c r="F715" s="85"/>
      <c r="G715" s="159"/>
      <c r="H715" s="155"/>
      <c r="I715" s="164"/>
      <c r="J715" s="164"/>
      <c r="K715" s="155"/>
      <c r="L715" s="85"/>
      <c r="M715" s="95"/>
      <c r="N715" s="87"/>
      <c r="O715" s="20"/>
      <c r="P715" s="31"/>
      <c r="Q715" s="88"/>
      <c r="R715" s="88"/>
      <c r="S715" s="88"/>
      <c r="T715" s="58"/>
      <c r="U715" s="92"/>
      <c r="V715" s="90"/>
    </row>
    <row r="716" spans="1:22" s="168" customFormat="1" ht="22.500000" customHeight="1">
      <c r="A716" s="34">
        <v>714</v>
      </c>
      <c r="B716" s="34"/>
      <c r="C716" s="34"/>
      <c r="D716" s="34"/>
      <c r="E716" s="34"/>
      <c r="F716" s="85"/>
      <c r="G716" s="159"/>
      <c r="H716" s="155"/>
      <c r="I716" s="164"/>
      <c r="J716" s="164"/>
      <c r="K716" s="155"/>
      <c r="L716" s="85"/>
      <c r="M716" s="96"/>
      <c r="N716" s="87"/>
      <c r="O716" s="20"/>
      <c r="P716" s="31"/>
      <c r="Q716" s="88"/>
      <c r="R716" s="88"/>
      <c r="S716" s="88"/>
      <c r="T716" s="58"/>
      <c r="U716" s="94"/>
      <c r="V716" s="93"/>
    </row>
    <row r="717" spans="1:22" s="168" customFormat="1" ht="22.500000" customHeight="1">
      <c r="A717" s="34">
        <v>715</v>
      </c>
      <c r="B717" s="34"/>
      <c r="C717" s="34"/>
      <c r="D717" s="34"/>
      <c r="E717" s="34"/>
      <c r="F717" s="85"/>
      <c r="G717" s="159"/>
      <c r="H717" s="155"/>
      <c r="I717" s="164"/>
      <c r="J717" s="164"/>
      <c r="K717" s="155"/>
      <c r="L717" s="85"/>
      <c r="M717" s="95"/>
      <c r="N717" s="87"/>
      <c r="O717" s="20"/>
      <c r="P717" s="31"/>
      <c r="Q717" s="88"/>
      <c r="R717" s="88"/>
      <c r="S717" s="88"/>
      <c r="T717" s="58"/>
      <c r="U717" s="92"/>
      <c r="V717" s="90"/>
    </row>
    <row r="718" spans="1:22" s="168" customFormat="1" ht="22.500000" customHeight="1">
      <c r="A718" s="34">
        <v>716</v>
      </c>
      <c r="B718" s="34"/>
      <c r="C718" s="34"/>
      <c r="D718" s="34"/>
      <c r="E718" s="34"/>
      <c r="F718" s="85"/>
      <c r="G718" s="159"/>
      <c r="H718" s="155"/>
      <c r="I718" s="164"/>
      <c r="J718" s="164"/>
      <c r="K718" s="155"/>
      <c r="L718" s="85"/>
      <c r="M718" s="96"/>
      <c r="N718" s="87"/>
      <c r="O718" s="20"/>
      <c r="P718" s="31"/>
      <c r="Q718" s="88"/>
      <c r="R718" s="88"/>
      <c r="S718" s="88"/>
      <c r="T718" s="58"/>
      <c r="U718" s="94"/>
      <c r="V718" s="93"/>
    </row>
    <row r="719" spans="1:22" s="168" customFormat="1" ht="22.500000" customHeight="1">
      <c r="A719" s="34">
        <v>717</v>
      </c>
      <c r="B719" s="34"/>
      <c r="C719" s="34"/>
      <c r="D719" s="34"/>
      <c r="E719" s="34"/>
      <c r="F719" s="85"/>
      <c r="G719" s="159"/>
      <c r="H719" s="155"/>
      <c r="I719" s="164"/>
      <c r="J719" s="164"/>
      <c r="K719" s="155"/>
      <c r="L719" s="85"/>
      <c r="M719" s="95"/>
      <c r="N719" s="87"/>
      <c r="O719" s="20"/>
      <c r="P719" s="31"/>
      <c r="Q719" s="88"/>
      <c r="R719" s="88"/>
      <c r="S719" s="88"/>
      <c r="T719" s="58"/>
      <c r="U719" s="92"/>
      <c r="V719" s="90"/>
    </row>
    <row r="720" spans="1:22" s="168" customFormat="1" ht="22.500000" customHeight="1">
      <c r="A720" s="34">
        <v>718</v>
      </c>
      <c r="B720" s="34"/>
      <c r="C720" s="34"/>
      <c r="D720" s="34"/>
      <c r="E720" s="34"/>
      <c r="F720" s="85"/>
      <c r="G720" s="159"/>
      <c r="H720" s="155"/>
      <c r="I720" s="164"/>
      <c r="J720" s="164"/>
      <c r="K720" s="155"/>
      <c r="L720" s="85"/>
      <c r="M720" s="96"/>
      <c r="N720" s="87"/>
      <c r="O720" s="20"/>
      <c r="P720" s="31"/>
      <c r="Q720" s="88"/>
      <c r="R720" s="88"/>
      <c r="S720" s="88"/>
      <c r="T720" s="58"/>
      <c r="U720" s="94"/>
      <c r="V720" s="93"/>
    </row>
    <row r="721" spans="1:22" s="168" customFormat="1" ht="22.500000" customHeight="1">
      <c r="A721" s="34">
        <v>719</v>
      </c>
      <c r="B721" s="34"/>
      <c r="C721" s="34"/>
      <c r="D721" s="34"/>
      <c r="E721" s="34"/>
      <c r="F721" s="85"/>
      <c r="G721" s="159"/>
      <c r="H721" s="155"/>
      <c r="I721" s="164"/>
      <c r="J721" s="164"/>
      <c r="K721" s="155"/>
      <c r="L721" s="85"/>
      <c r="M721" s="95"/>
      <c r="N721" s="87"/>
      <c r="O721" s="20"/>
      <c r="P721" s="31"/>
      <c r="Q721" s="88"/>
      <c r="R721" s="88"/>
      <c r="S721" s="88"/>
      <c r="T721" s="58"/>
      <c r="U721" s="92"/>
      <c r="V721" s="90"/>
    </row>
    <row r="722" spans="1:22" s="168" customFormat="1" ht="22.500000" customHeight="1">
      <c r="A722" s="34">
        <v>720</v>
      </c>
      <c r="B722" s="34"/>
      <c r="C722" s="34"/>
      <c r="D722" s="34"/>
      <c r="E722" s="34"/>
      <c r="F722" s="85"/>
      <c r="G722" s="159"/>
      <c r="H722" s="155"/>
      <c r="I722" s="164"/>
      <c r="J722" s="164"/>
      <c r="K722" s="155"/>
      <c r="L722" s="85"/>
      <c r="M722" s="96"/>
      <c r="N722" s="87"/>
      <c r="O722" s="20"/>
      <c r="P722" s="31"/>
      <c r="Q722" s="88"/>
      <c r="R722" s="88"/>
      <c r="S722" s="88"/>
      <c r="T722" s="58"/>
      <c r="U722" s="94"/>
      <c r="V722" s="93"/>
    </row>
    <row r="723" spans="1:22" s="168" customFormat="1" ht="22.500000" customHeight="1">
      <c r="A723" s="34">
        <v>721</v>
      </c>
      <c r="B723" s="34"/>
      <c r="C723" s="34"/>
      <c r="D723" s="34"/>
      <c r="E723" s="34"/>
      <c r="F723" s="85"/>
      <c r="G723" s="159"/>
      <c r="H723" s="155"/>
      <c r="I723" s="164"/>
      <c r="J723" s="164"/>
      <c r="K723" s="155"/>
      <c r="L723" s="85"/>
      <c r="M723" s="95"/>
      <c r="N723" s="87"/>
      <c r="O723" s="20"/>
      <c r="P723" s="31"/>
      <c r="Q723" s="88"/>
      <c r="R723" s="88"/>
      <c r="S723" s="88"/>
      <c r="T723" s="58"/>
      <c r="U723" s="92"/>
      <c r="V723" s="90"/>
    </row>
    <row r="724" spans="1:22" s="168" customFormat="1" ht="22.500000" customHeight="1">
      <c r="A724" s="34">
        <v>722</v>
      </c>
      <c r="B724" s="34"/>
      <c r="C724" s="34"/>
      <c r="D724" s="34"/>
      <c r="E724" s="34"/>
      <c r="F724" s="85"/>
      <c r="G724" s="159"/>
      <c r="H724" s="155"/>
      <c r="I724" s="164"/>
      <c r="J724" s="164"/>
      <c r="K724" s="155"/>
      <c r="L724" s="85"/>
      <c r="M724" s="96"/>
      <c r="N724" s="87"/>
      <c r="O724" s="20"/>
      <c r="P724" s="31"/>
      <c r="Q724" s="88"/>
      <c r="R724" s="88"/>
      <c r="S724" s="88"/>
      <c r="T724" s="58"/>
      <c r="U724" s="94"/>
      <c r="V724" s="93"/>
    </row>
    <row r="725" spans="1:22" s="168" customFormat="1" ht="22.500000" customHeight="1">
      <c r="A725" s="34">
        <v>723</v>
      </c>
      <c r="B725" s="34"/>
      <c r="C725" s="34"/>
      <c r="D725" s="34"/>
      <c r="E725" s="34"/>
      <c r="F725" s="85"/>
      <c r="G725" s="159"/>
      <c r="H725" s="155"/>
      <c r="I725" s="164"/>
      <c r="J725" s="164"/>
      <c r="K725" s="155"/>
      <c r="L725" s="85"/>
      <c r="M725" s="95"/>
      <c r="N725" s="87"/>
      <c r="O725" s="20"/>
      <c r="P725" s="31"/>
      <c r="Q725" s="88"/>
      <c r="R725" s="88"/>
      <c r="S725" s="88"/>
      <c r="T725" s="58"/>
      <c r="U725" s="92"/>
      <c r="V725" s="90"/>
    </row>
    <row r="726" spans="1:22" s="168" customFormat="1" ht="22.500000" customHeight="1">
      <c r="A726" s="34">
        <v>724</v>
      </c>
      <c r="B726" s="34"/>
      <c r="C726" s="34"/>
      <c r="D726" s="34"/>
      <c r="E726" s="34"/>
      <c r="F726" s="85"/>
      <c r="G726" s="159"/>
      <c r="H726" s="155"/>
      <c r="I726" s="164"/>
      <c r="J726" s="164"/>
      <c r="K726" s="155"/>
      <c r="L726" s="85"/>
      <c r="M726" s="96"/>
      <c r="N726" s="87"/>
      <c r="O726" s="20"/>
      <c r="P726" s="31"/>
      <c r="Q726" s="88"/>
      <c r="R726" s="88"/>
      <c r="S726" s="88"/>
      <c r="T726" s="58"/>
      <c r="U726" s="94"/>
      <c r="V726" s="93"/>
    </row>
    <row r="727" spans="1:22" s="168" customFormat="1" ht="22.500000" customHeight="1">
      <c r="A727" s="34">
        <v>725</v>
      </c>
      <c r="B727" s="34"/>
      <c r="C727" s="34"/>
      <c r="D727" s="34"/>
      <c r="E727" s="34"/>
      <c r="F727" s="85"/>
      <c r="G727" s="159"/>
      <c r="H727" s="155"/>
      <c r="I727" s="164"/>
      <c r="J727" s="164"/>
      <c r="K727" s="155"/>
      <c r="L727" s="85"/>
      <c r="M727" s="95"/>
      <c r="N727" s="87"/>
      <c r="O727" s="20"/>
      <c r="P727" s="31"/>
      <c r="Q727" s="88"/>
      <c r="R727" s="88"/>
      <c r="S727" s="88"/>
      <c r="T727" s="58"/>
      <c r="U727" s="92"/>
      <c r="V727" s="90"/>
    </row>
    <row r="728" spans="1:22" s="168" customFormat="1" ht="22.500000" customHeight="1">
      <c r="A728" s="34">
        <v>726</v>
      </c>
      <c r="B728" s="34"/>
      <c r="C728" s="34"/>
      <c r="D728" s="34"/>
      <c r="E728" s="34"/>
      <c r="F728" s="85"/>
      <c r="G728" s="159"/>
      <c r="H728" s="155"/>
      <c r="I728" s="164"/>
      <c r="J728" s="164"/>
      <c r="K728" s="155"/>
      <c r="L728" s="85"/>
      <c r="M728" s="96"/>
      <c r="N728" s="87"/>
      <c r="O728" s="20"/>
      <c r="P728" s="31"/>
      <c r="Q728" s="88"/>
      <c r="R728" s="88"/>
      <c r="S728" s="88"/>
      <c r="T728" s="58"/>
      <c r="U728" s="94"/>
      <c r="V728" s="93"/>
    </row>
    <row r="729" spans="1:22" s="168" customFormat="1" ht="22.500000" customHeight="1">
      <c r="A729" s="34">
        <v>727</v>
      </c>
      <c r="B729" s="34"/>
      <c r="C729" s="34"/>
      <c r="D729" s="34"/>
      <c r="E729" s="34"/>
      <c r="F729" s="85"/>
      <c r="G729" s="159"/>
      <c r="H729" s="155"/>
      <c r="I729" s="164"/>
      <c r="J729" s="164"/>
      <c r="K729" s="155"/>
      <c r="L729" s="85"/>
      <c r="M729" s="95"/>
      <c r="N729" s="87"/>
      <c r="O729" s="20"/>
      <c r="P729" s="31"/>
      <c r="Q729" s="88"/>
      <c r="R729" s="88"/>
      <c r="S729" s="88"/>
      <c r="T729" s="58"/>
      <c r="U729" s="92"/>
      <c r="V729" s="90"/>
    </row>
    <row r="730" spans="1:22" s="168" customFormat="1" ht="22.500000" customHeight="1">
      <c r="A730" s="34">
        <v>728</v>
      </c>
      <c r="B730" s="34"/>
      <c r="C730" s="34"/>
      <c r="D730" s="34"/>
      <c r="E730" s="34"/>
      <c r="F730" s="85"/>
      <c r="G730" s="159"/>
      <c r="H730" s="155"/>
      <c r="I730" s="164"/>
      <c r="J730" s="164"/>
      <c r="K730" s="155"/>
      <c r="L730" s="85"/>
      <c r="M730" s="96"/>
      <c r="N730" s="87"/>
      <c r="O730" s="20"/>
      <c r="P730" s="31"/>
      <c r="Q730" s="88"/>
      <c r="R730" s="88"/>
      <c r="S730" s="88"/>
      <c r="T730" s="58"/>
      <c r="U730" s="94"/>
      <c r="V730" s="93"/>
    </row>
    <row r="731" spans="1:22" s="168" customFormat="1" ht="22.500000" customHeight="1">
      <c r="A731" s="34">
        <v>729</v>
      </c>
      <c r="B731" s="34"/>
      <c r="C731" s="34"/>
      <c r="D731" s="34"/>
      <c r="E731" s="34"/>
      <c r="F731" s="85"/>
      <c r="G731" s="159"/>
      <c r="H731" s="155"/>
      <c r="I731" s="164"/>
      <c r="J731" s="164"/>
      <c r="K731" s="155"/>
      <c r="L731" s="85"/>
      <c r="M731" s="95"/>
      <c r="N731" s="87"/>
      <c r="O731" s="20"/>
      <c r="P731" s="31"/>
      <c r="Q731" s="88"/>
      <c r="R731" s="88"/>
      <c r="S731" s="88"/>
      <c r="T731" s="58"/>
      <c r="U731" s="92"/>
      <c r="V731" s="90"/>
    </row>
    <row r="732" spans="1:22" s="168" customFormat="1" ht="22.500000" customHeight="1">
      <c r="A732" s="34">
        <v>730</v>
      </c>
      <c r="B732" s="34"/>
      <c r="C732" s="34"/>
      <c r="D732" s="34"/>
      <c r="E732" s="34"/>
      <c r="F732" s="85"/>
      <c r="G732" s="159"/>
      <c r="H732" s="155"/>
      <c r="I732" s="164"/>
      <c r="J732" s="164"/>
      <c r="K732" s="155"/>
      <c r="L732" s="85"/>
      <c r="M732" s="96"/>
      <c r="N732" s="87"/>
      <c r="O732" s="20"/>
      <c r="P732" s="31"/>
      <c r="Q732" s="88"/>
      <c r="R732" s="88"/>
      <c r="S732" s="88"/>
      <c r="T732" s="58"/>
      <c r="U732" s="94"/>
      <c r="V732" s="93"/>
    </row>
    <row r="733" spans="1:22" s="168" customFormat="1" ht="22.500000" customHeight="1">
      <c r="A733" s="34">
        <v>731</v>
      </c>
      <c r="B733" s="34"/>
      <c r="C733" s="34"/>
      <c r="D733" s="34"/>
      <c r="E733" s="34"/>
      <c r="F733" s="85"/>
      <c r="G733" s="159"/>
      <c r="H733" s="155"/>
      <c r="I733" s="164"/>
      <c r="J733" s="164"/>
      <c r="K733" s="155"/>
      <c r="L733" s="85"/>
      <c r="M733" s="95"/>
      <c r="N733" s="87"/>
      <c r="O733" s="20"/>
      <c r="P733" s="31"/>
      <c r="Q733" s="88"/>
      <c r="R733" s="88"/>
      <c r="S733" s="88"/>
      <c r="T733" s="58"/>
      <c r="U733" s="92"/>
      <c r="V733" s="90"/>
    </row>
    <row r="734" spans="1:22" s="168" customFormat="1" ht="22.500000" customHeight="1">
      <c r="A734" s="34">
        <v>732</v>
      </c>
      <c r="B734" s="34"/>
      <c r="C734" s="34"/>
      <c r="D734" s="34"/>
      <c r="E734" s="34"/>
      <c r="F734" s="85"/>
      <c r="G734" s="159"/>
      <c r="H734" s="155"/>
      <c r="I734" s="164"/>
      <c r="J734" s="164"/>
      <c r="K734" s="155"/>
      <c r="L734" s="85"/>
      <c r="M734" s="96"/>
      <c r="N734" s="87"/>
      <c r="O734" s="20"/>
      <c r="P734" s="31"/>
      <c r="Q734" s="88"/>
      <c r="R734" s="88"/>
      <c r="S734" s="88"/>
      <c r="T734" s="58"/>
      <c r="U734" s="94"/>
      <c r="V734" s="93"/>
    </row>
    <row r="735" spans="1:22" s="168" customFormat="1" ht="22.500000" customHeight="1">
      <c r="A735" s="34">
        <v>733</v>
      </c>
      <c r="B735" s="34"/>
      <c r="C735" s="34"/>
      <c r="D735" s="34"/>
      <c r="E735" s="34"/>
      <c r="F735" s="85"/>
      <c r="G735" s="159"/>
      <c r="H735" s="155"/>
      <c r="I735" s="164"/>
      <c r="J735" s="164"/>
      <c r="K735" s="155"/>
      <c r="L735" s="85"/>
      <c r="M735" s="95"/>
      <c r="N735" s="87"/>
      <c r="O735" s="20"/>
      <c r="P735" s="31"/>
      <c r="Q735" s="88"/>
      <c r="R735" s="88"/>
      <c r="S735" s="88"/>
      <c r="T735" s="58"/>
      <c r="U735" s="92"/>
      <c r="V735" s="90"/>
    </row>
    <row r="736" spans="1:22" s="168" customFormat="1" ht="22.500000" customHeight="1">
      <c r="A736" s="34">
        <v>734</v>
      </c>
      <c r="B736" s="34"/>
      <c r="C736" s="34"/>
      <c r="D736" s="34"/>
      <c r="E736" s="34"/>
      <c r="F736" s="85"/>
      <c r="G736" s="159"/>
      <c r="H736" s="155"/>
      <c r="I736" s="164"/>
      <c r="J736" s="164"/>
      <c r="K736" s="155"/>
      <c r="L736" s="85"/>
      <c r="M736" s="96"/>
      <c r="N736" s="87"/>
      <c r="O736" s="20"/>
      <c r="P736" s="31"/>
      <c r="Q736" s="88"/>
      <c r="R736" s="88"/>
      <c r="S736" s="88"/>
      <c r="T736" s="58"/>
      <c r="U736" s="94"/>
      <c r="V736" s="93"/>
    </row>
    <row r="737" spans="1:22" s="168" customFormat="1" ht="22.500000" customHeight="1">
      <c r="A737" s="34">
        <v>735</v>
      </c>
      <c r="B737" s="34"/>
      <c r="C737" s="34"/>
      <c r="D737" s="34"/>
      <c r="E737" s="34"/>
      <c r="F737" s="85"/>
      <c r="G737" s="159"/>
      <c r="H737" s="155"/>
      <c r="I737" s="164"/>
      <c r="J737" s="164"/>
      <c r="K737" s="155"/>
      <c r="L737" s="85"/>
      <c r="M737" s="95"/>
      <c r="N737" s="87"/>
      <c r="O737" s="20"/>
      <c r="P737" s="31"/>
      <c r="Q737" s="88"/>
      <c r="R737" s="88"/>
      <c r="S737" s="88"/>
      <c r="T737" s="58"/>
      <c r="U737" s="92"/>
      <c r="V737" s="90"/>
    </row>
    <row r="738" spans="1:22" s="168" customFormat="1" ht="22.500000" customHeight="1">
      <c r="A738" s="34">
        <v>736</v>
      </c>
      <c r="B738" s="34"/>
      <c r="C738" s="34"/>
      <c r="D738" s="34"/>
      <c r="E738" s="34"/>
      <c r="F738" s="85"/>
      <c r="G738" s="159"/>
      <c r="H738" s="155"/>
      <c r="I738" s="164"/>
      <c r="J738" s="164"/>
      <c r="K738" s="155"/>
      <c r="L738" s="85"/>
      <c r="M738" s="96"/>
      <c r="N738" s="87"/>
      <c r="O738" s="20"/>
      <c r="P738" s="31"/>
      <c r="Q738" s="88"/>
      <c r="R738" s="88"/>
      <c r="S738" s="88"/>
      <c r="T738" s="58"/>
      <c r="U738" s="94"/>
      <c r="V738" s="93"/>
    </row>
    <row r="739" spans="1:22" s="168" customFormat="1" ht="22.500000" customHeight="1">
      <c r="A739" s="34">
        <v>737</v>
      </c>
      <c r="B739" s="34"/>
      <c r="C739" s="34"/>
      <c r="D739" s="34"/>
      <c r="E739" s="34"/>
      <c r="F739" s="85"/>
      <c r="G739" s="159"/>
      <c r="H739" s="155"/>
      <c r="I739" s="164"/>
      <c r="J739" s="164"/>
      <c r="K739" s="155"/>
      <c r="L739" s="85"/>
      <c r="M739" s="95"/>
      <c r="N739" s="87"/>
      <c r="O739" s="20"/>
      <c r="P739" s="31"/>
      <c r="Q739" s="88"/>
      <c r="R739" s="88"/>
      <c r="S739" s="88"/>
      <c r="T739" s="58"/>
      <c r="U739" s="92"/>
      <c r="V739" s="90"/>
    </row>
    <row r="740" spans="1:22" s="168" customFormat="1" ht="22.500000" customHeight="1">
      <c r="A740" s="34">
        <v>738</v>
      </c>
      <c r="B740" s="34"/>
      <c r="C740" s="34"/>
      <c r="D740" s="34"/>
      <c r="E740" s="34"/>
      <c r="F740" s="85"/>
      <c r="G740" s="159"/>
      <c r="H740" s="155"/>
      <c r="I740" s="164"/>
      <c r="J740" s="164"/>
      <c r="K740" s="155"/>
      <c r="L740" s="85"/>
      <c r="M740" s="96"/>
      <c r="N740" s="87"/>
      <c r="O740" s="20"/>
      <c r="P740" s="31"/>
      <c r="Q740" s="88"/>
      <c r="R740" s="88"/>
      <c r="S740" s="88"/>
      <c r="T740" s="58"/>
      <c r="U740" s="94"/>
      <c r="V740" s="93"/>
    </row>
    <row r="741" spans="1:22" s="168" customFormat="1" ht="22.500000" customHeight="1">
      <c r="A741" s="34">
        <v>739</v>
      </c>
      <c r="B741" s="34"/>
      <c r="C741" s="34"/>
      <c r="D741" s="34"/>
      <c r="E741" s="34"/>
      <c r="F741" s="85"/>
      <c r="G741" s="159"/>
      <c r="H741" s="155"/>
      <c r="I741" s="164"/>
      <c r="J741" s="164"/>
      <c r="K741" s="155"/>
      <c r="L741" s="85"/>
      <c r="M741" s="95"/>
      <c r="N741" s="87"/>
      <c r="O741" s="20"/>
      <c r="P741" s="31"/>
      <c r="Q741" s="88"/>
      <c r="R741" s="88"/>
      <c r="S741" s="88"/>
      <c r="T741" s="58"/>
      <c r="U741" s="92"/>
      <c r="V741" s="90"/>
    </row>
    <row r="742" spans="1:22" s="168" customFormat="1" ht="22.500000" customHeight="1">
      <c r="A742" s="34">
        <v>740</v>
      </c>
      <c r="B742" s="34"/>
      <c r="C742" s="34"/>
      <c r="D742" s="34"/>
      <c r="E742" s="34"/>
      <c r="F742" s="85"/>
      <c r="G742" s="159"/>
      <c r="H742" s="155"/>
      <c r="I742" s="164"/>
      <c r="J742" s="164"/>
      <c r="K742" s="155"/>
      <c r="L742" s="85"/>
      <c r="M742" s="96"/>
      <c r="N742" s="87"/>
      <c r="O742" s="20"/>
      <c r="P742" s="31"/>
      <c r="Q742" s="88"/>
      <c r="R742" s="88"/>
      <c r="S742" s="88"/>
      <c r="T742" s="58"/>
      <c r="U742" s="94"/>
      <c r="V742" s="93"/>
    </row>
    <row r="743" spans="1:22" s="168" customFormat="1" ht="22.500000" customHeight="1">
      <c r="A743" s="34">
        <v>741</v>
      </c>
      <c r="B743" s="34"/>
      <c r="C743" s="34"/>
      <c r="D743" s="34"/>
      <c r="E743" s="34"/>
      <c r="F743" s="85"/>
      <c r="G743" s="159"/>
      <c r="H743" s="155"/>
      <c r="I743" s="164"/>
      <c r="J743" s="164"/>
      <c r="K743" s="155"/>
      <c r="L743" s="85"/>
      <c r="M743" s="95"/>
      <c r="N743" s="87"/>
      <c r="O743" s="20"/>
      <c r="P743" s="31"/>
      <c r="Q743" s="88"/>
      <c r="R743" s="88"/>
      <c r="S743" s="88"/>
      <c r="T743" s="58"/>
      <c r="U743" s="92"/>
      <c r="V743" s="90"/>
    </row>
    <row r="744" spans="1:22" s="168" customFormat="1" ht="22.500000" customHeight="1">
      <c r="A744" s="34">
        <v>742</v>
      </c>
      <c r="B744" s="34"/>
      <c r="C744" s="34"/>
      <c r="D744" s="34"/>
      <c r="E744" s="34"/>
      <c r="F744" s="85"/>
      <c r="G744" s="159"/>
      <c r="H744" s="155"/>
      <c r="I744" s="164"/>
      <c r="J744" s="164"/>
      <c r="K744" s="155"/>
      <c r="L744" s="85"/>
      <c r="M744" s="96"/>
      <c r="N744" s="87"/>
      <c r="O744" s="20"/>
      <c r="P744" s="31"/>
      <c r="Q744" s="88"/>
      <c r="R744" s="88"/>
      <c r="S744" s="88"/>
      <c r="T744" s="58"/>
      <c r="U744" s="94"/>
      <c r="V744" s="93"/>
    </row>
    <row r="745" spans="1:22" s="168" customFormat="1" ht="22.500000" customHeight="1">
      <c r="A745" s="34">
        <v>743</v>
      </c>
      <c r="B745" s="34"/>
      <c r="C745" s="34"/>
      <c r="D745" s="34"/>
      <c r="E745" s="34"/>
      <c r="F745" s="85"/>
      <c r="G745" s="159"/>
      <c r="H745" s="155"/>
      <c r="I745" s="164"/>
      <c r="J745" s="164"/>
      <c r="K745" s="155"/>
      <c r="L745" s="85"/>
      <c r="M745" s="95"/>
      <c r="N745" s="87"/>
      <c r="O745" s="20"/>
      <c r="P745" s="31"/>
      <c r="Q745" s="88"/>
      <c r="R745" s="88"/>
      <c r="S745" s="88"/>
      <c r="T745" s="58"/>
      <c r="U745" s="92"/>
      <c r="V745" s="90"/>
    </row>
    <row r="746" spans="1:22" s="168" customFormat="1" ht="22.500000" customHeight="1">
      <c r="A746" s="34">
        <v>744</v>
      </c>
      <c r="B746" s="34"/>
      <c r="C746" s="34"/>
      <c r="D746" s="34"/>
      <c r="E746" s="34"/>
      <c r="F746" s="85"/>
      <c r="G746" s="159"/>
      <c r="H746" s="155"/>
      <c r="I746" s="164"/>
      <c r="J746" s="164"/>
      <c r="K746" s="155"/>
      <c r="L746" s="85"/>
      <c r="M746" s="96"/>
      <c r="N746" s="87"/>
      <c r="O746" s="20"/>
      <c r="P746" s="31"/>
      <c r="Q746" s="88"/>
      <c r="R746" s="88"/>
      <c r="S746" s="88"/>
      <c r="T746" s="58"/>
      <c r="U746" s="94"/>
      <c r="V746" s="93"/>
    </row>
    <row r="747" spans="1:22" s="168" customFormat="1" ht="22.500000" customHeight="1">
      <c r="A747" s="34">
        <v>745</v>
      </c>
      <c r="B747" s="34"/>
      <c r="C747" s="34"/>
      <c r="D747" s="34"/>
      <c r="E747" s="34"/>
      <c r="F747" s="85"/>
      <c r="G747" s="159"/>
      <c r="H747" s="155"/>
      <c r="I747" s="164"/>
      <c r="J747" s="164"/>
      <c r="K747" s="155"/>
      <c r="L747" s="85"/>
      <c r="M747" s="95"/>
      <c r="N747" s="87"/>
      <c r="O747" s="20"/>
      <c r="P747" s="31"/>
      <c r="Q747" s="88"/>
      <c r="R747" s="88"/>
      <c r="S747" s="88"/>
      <c r="T747" s="58"/>
      <c r="U747" s="92"/>
      <c r="V747" s="90"/>
    </row>
    <row r="748" spans="1:22" s="168" customFormat="1" ht="22.500000" customHeight="1">
      <c r="A748" s="34">
        <v>746</v>
      </c>
      <c r="B748" s="34"/>
      <c r="C748" s="34"/>
      <c r="D748" s="34"/>
      <c r="E748" s="34"/>
      <c r="F748" s="85"/>
      <c r="G748" s="159"/>
      <c r="H748" s="155"/>
      <c r="I748" s="164"/>
      <c r="J748" s="164"/>
      <c r="K748" s="155"/>
      <c r="L748" s="85"/>
      <c r="M748" s="96"/>
      <c r="N748" s="87"/>
      <c r="O748" s="20"/>
      <c r="P748" s="31"/>
      <c r="Q748" s="88"/>
      <c r="R748" s="88"/>
      <c r="S748" s="88"/>
      <c r="T748" s="58"/>
      <c r="U748" s="94"/>
      <c r="V748" s="93"/>
    </row>
    <row r="749" spans="1:22" s="168" customFormat="1" ht="22.500000" customHeight="1">
      <c r="A749" s="34">
        <v>747</v>
      </c>
      <c r="B749" s="34"/>
      <c r="C749" s="34"/>
      <c r="D749" s="34"/>
      <c r="E749" s="34"/>
      <c r="F749" s="85"/>
      <c r="G749" s="159"/>
      <c r="H749" s="155"/>
      <c r="I749" s="164"/>
      <c r="J749" s="164"/>
      <c r="K749" s="155"/>
      <c r="L749" s="85"/>
      <c r="M749" s="95"/>
      <c r="N749" s="87"/>
      <c r="O749" s="20"/>
      <c r="P749" s="31"/>
      <c r="Q749" s="88"/>
      <c r="R749" s="88"/>
      <c r="S749" s="88"/>
      <c r="T749" s="58"/>
      <c r="U749" s="92"/>
      <c r="V749" s="90"/>
    </row>
    <row r="750" spans="1:22" s="168" customFormat="1" ht="22.500000" customHeight="1">
      <c r="A750" s="34">
        <v>748</v>
      </c>
      <c r="B750" s="34"/>
      <c r="C750" s="34"/>
      <c r="D750" s="34"/>
      <c r="E750" s="34"/>
      <c r="F750" s="85"/>
      <c r="G750" s="159"/>
      <c r="H750" s="155"/>
      <c r="I750" s="164"/>
      <c r="J750" s="164"/>
      <c r="K750" s="155"/>
      <c r="L750" s="85"/>
      <c r="M750" s="96"/>
      <c r="N750" s="87"/>
      <c r="O750" s="20"/>
      <c r="P750" s="31"/>
      <c r="Q750" s="88"/>
      <c r="R750" s="88"/>
      <c r="S750" s="88"/>
      <c r="T750" s="58"/>
      <c r="U750" s="94"/>
      <c r="V750" s="93"/>
    </row>
    <row r="751" spans="1:22" s="168" customFormat="1" ht="22.500000" customHeight="1">
      <c r="A751" s="34">
        <v>749</v>
      </c>
      <c r="B751" s="34"/>
      <c r="C751" s="34"/>
      <c r="D751" s="34"/>
      <c r="E751" s="34"/>
      <c r="F751" s="85"/>
      <c r="G751" s="159"/>
      <c r="H751" s="155"/>
      <c r="I751" s="164"/>
      <c r="J751" s="164"/>
      <c r="K751" s="155"/>
      <c r="L751" s="85"/>
      <c r="M751" s="95"/>
      <c r="N751" s="87"/>
      <c r="O751" s="20"/>
      <c r="P751" s="31"/>
      <c r="Q751" s="88"/>
      <c r="R751" s="88"/>
      <c r="S751" s="88"/>
      <c r="T751" s="58"/>
      <c r="U751" s="92"/>
      <c r="V751" s="90"/>
    </row>
    <row r="752" spans="1:22" s="168" customFormat="1" ht="22.500000" customHeight="1">
      <c r="A752" s="34">
        <v>750</v>
      </c>
      <c r="B752" s="34"/>
      <c r="C752" s="34"/>
      <c r="D752" s="34"/>
      <c r="E752" s="34"/>
      <c r="F752" s="85"/>
      <c r="G752" s="159"/>
      <c r="H752" s="155"/>
      <c r="I752" s="164"/>
      <c r="J752" s="164"/>
      <c r="K752" s="155"/>
      <c r="L752" s="85"/>
      <c r="M752" s="96"/>
      <c r="N752" s="87"/>
      <c r="O752" s="20"/>
      <c r="P752" s="31"/>
      <c r="Q752" s="88"/>
      <c r="R752" s="88"/>
      <c r="S752" s="88"/>
      <c r="T752" s="58"/>
      <c r="U752" s="94"/>
      <c r="V752" s="93"/>
    </row>
    <row r="753" spans="1:22" s="168" customFormat="1" ht="22.500000" customHeight="1">
      <c r="A753" s="34">
        <v>751</v>
      </c>
      <c r="B753" s="34"/>
      <c r="C753" s="34"/>
      <c r="D753" s="34"/>
      <c r="E753" s="34"/>
      <c r="F753" s="85"/>
      <c r="G753" s="159"/>
      <c r="H753" s="155"/>
      <c r="I753" s="164"/>
      <c r="J753" s="164"/>
      <c r="K753" s="155"/>
      <c r="L753" s="85"/>
      <c r="M753" s="95"/>
      <c r="N753" s="87"/>
      <c r="O753" s="20"/>
      <c r="P753" s="31"/>
      <c r="Q753" s="88"/>
      <c r="R753" s="88"/>
      <c r="S753" s="88"/>
      <c r="T753" s="58"/>
      <c r="U753" s="92"/>
      <c r="V753" s="90"/>
    </row>
    <row r="754" spans="1:22" s="168" customFormat="1" ht="22.500000" customHeight="1">
      <c r="A754" s="34">
        <v>752</v>
      </c>
      <c r="B754" s="34"/>
      <c r="C754" s="34"/>
      <c r="D754" s="34"/>
      <c r="E754" s="34"/>
      <c r="F754" s="85"/>
      <c r="G754" s="159"/>
      <c r="H754" s="155"/>
      <c r="I754" s="164"/>
      <c r="J754" s="164"/>
      <c r="K754" s="155"/>
      <c r="L754" s="85"/>
      <c r="M754" s="96"/>
      <c r="N754" s="87"/>
      <c r="O754" s="20"/>
      <c r="P754" s="31"/>
      <c r="Q754" s="88"/>
      <c r="R754" s="88"/>
      <c r="S754" s="88"/>
      <c r="T754" s="58"/>
      <c r="U754" s="94"/>
      <c r="V754" s="93"/>
    </row>
    <row r="755" spans="1:22" s="168" customFormat="1" ht="22.500000" customHeight="1">
      <c r="A755" s="34">
        <v>753</v>
      </c>
      <c r="B755" s="34"/>
      <c r="C755" s="34"/>
      <c r="D755" s="34"/>
      <c r="E755" s="34"/>
      <c r="F755" s="85"/>
      <c r="G755" s="159"/>
      <c r="H755" s="155"/>
      <c r="I755" s="164"/>
      <c r="J755" s="164"/>
      <c r="K755" s="155"/>
      <c r="L755" s="85"/>
      <c r="M755" s="95"/>
      <c r="N755" s="87"/>
      <c r="O755" s="20"/>
      <c r="P755" s="31"/>
      <c r="Q755" s="88"/>
      <c r="R755" s="88"/>
      <c r="S755" s="88"/>
      <c r="T755" s="58"/>
      <c r="U755" s="92"/>
      <c r="V755" s="90"/>
    </row>
    <row r="756" spans="1:22" s="168" customFormat="1" ht="22.500000" customHeight="1">
      <c r="A756" s="34">
        <v>754</v>
      </c>
      <c r="B756" s="34"/>
      <c r="C756" s="34"/>
      <c r="D756" s="34"/>
      <c r="E756" s="34"/>
      <c r="F756" s="85"/>
      <c r="G756" s="159"/>
      <c r="H756" s="155"/>
      <c r="I756" s="164"/>
      <c r="J756" s="164"/>
      <c r="K756" s="155"/>
      <c r="L756" s="85"/>
      <c r="M756" s="96"/>
      <c r="N756" s="87"/>
      <c r="O756" s="20"/>
      <c r="P756" s="31"/>
      <c r="Q756" s="88"/>
      <c r="R756" s="88"/>
      <c r="S756" s="88"/>
      <c r="T756" s="58"/>
      <c r="U756" s="94"/>
      <c r="V756" s="93"/>
    </row>
    <row r="757" spans="1:22" s="168" customFormat="1" ht="22.500000" customHeight="1">
      <c r="A757" s="34">
        <v>755</v>
      </c>
      <c r="B757" s="34"/>
      <c r="C757" s="34"/>
      <c r="D757" s="34"/>
      <c r="E757" s="34"/>
      <c r="F757" s="85"/>
      <c r="G757" s="159"/>
      <c r="H757" s="155"/>
      <c r="I757" s="164"/>
      <c r="J757" s="164"/>
      <c r="K757" s="155"/>
      <c r="L757" s="85"/>
      <c r="M757" s="95"/>
      <c r="N757" s="87"/>
      <c r="O757" s="20"/>
      <c r="P757" s="31"/>
      <c r="Q757" s="88"/>
      <c r="R757" s="88"/>
      <c r="S757" s="88"/>
      <c r="T757" s="58"/>
      <c r="U757" s="92"/>
      <c r="V757" s="90"/>
    </row>
    <row r="758" spans="1:22" s="168" customFormat="1" ht="22.500000" customHeight="1">
      <c r="A758" s="34">
        <v>756</v>
      </c>
      <c r="B758" s="34"/>
      <c r="C758" s="34"/>
      <c r="D758" s="34"/>
      <c r="E758" s="34"/>
      <c r="F758" s="85"/>
      <c r="G758" s="159"/>
      <c r="H758" s="155"/>
      <c r="I758" s="164"/>
      <c r="J758" s="164"/>
      <c r="K758" s="155"/>
      <c r="L758" s="85"/>
      <c r="M758" s="96"/>
      <c r="N758" s="87"/>
      <c r="O758" s="20"/>
      <c r="P758" s="31"/>
      <c r="Q758" s="88"/>
      <c r="R758" s="88"/>
      <c r="S758" s="88"/>
      <c r="T758" s="58"/>
      <c r="U758" s="94"/>
      <c r="V758" s="93"/>
    </row>
    <row r="759" spans="1:22" s="168" customFormat="1" ht="22.500000" customHeight="1">
      <c r="A759" s="34">
        <v>757</v>
      </c>
      <c r="B759" s="34"/>
      <c r="C759" s="34"/>
      <c r="D759" s="34"/>
      <c r="E759" s="34"/>
      <c r="F759" s="85"/>
      <c r="G759" s="159"/>
      <c r="H759" s="155"/>
      <c r="I759" s="164"/>
      <c r="J759" s="164"/>
      <c r="K759" s="155"/>
      <c r="L759" s="85"/>
      <c r="M759" s="95"/>
      <c r="N759" s="87"/>
      <c r="O759" s="20"/>
      <c r="P759" s="31"/>
      <c r="Q759" s="88"/>
      <c r="R759" s="88"/>
      <c r="S759" s="88"/>
      <c r="T759" s="58"/>
      <c r="U759" s="92"/>
      <c r="V759" s="90"/>
    </row>
    <row r="760" spans="1:22" s="168" customFormat="1" ht="22.500000" customHeight="1">
      <c r="A760" s="34">
        <v>758</v>
      </c>
      <c r="B760" s="34"/>
      <c r="C760" s="34"/>
      <c r="D760" s="34"/>
      <c r="E760" s="34"/>
      <c r="F760" s="85"/>
      <c r="G760" s="159"/>
      <c r="H760" s="155"/>
      <c r="I760" s="164"/>
      <c r="J760" s="164"/>
      <c r="K760" s="155"/>
      <c r="L760" s="85"/>
      <c r="M760" s="96"/>
      <c r="N760" s="87"/>
      <c r="O760" s="20"/>
      <c r="P760" s="31"/>
      <c r="Q760" s="88"/>
      <c r="R760" s="88"/>
      <c r="S760" s="88"/>
      <c r="T760" s="58"/>
      <c r="U760" s="94"/>
      <c r="V760" s="93"/>
    </row>
    <row r="761" spans="1:22" s="168" customFormat="1" ht="22.500000" customHeight="1">
      <c r="A761" s="34">
        <v>759</v>
      </c>
      <c r="B761" s="34"/>
      <c r="C761" s="34"/>
      <c r="D761" s="34"/>
      <c r="E761" s="34"/>
      <c r="F761" s="85"/>
      <c r="G761" s="159"/>
      <c r="H761" s="155"/>
      <c r="I761" s="164"/>
      <c r="J761" s="164"/>
      <c r="K761" s="155"/>
      <c r="L761" s="85"/>
      <c r="M761" s="95"/>
      <c r="N761" s="87"/>
      <c r="O761" s="20"/>
      <c r="P761" s="31"/>
      <c r="Q761" s="88"/>
      <c r="R761" s="88"/>
      <c r="S761" s="88"/>
      <c r="T761" s="58"/>
      <c r="U761" s="92"/>
      <c r="V761" s="90"/>
    </row>
    <row r="762" spans="1:22" s="168" customFormat="1" ht="22.500000" customHeight="1">
      <c r="A762" s="34">
        <v>760</v>
      </c>
      <c r="B762" s="34"/>
      <c r="C762" s="34"/>
      <c r="D762" s="34"/>
      <c r="E762" s="34"/>
      <c r="F762" s="85"/>
      <c r="G762" s="159"/>
      <c r="H762" s="155"/>
      <c r="I762" s="164"/>
      <c r="J762" s="164"/>
      <c r="K762" s="155"/>
      <c r="L762" s="85"/>
      <c r="M762" s="96"/>
      <c r="N762" s="87"/>
      <c r="O762" s="20"/>
      <c r="P762" s="31"/>
      <c r="Q762" s="88"/>
      <c r="R762" s="88"/>
      <c r="S762" s="88"/>
      <c r="T762" s="58"/>
      <c r="U762" s="94"/>
      <c r="V762" s="93"/>
    </row>
    <row r="763" spans="1:22" s="168" customFormat="1" ht="22.500000" customHeight="1">
      <c r="A763" s="34">
        <v>761</v>
      </c>
      <c r="B763" s="34"/>
      <c r="C763" s="34"/>
      <c r="D763" s="34"/>
      <c r="E763" s="34"/>
      <c r="F763" s="85"/>
      <c r="G763" s="159"/>
      <c r="H763" s="155"/>
      <c r="I763" s="164"/>
      <c r="J763" s="164"/>
      <c r="K763" s="155"/>
      <c r="L763" s="85"/>
      <c r="M763" s="95"/>
      <c r="N763" s="87"/>
      <c r="O763" s="20"/>
      <c r="P763" s="31"/>
      <c r="Q763" s="88"/>
      <c r="R763" s="88"/>
      <c r="S763" s="88"/>
      <c r="T763" s="58"/>
      <c r="U763" s="92"/>
      <c r="V763" s="90"/>
    </row>
    <row r="764" spans="1:22" s="168" customFormat="1" ht="22.500000" customHeight="1">
      <c r="A764" s="34">
        <v>762</v>
      </c>
      <c r="B764" s="34"/>
      <c r="C764" s="34"/>
      <c r="D764" s="34"/>
      <c r="E764" s="34"/>
      <c r="F764" s="85"/>
      <c r="G764" s="159"/>
      <c r="H764" s="155"/>
      <c r="I764" s="164"/>
      <c r="J764" s="164"/>
      <c r="K764" s="155"/>
      <c r="L764" s="85"/>
      <c r="M764" s="96"/>
      <c r="N764" s="87"/>
      <c r="O764" s="20"/>
      <c r="P764" s="31"/>
      <c r="Q764" s="88"/>
      <c r="R764" s="88"/>
      <c r="S764" s="88"/>
      <c r="T764" s="58"/>
      <c r="U764" s="94"/>
      <c r="V764" s="93"/>
    </row>
    <row r="765" spans="1:22" s="168" customFormat="1" ht="22.500000" customHeight="1">
      <c r="A765" s="34">
        <v>763</v>
      </c>
      <c r="B765" s="34"/>
      <c r="C765" s="34"/>
      <c r="D765" s="34"/>
      <c r="E765" s="34"/>
      <c r="F765" s="85"/>
      <c r="G765" s="159"/>
      <c r="H765" s="155"/>
      <c r="I765" s="164"/>
      <c r="J765" s="164"/>
      <c r="K765" s="155"/>
      <c r="L765" s="85"/>
      <c r="M765" s="95"/>
      <c r="N765" s="87"/>
      <c r="O765" s="20"/>
      <c r="P765" s="31"/>
      <c r="Q765" s="88"/>
      <c r="R765" s="88"/>
      <c r="S765" s="88"/>
      <c r="T765" s="58"/>
      <c r="U765" s="92"/>
      <c r="V765" s="90"/>
    </row>
    <row r="766" spans="1:22" s="168" customFormat="1" ht="22.500000" customHeight="1">
      <c r="A766" s="34">
        <v>764</v>
      </c>
      <c r="B766" s="34"/>
      <c r="C766" s="34"/>
      <c r="D766" s="34"/>
      <c r="E766" s="34"/>
      <c r="F766" s="85"/>
      <c r="G766" s="159"/>
      <c r="H766" s="155"/>
      <c r="I766" s="164"/>
      <c r="J766" s="164"/>
      <c r="K766" s="155"/>
      <c r="L766" s="85"/>
      <c r="M766" s="96"/>
      <c r="N766" s="87"/>
      <c r="O766" s="20"/>
      <c r="P766" s="31"/>
      <c r="Q766" s="88"/>
      <c r="R766" s="88"/>
      <c r="S766" s="88"/>
      <c r="T766" s="58"/>
      <c r="U766" s="94"/>
      <c r="V766" s="93"/>
    </row>
    <row r="767" spans="1:22" s="168" customFormat="1" ht="22.500000" customHeight="1">
      <c r="A767" s="34">
        <v>765</v>
      </c>
      <c r="B767" s="34"/>
      <c r="C767" s="34"/>
      <c r="D767" s="34"/>
      <c r="E767" s="34"/>
      <c r="F767" s="85"/>
      <c r="G767" s="159"/>
      <c r="H767" s="155"/>
      <c r="I767" s="164"/>
      <c r="J767" s="164"/>
      <c r="K767" s="155"/>
      <c r="L767" s="85"/>
      <c r="M767" s="95"/>
      <c r="N767" s="87"/>
      <c r="O767" s="20"/>
      <c r="P767" s="31"/>
      <c r="Q767" s="88"/>
      <c r="R767" s="88"/>
      <c r="S767" s="88"/>
      <c r="T767" s="58"/>
      <c r="U767" s="92"/>
      <c r="V767" s="90"/>
    </row>
    <row r="768" spans="1:22" s="168" customFormat="1" ht="22.500000" customHeight="1">
      <c r="A768" s="34">
        <v>766</v>
      </c>
      <c r="B768" s="34"/>
      <c r="C768" s="34"/>
      <c r="D768" s="34"/>
      <c r="E768" s="34"/>
      <c r="F768" s="85"/>
      <c r="G768" s="159"/>
      <c r="H768" s="155"/>
      <c r="I768" s="164"/>
      <c r="J768" s="164"/>
      <c r="K768" s="155"/>
      <c r="L768" s="85"/>
      <c r="M768" s="96"/>
      <c r="N768" s="87"/>
      <c r="O768" s="20"/>
      <c r="P768" s="31"/>
      <c r="Q768" s="88"/>
      <c r="R768" s="88"/>
      <c r="S768" s="88"/>
      <c r="T768" s="58"/>
      <c r="U768" s="94"/>
      <c r="V768" s="93"/>
    </row>
    <row r="769" spans="1:22" s="168" customFormat="1" ht="22.500000" customHeight="1">
      <c r="A769" s="34">
        <v>767</v>
      </c>
      <c r="B769" s="34"/>
      <c r="C769" s="34"/>
      <c r="D769" s="34"/>
      <c r="E769" s="34"/>
      <c r="F769" s="85"/>
      <c r="G769" s="159"/>
      <c r="H769" s="155"/>
      <c r="I769" s="164"/>
      <c r="J769" s="164"/>
      <c r="K769" s="155"/>
      <c r="L769" s="85"/>
      <c r="M769" s="95"/>
      <c r="N769" s="87"/>
      <c r="O769" s="20"/>
      <c r="P769" s="31"/>
      <c r="Q769" s="88"/>
      <c r="R769" s="88"/>
      <c r="S769" s="88"/>
      <c r="T769" s="58"/>
      <c r="U769" s="92"/>
      <c r="V769" s="90"/>
    </row>
    <row r="770" spans="1:22" s="168" customFormat="1" ht="22.500000" customHeight="1">
      <c r="A770" s="34">
        <v>768</v>
      </c>
      <c r="B770" s="34"/>
      <c r="C770" s="34"/>
      <c r="D770" s="34"/>
      <c r="E770" s="34"/>
      <c r="F770" s="85"/>
      <c r="G770" s="159"/>
      <c r="H770" s="155"/>
      <c r="I770" s="164"/>
      <c r="J770" s="164"/>
      <c r="K770" s="155"/>
      <c r="L770" s="85"/>
      <c r="M770" s="96"/>
      <c r="N770" s="87"/>
      <c r="O770" s="20"/>
      <c r="P770" s="31"/>
      <c r="Q770" s="88"/>
      <c r="R770" s="88"/>
      <c r="S770" s="88"/>
      <c r="T770" s="58"/>
      <c r="U770" s="94"/>
      <c r="V770" s="93"/>
    </row>
    <row r="771" spans="1:22" s="168" customFormat="1" ht="22.500000" customHeight="1">
      <c r="A771" s="34">
        <v>769</v>
      </c>
      <c r="B771" s="34"/>
      <c r="C771" s="34"/>
      <c r="D771" s="34"/>
      <c r="E771" s="34"/>
      <c r="F771" s="85"/>
      <c r="G771" s="159"/>
      <c r="H771" s="155"/>
      <c r="I771" s="164"/>
      <c r="J771" s="164"/>
      <c r="K771" s="155"/>
      <c r="L771" s="85"/>
      <c r="M771" s="95"/>
      <c r="N771" s="87"/>
      <c r="O771" s="20"/>
      <c r="P771" s="31"/>
      <c r="Q771" s="88"/>
      <c r="R771" s="88"/>
      <c r="S771" s="88"/>
      <c r="T771" s="58"/>
      <c r="U771" s="92"/>
      <c r="V771" s="90"/>
    </row>
    <row r="772" spans="1:22" s="168" customFormat="1" ht="22.500000" customHeight="1">
      <c r="A772" s="34">
        <v>770</v>
      </c>
      <c r="B772" s="34"/>
      <c r="C772" s="34"/>
      <c r="D772" s="34"/>
      <c r="E772" s="34"/>
      <c r="F772" s="85"/>
      <c r="G772" s="159"/>
      <c r="H772" s="155"/>
      <c r="I772" s="164"/>
      <c r="J772" s="164"/>
      <c r="K772" s="155"/>
      <c r="L772" s="85"/>
      <c r="M772" s="96"/>
      <c r="N772" s="87"/>
      <c r="O772" s="20"/>
      <c r="P772" s="31"/>
      <c r="Q772" s="88"/>
      <c r="R772" s="88"/>
      <c r="S772" s="88"/>
      <c r="T772" s="58"/>
      <c r="U772" s="94"/>
      <c r="V772" s="93"/>
    </row>
    <row r="773" spans="1:22" s="168" customFormat="1" ht="22.500000" customHeight="1">
      <c r="A773" s="34">
        <v>771</v>
      </c>
      <c r="B773" s="34"/>
      <c r="C773" s="34"/>
      <c r="D773" s="34"/>
      <c r="E773" s="34"/>
      <c r="F773" s="85"/>
      <c r="G773" s="159"/>
      <c r="H773" s="155"/>
      <c r="I773" s="164"/>
      <c r="J773" s="164"/>
      <c r="K773" s="155"/>
      <c r="L773" s="85"/>
      <c r="M773" s="95"/>
      <c r="N773" s="87"/>
      <c r="O773" s="20"/>
      <c r="P773" s="31"/>
      <c r="Q773" s="88"/>
      <c r="R773" s="88"/>
      <c r="S773" s="88"/>
      <c r="T773" s="58"/>
      <c r="U773" s="92"/>
      <c r="V773" s="90"/>
    </row>
    <row r="774" spans="1:22" s="168" customFormat="1" ht="22.500000" customHeight="1">
      <c r="A774" s="34">
        <v>772</v>
      </c>
      <c r="B774" s="34"/>
      <c r="C774" s="34"/>
      <c r="D774" s="34"/>
      <c r="E774" s="34"/>
      <c r="F774" s="85"/>
      <c r="G774" s="159"/>
      <c r="H774" s="155"/>
      <c r="I774" s="164"/>
      <c r="J774" s="164"/>
      <c r="K774" s="155"/>
      <c r="L774" s="85"/>
      <c r="M774" s="96"/>
      <c r="N774" s="87"/>
      <c r="O774" s="20"/>
      <c r="P774" s="31"/>
      <c r="Q774" s="88"/>
      <c r="R774" s="88"/>
      <c r="S774" s="88"/>
      <c r="T774" s="58"/>
      <c r="U774" s="94"/>
      <c r="V774" s="93"/>
    </row>
    <row r="775" spans="1:22" s="168" customFormat="1" ht="22.500000" customHeight="1">
      <c r="A775" s="34">
        <v>773</v>
      </c>
      <c r="B775" s="34"/>
      <c r="C775" s="34"/>
      <c r="D775" s="34"/>
      <c r="E775" s="34"/>
      <c r="F775" s="85"/>
      <c r="G775" s="159"/>
      <c r="H775" s="155"/>
      <c r="I775" s="164"/>
      <c r="J775" s="164"/>
      <c r="K775" s="155"/>
      <c r="L775" s="85"/>
      <c r="M775" s="95"/>
      <c r="N775" s="87"/>
      <c r="O775" s="20"/>
      <c r="P775" s="31"/>
      <c r="Q775" s="88"/>
      <c r="R775" s="88"/>
      <c r="S775" s="88"/>
      <c r="T775" s="58"/>
      <c r="U775" s="92"/>
      <c r="V775" s="90"/>
    </row>
    <row r="776" spans="1:22" s="168" customFormat="1" ht="22.500000" customHeight="1">
      <c r="A776" s="34">
        <v>774</v>
      </c>
      <c r="B776" s="34"/>
      <c r="C776" s="34"/>
      <c r="D776" s="34"/>
      <c r="E776" s="34"/>
      <c r="F776" s="85"/>
      <c r="G776" s="159"/>
      <c r="H776" s="155"/>
      <c r="I776" s="164"/>
      <c r="J776" s="164"/>
      <c r="K776" s="155"/>
      <c r="L776" s="85"/>
      <c r="M776" s="96"/>
      <c r="N776" s="87"/>
      <c r="O776" s="20"/>
      <c r="P776" s="31"/>
      <c r="Q776" s="88"/>
      <c r="R776" s="88"/>
      <c r="S776" s="88"/>
      <c r="T776" s="58"/>
      <c r="U776" s="94"/>
      <c r="V776" s="93"/>
    </row>
    <row r="777" spans="1:22" s="168" customFormat="1" ht="22.500000" customHeight="1">
      <c r="A777" s="34">
        <v>775</v>
      </c>
      <c r="B777" s="34"/>
      <c r="C777" s="34"/>
      <c r="D777" s="34"/>
      <c r="E777" s="34"/>
      <c r="F777" s="85"/>
      <c r="G777" s="159"/>
      <c r="H777" s="155"/>
      <c r="I777" s="164"/>
      <c r="J777" s="164"/>
      <c r="K777" s="155"/>
      <c r="L777" s="85"/>
      <c r="M777" s="95"/>
      <c r="N777" s="87"/>
      <c r="O777" s="20"/>
      <c r="P777" s="31"/>
      <c r="Q777" s="88"/>
      <c r="R777" s="88"/>
      <c r="S777" s="88"/>
      <c r="T777" s="58"/>
      <c r="U777" s="92"/>
      <c r="V777" s="90"/>
    </row>
    <row r="778" spans="1:22" s="168" customFormat="1" ht="22.500000" customHeight="1">
      <c r="A778" s="34">
        <v>776</v>
      </c>
      <c r="B778" s="34"/>
      <c r="C778" s="34"/>
      <c r="D778" s="34"/>
      <c r="E778" s="34"/>
      <c r="F778" s="85"/>
      <c r="G778" s="159"/>
      <c r="H778" s="155"/>
      <c r="I778" s="164"/>
      <c r="J778" s="164"/>
      <c r="K778" s="155"/>
      <c r="L778" s="85"/>
      <c r="M778" s="96"/>
      <c r="N778" s="87"/>
      <c r="O778" s="20"/>
      <c r="P778" s="31"/>
      <c r="Q778" s="88"/>
      <c r="R778" s="88"/>
      <c r="S778" s="88"/>
      <c r="T778" s="58"/>
      <c r="U778" s="94"/>
      <c r="V778" s="93"/>
    </row>
    <row r="779" spans="1:22" s="168" customFormat="1" ht="22.500000" customHeight="1">
      <c r="A779" s="34">
        <v>777</v>
      </c>
      <c r="B779" s="34"/>
      <c r="C779" s="34"/>
      <c r="D779" s="34"/>
      <c r="E779" s="34"/>
      <c r="F779" s="85"/>
      <c r="G779" s="159"/>
      <c r="H779" s="155"/>
      <c r="I779" s="164"/>
      <c r="J779" s="164"/>
      <c r="K779" s="155"/>
      <c r="L779" s="85"/>
      <c r="M779" s="95"/>
      <c r="N779" s="87"/>
      <c r="O779" s="20"/>
      <c r="P779" s="31"/>
      <c r="Q779" s="88"/>
      <c r="R779" s="88"/>
      <c r="S779" s="88"/>
      <c r="T779" s="58"/>
      <c r="U779" s="92"/>
      <c r="V779" s="90"/>
    </row>
    <row r="780" spans="1:22" s="168" customFormat="1" ht="22.500000" customHeight="1">
      <c r="A780" s="34">
        <v>778</v>
      </c>
      <c r="B780" s="34"/>
      <c r="C780" s="34"/>
      <c r="D780" s="34"/>
      <c r="E780" s="34"/>
      <c r="F780" s="85"/>
      <c r="G780" s="159"/>
      <c r="H780" s="155"/>
      <c r="I780" s="164"/>
      <c r="J780" s="164"/>
      <c r="K780" s="155"/>
      <c r="L780" s="85"/>
      <c r="M780" s="96"/>
      <c r="N780" s="87"/>
      <c r="O780" s="20"/>
      <c r="P780" s="31"/>
      <c r="Q780" s="88"/>
      <c r="R780" s="88"/>
      <c r="S780" s="88"/>
      <c r="T780" s="58"/>
      <c r="U780" s="94"/>
      <c r="V780" s="93"/>
    </row>
    <row r="781" spans="1:22" s="168" customFormat="1" ht="22.500000" customHeight="1">
      <c r="A781" s="34">
        <v>779</v>
      </c>
      <c r="B781" s="34"/>
      <c r="C781" s="34"/>
      <c r="D781" s="34"/>
      <c r="E781" s="34"/>
      <c r="F781" s="85"/>
      <c r="G781" s="159"/>
      <c r="H781" s="155"/>
      <c r="I781" s="164"/>
      <c r="J781" s="164"/>
      <c r="K781" s="155"/>
      <c r="L781" s="85"/>
      <c r="M781" s="95"/>
      <c r="N781" s="87"/>
      <c r="O781" s="20"/>
      <c r="P781" s="31"/>
      <c r="Q781" s="88"/>
      <c r="R781" s="88"/>
      <c r="S781" s="88"/>
      <c r="T781" s="58"/>
      <c r="U781" s="92"/>
      <c r="V781" s="90"/>
    </row>
    <row r="782" spans="1:22" s="168" customFormat="1" ht="22.500000" customHeight="1">
      <c r="A782" s="34">
        <v>780</v>
      </c>
      <c r="B782" s="34"/>
      <c r="C782" s="34"/>
      <c r="D782" s="34"/>
      <c r="E782" s="34"/>
      <c r="F782" s="85"/>
      <c r="G782" s="159"/>
      <c r="H782" s="155"/>
      <c r="I782" s="164"/>
      <c r="J782" s="164"/>
      <c r="K782" s="155"/>
      <c r="L782" s="85"/>
      <c r="M782" s="96"/>
      <c r="N782" s="87"/>
      <c r="O782" s="20"/>
      <c r="P782" s="31"/>
      <c r="Q782" s="88"/>
      <c r="R782" s="88"/>
      <c r="S782" s="88"/>
      <c r="T782" s="58"/>
      <c r="U782" s="94"/>
      <c r="V782" s="93"/>
    </row>
    <row r="783" spans="1:22" s="168" customFormat="1" ht="22.500000" customHeight="1">
      <c r="A783" s="34">
        <v>781</v>
      </c>
      <c r="B783" s="34"/>
      <c r="C783" s="34"/>
      <c r="D783" s="34"/>
      <c r="E783" s="34"/>
      <c r="F783" s="85"/>
      <c r="G783" s="159"/>
      <c r="H783" s="155"/>
      <c r="I783" s="164"/>
      <c r="J783" s="164"/>
      <c r="K783" s="155"/>
      <c r="L783" s="85"/>
      <c r="M783" s="95"/>
      <c r="N783" s="87"/>
      <c r="O783" s="20"/>
      <c r="P783" s="31"/>
      <c r="Q783" s="88"/>
      <c r="R783" s="88"/>
      <c r="S783" s="88"/>
      <c r="T783" s="58"/>
      <c r="U783" s="92"/>
      <c r="V783" s="90"/>
    </row>
    <row r="784" spans="1:22" s="168" customFormat="1" ht="22.500000" customHeight="1">
      <c r="A784" s="34">
        <v>782</v>
      </c>
      <c r="B784" s="34"/>
      <c r="C784" s="34"/>
      <c r="D784" s="34"/>
      <c r="E784" s="34"/>
      <c r="F784" s="85"/>
      <c r="G784" s="159"/>
      <c r="H784" s="155"/>
      <c r="I784" s="164"/>
      <c r="J784" s="164"/>
      <c r="K784" s="155"/>
      <c r="L784" s="85"/>
      <c r="M784" s="96"/>
      <c r="N784" s="87"/>
      <c r="O784" s="20"/>
      <c r="P784" s="31"/>
      <c r="Q784" s="88"/>
      <c r="R784" s="88"/>
      <c r="S784" s="88"/>
      <c r="T784" s="58"/>
      <c r="U784" s="94"/>
      <c r="V784" s="93"/>
    </row>
    <row r="785" spans="1:22" s="168" customFormat="1" ht="22.500000" customHeight="1">
      <c r="A785" s="34">
        <v>783</v>
      </c>
      <c r="B785" s="34"/>
      <c r="C785" s="34"/>
      <c r="D785" s="34"/>
      <c r="E785" s="34"/>
      <c r="F785" s="85"/>
      <c r="G785" s="159"/>
      <c r="H785" s="155"/>
      <c r="I785" s="164"/>
      <c r="J785" s="164"/>
      <c r="K785" s="155"/>
      <c r="L785" s="85"/>
      <c r="M785" s="95"/>
      <c r="N785" s="87"/>
      <c r="O785" s="20"/>
      <c r="P785" s="31"/>
      <c r="Q785" s="88"/>
      <c r="R785" s="88"/>
      <c r="S785" s="88"/>
      <c r="T785" s="58"/>
      <c r="U785" s="92"/>
      <c r="V785" s="90"/>
    </row>
    <row r="786" spans="1:22" s="168" customFormat="1" ht="22.500000" customHeight="1">
      <c r="A786" s="34">
        <v>784</v>
      </c>
      <c r="B786" s="34"/>
      <c r="C786" s="34"/>
      <c r="D786" s="34"/>
      <c r="E786" s="34"/>
      <c r="F786" s="85"/>
      <c r="G786" s="159"/>
      <c r="H786" s="155"/>
      <c r="I786" s="164"/>
      <c r="J786" s="164"/>
      <c r="K786" s="155"/>
      <c r="L786" s="85"/>
      <c r="M786" s="96"/>
      <c r="N786" s="87"/>
      <c r="O786" s="20"/>
      <c r="P786" s="31"/>
      <c r="Q786" s="88"/>
      <c r="R786" s="88"/>
      <c r="S786" s="88"/>
      <c r="T786" s="58"/>
      <c r="U786" s="94"/>
      <c r="V786" s="93"/>
    </row>
    <row r="787" spans="1:22" s="168" customFormat="1" ht="22.500000" customHeight="1">
      <c r="A787" s="34">
        <v>785</v>
      </c>
      <c r="B787" s="34"/>
      <c r="C787" s="34"/>
      <c r="D787" s="34"/>
      <c r="E787" s="34"/>
      <c r="F787" s="85"/>
      <c r="G787" s="159"/>
      <c r="H787" s="155"/>
      <c r="I787" s="164"/>
      <c r="J787" s="164"/>
      <c r="K787" s="155"/>
      <c r="L787" s="85"/>
      <c r="M787" s="95"/>
      <c r="N787" s="87"/>
      <c r="O787" s="20"/>
      <c r="P787" s="31"/>
      <c r="Q787" s="88"/>
      <c r="R787" s="88"/>
      <c r="S787" s="88"/>
      <c r="T787" s="58"/>
      <c r="U787" s="92"/>
      <c r="V787" s="90"/>
    </row>
    <row r="788" spans="1:22" s="168" customFormat="1" ht="22.500000" customHeight="1">
      <c r="A788" s="34">
        <v>786</v>
      </c>
      <c r="B788" s="34"/>
      <c r="C788" s="34"/>
      <c r="D788" s="34"/>
      <c r="E788" s="34"/>
      <c r="F788" s="85"/>
      <c r="G788" s="159"/>
      <c r="H788" s="155"/>
      <c r="I788" s="164"/>
      <c r="J788" s="164"/>
      <c r="K788" s="155"/>
      <c r="L788" s="85"/>
      <c r="M788" s="96"/>
      <c r="N788" s="87"/>
      <c r="O788" s="20"/>
      <c r="P788" s="31"/>
      <c r="Q788" s="88"/>
      <c r="R788" s="88"/>
      <c r="S788" s="88"/>
      <c r="T788" s="58"/>
      <c r="U788" s="94"/>
      <c r="V788" s="93"/>
    </row>
    <row r="789" spans="1:22" s="168" customFormat="1" ht="22.500000" customHeight="1">
      <c r="A789" s="34">
        <v>787</v>
      </c>
      <c r="B789" s="34"/>
      <c r="C789" s="34"/>
      <c r="D789" s="34"/>
      <c r="E789" s="34"/>
      <c r="F789" s="85"/>
      <c r="G789" s="159"/>
      <c r="H789" s="155"/>
      <c r="I789" s="164"/>
      <c r="J789" s="164"/>
      <c r="K789" s="155"/>
      <c r="L789" s="85"/>
      <c r="M789" s="95"/>
      <c r="N789" s="87"/>
      <c r="O789" s="20"/>
      <c r="P789" s="31"/>
      <c r="Q789" s="88"/>
      <c r="R789" s="88"/>
      <c r="S789" s="88"/>
      <c r="T789" s="58"/>
      <c r="U789" s="92"/>
      <c r="V789" s="90"/>
    </row>
    <row r="790" spans="1:22" s="168" customFormat="1" ht="22.500000" customHeight="1">
      <c r="A790" s="34">
        <v>788</v>
      </c>
      <c r="B790" s="34"/>
      <c r="C790" s="34"/>
      <c r="D790" s="34"/>
      <c r="E790" s="34"/>
      <c r="F790" s="85"/>
      <c r="G790" s="159"/>
      <c r="H790" s="155"/>
      <c r="I790" s="164"/>
      <c r="J790" s="164"/>
      <c r="K790" s="155"/>
      <c r="L790" s="85"/>
      <c r="M790" s="96"/>
      <c r="N790" s="87"/>
      <c r="O790" s="20"/>
      <c r="P790" s="31"/>
      <c r="Q790" s="88"/>
      <c r="R790" s="88"/>
      <c r="S790" s="88"/>
      <c r="T790" s="58"/>
      <c r="U790" s="94"/>
      <c r="V790" s="93"/>
    </row>
    <row r="791" spans="1:22" s="168" customFormat="1" ht="22.500000" customHeight="1">
      <c r="A791" s="34">
        <v>789</v>
      </c>
      <c r="B791" s="34"/>
      <c r="C791" s="34"/>
      <c r="D791" s="34"/>
      <c r="E791" s="34"/>
      <c r="F791" s="85"/>
      <c r="G791" s="159"/>
      <c r="H791" s="155"/>
      <c r="I791" s="164"/>
      <c r="J791" s="164"/>
      <c r="K791" s="155"/>
      <c r="L791" s="85"/>
      <c r="M791" s="95"/>
      <c r="N791" s="87"/>
      <c r="O791" s="20"/>
      <c r="P791" s="31"/>
      <c r="Q791" s="88"/>
      <c r="R791" s="88"/>
      <c r="S791" s="88"/>
      <c r="T791" s="58"/>
      <c r="U791" s="92"/>
      <c r="V791" s="90"/>
    </row>
    <row r="792" spans="1:22" s="168" customFormat="1" ht="22.500000" customHeight="1">
      <c r="A792" s="34">
        <v>790</v>
      </c>
      <c r="B792" s="34"/>
      <c r="C792" s="34"/>
      <c r="D792" s="34"/>
      <c r="E792" s="34"/>
      <c r="F792" s="85"/>
      <c r="G792" s="159"/>
      <c r="H792" s="155"/>
      <c r="I792" s="164"/>
      <c r="J792" s="164"/>
      <c r="K792" s="155"/>
      <c r="L792" s="85"/>
      <c r="M792" s="96"/>
      <c r="N792" s="87"/>
      <c r="O792" s="20"/>
      <c r="P792" s="31"/>
      <c r="Q792" s="88"/>
      <c r="R792" s="88"/>
      <c r="S792" s="88"/>
      <c r="T792" s="58"/>
      <c r="U792" s="94"/>
      <c r="V792" s="93"/>
    </row>
    <row r="793" spans="1:22" s="168" customFormat="1" ht="22.500000" customHeight="1">
      <c r="A793" s="34">
        <v>791</v>
      </c>
      <c r="B793" s="34"/>
      <c r="C793" s="34"/>
      <c r="D793" s="34"/>
      <c r="E793" s="34"/>
      <c r="F793" s="85"/>
      <c r="G793" s="159"/>
      <c r="H793" s="155"/>
      <c r="I793" s="164"/>
      <c r="J793" s="164"/>
      <c r="K793" s="155"/>
      <c r="L793" s="85"/>
      <c r="M793" s="95"/>
      <c r="N793" s="87"/>
      <c r="O793" s="20"/>
      <c r="P793" s="31"/>
      <c r="Q793" s="88"/>
      <c r="R793" s="88"/>
      <c r="S793" s="88"/>
      <c r="T793" s="58"/>
      <c r="U793" s="92"/>
      <c r="V793" s="90"/>
    </row>
    <row r="794" spans="1:22" s="168" customFormat="1" ht="22.500000" customHeight="1">
      <c r="A794" s="34">
        <v>792</v>
      </c>
      <c r="B794" s="34"/>
      <c r="C794" s="34"/>
      <c r="D794" s="34"/>
      <c r="E794" s="34"/>
      <c r="F794" s="85"/>
      <c r="G794" s="159"/>
      <c r="H794" s="155"/>
      <c r="I794" s="164"/>
      <c r="J794" s="164"/>
      <c r="K794" s="155"/>
      <c r="L794" s="85"/>
      <c r="M794" s="96"/>
      <c r="N794" s="87"/>
      <c r="O794" s="20"/>
      <c r="P794" s="31"/>
      <c r="Q794" s="88"/>
      <c r="R794" s="88"/>
      <c r="S794" s="88"/>
      <c r="T794" s="58"/>
      <c r="U794" s="94"/>
      <c r="V794" s="93"/>
    </row>
    <row r="795" spans="1:22" s="168" customFormat="1" ht="22.500000" customHeight="1">
      <c r="A795" s="34">
        <v>793</v>
      </c>
      <c r="B795" s="34"/>
      <c r="C795" s="34"/>
      <c r="D795" s="34"/>
      <c r="E795" s="34"/>
      <c r="F795" s="85"/>
      <c r="G795" s="159"/>
      <c r="H795" s="155"/>
      <c r="I795" s="164"/>
      <c r="J795" s="164"/>
      <c r="K795" s="155"/>
      <c r="L795" s="85"/>
      <c r="M795" s="95"/>
      <c r="N795" s="87"/>
      <c r="O795" s="20"/>
      <c r="P795" s="31"/>
      <c r="Q795" s="88"/>
      <c r="R795" s="88"/>
      <c r="S795" s="88"/>
      <c r="T795" s="58"/>
      <c r="U795" s="92"/>
      <c r="V795" s="90"/>
    </row>
    <row r="796" spans="1:22" s="168" customFormat="1" ht="22.500000" customHeight="1">
      <c r="A796" s="34">
        <v>794</v>
      </c>
      <c r="B796" s="34"/>
      <c r="C796" s="34"/>
      <c r="D796" s="34"/>
      <c r="E796" s="34"/>
      <c r="F796" s="85"/>
      <c r="G796" s="159"/>
      <c r="H796" s="155"/>
      <c r="I796" s="164"/>
      <c r="J796" s="164"/>
      <c r="K796" s="155"/>
      <c r="L796" s="85"/>
      <c r="M796" s="96"/>
      <c r="N796" s="87"/>
      <c r="O796" s="20"/>
      <c r="P796" s="31"/>
      <c r="Q796" s="88"/>
      <c r="R796" s="88"/>
      <c r="S796" s="88"/>
      <c r="T796" s="58"/>
      <c r="U796" s="94"/>
      <c r="V796" s="93"/>
    </row>
    <row r="797" spans="1:22" s="168" customFormat="1" ht="22.500000" customHeight="1">
      <c r="A797" s="34">
        <v>795</v>
      </c>
      <c r="B797" s="34"/>
      <c r="C797" s="34"/>
      <c r="D797" s="34"/>
      <c r="E797" s="34"/>
      <c r="F797" s="85"/>
      <c r="G797" s="159"/>
      <c r="H797" s="155"/>
      <c r="I797" s="164"/>
      <c r="J797" s="164"/>
      <c r="K797" s="155"/>
      <c r="L797" s="85"/>
      <c r="M797" s="95"/>
      <c r="N797" s="87"/>
      <c r="O797" s="20"/>
      <c r="P797" s="31"/>
      <c r="Q797" s="88"/>
      <c r="R797" s="88"/>
      <c r="S797" s="88"/>
      <c r="T797" s="58"/>
      <c r="U797" s="92"/>
      <c r="V797" s="90"/>
    </row>
    <row r="798" spans="1:22" s="168" customFormat="1" ht="22.500000" customHeight="1">
      <c r="A798" s="34">
        <v>796</v>
      </c>
      <c r="B798" s="34"/>
      <c r="C798" s="34"/>
      <c r="D798" s="34"/>
      <c r="E798" s="34"/>
      <c r="F798" s="85"/>
      <c r="G798" s="159"/>
      <c r="H798" s="155"/>
      <c r="I798" s="164"/>
      <c r="J798" s="164"/>
      <c r="K798" s="155"/>
      <c r="L798" s="85"/>
      <c r="M798" s="96"/>
      <c r="N798" s="87"/>
      <c r="O798" s="20"/>
      <c r="P798" s="31"/>
      <c r="Q798" s="88"/>
      <c r="R798" s="88"/>
      <c r="S798" s="88"/>
      <c r="T798" s="58"/>
      <c r="U798" s="94"/>
      <c r="V798" s="93"/>
    </row>
    <row r="799" spans="1:22" s="168" customFormat="1" ht="22.500000" customHeight="1">
      <c r="A799" s="34">
        <v>797</v>
      </c>
      <c r="B799" s="34"/>
      <c r="C799" s="34"/>
      <c r="D799" s="34"/>
      <c r="E799" s="34"/>
      <c r="F799" s="85"/>
      <c r="G799" s="159"/>
      <c r="H799" s="155"/>
      <c r="I799" s="164"/>
      <c r="J799" s="164"/>
      <c r="K799" s="155"/>
      <c r="L799" s="85"/>
      <c r="M799" s="95"/>
      <c r="N799" s="87"/>
      <c r="O799" s="20"/>
      <c r="P799" s="31"/>
      <c r="Q799" s="88"/>
      <c r="R799" s="88"/>
      <c r="S799" s="88"/>
      <c r="T799" s="58"/>
      <c r="U799" s="92"/>
      <c r="V799" s="90"/>
    </row>
    <row r="800" spans="1:22" s="168" customFormat="1" ht="22.500000" customHeight="1">
      <c r="A800" s="34">
        <v>798</v>
      </c>
      <c r="B800" s="34"/>
      <c r="C800" s="34"/>
      <c r="D800" s="34"/>
      <c r="E800" s="34"/>
      <c r="F800" s="85"/>
      <c r="G800" s="159"/>
      <c r="H800" s="155"/>
      <c r="I800" s="164"/>
      <c r="J800" s="164"/>
      <c r="K800" s="155"/>
      <c r="L800" s="85"/>
      <c r="M800" s="96"/>
      <c r="N800" s="87"/>
      <c r="O800" s="20"/>
      <c r="P800" s="31"/>
      <c r="Q800" s="88"/>
      <c r="R800" s="88"/>
      <c r="S800" s="88"/>
      <c r="T800" s="58"/>
      <c r="U800" s="94"/>
      <c r="V800" s="93"/>
    </row>
    <row r="801" spans="1:22" s="168" customFormat="1" ht="22.500000" customHeight="1">
      <c r="A801" s="34">
        <v>799</v>
      </c>
      <c r="B801" s="34"/>
      <c r="C801" s="34"/>
      <c r="D801" s="34"/>
      <c r="E801" s="34"/>
      <c r="F801" s="85"/>
      <c r="G801" s="159"/>
      <c r="H801" s="155"/>
      <c r="I801" s="164"/>
      <c r="J801" s="164"/>
      <c r="K801" s="155"/>
      <c r="L801" s="85"/>
      <c r="M801" s="95"/>
      <c r="N801" s="87"/>
      <c r="O801" s="20"/>
      <c r="P801" s="31"/>
      <c r="Q801" s="88"/>
      <c r="R801" s="88"/>
      <c r="S801" s="88"/>
      <c r="T801" s="58"/>
      <c r="U801" s="92"/>
      <c r="V801" s="90"/>
    </row>
    <row r="802" spans="1:22" s="168" customFormat="1" ht="22.500000" customHeight="1">
      <c r="A802" s="34">
        <v>800</v>
      </c>
      <c r="B802" s="34"/>
      <c r="C802" s="34"/>
      <c r="D802" s="34"/>
      <c r="E802" s="34"/>
      <c r="F802" s="85"/>
      <c r="G802" s="159"/>
      <c r="H802" s="155"/>
      <c r="I802" s="164"/>
      <c r="J802" s="164"/>
      <c r="K802" s="155"/>
      <c r="L802" s="85"/>
      <c r="M802" s="96"/>
      <c r="N802" s="87"/>
      <c r="O802" s="20"/>
      <c r="P802" s="31"/>
      <c r="Q802" s="88"/>
      <c r="R802" s="88"/>
      <c r="S802" s="88"/>
      <c r="T802" s="58"/>
      <c r="U802" s="94"/>
      <c r="V802" s="93"/>
    </row>
    <row r="803" spans="1:22" s="168" customFormat="1" ht="22.500000" customHeight="1">
      <c r="A803" s="34">
        <v>801</v>
      </c>
      <c r="B803" s="34"/>
      <c r="C803" s="34"/>
      <c r="D803" s="34"/>
      <c r="E803" s="34"/>
      <c r="F803" s="85"/>
      <c r="G803" s="159"/>
      <c r="H803" s="155"/>
      <c r="I803" s="164"/>
      <c r="J803" s="164"/>
      <c r="K803" s="155"/>
      <c r="L803" s="85"/>
      <c r="M803" s="95"/>
      <c r="N803" s="87"/>
      <c r="O803" s="20"/>
      <c r="P803" s="31"/>
      <c r="Q803" s="88"/>
      <c r="R803" s="88"/>
      <c r="S803" s="88"/>
      <c r="T803" s="58"/>
      <c r="U803" s="92"/>
      <c r="V803" s="90"/>
    </row>
    <row r="804" spans="1:22" s="168" customFormat="1" ht="22.500000" customHeight="1">
      <c r="A804" s="34">
        <v>802</v>
      </c>
      <c r="B804" s="34"/>
      <c r="C804" s="34"/>
      <c r="D804" s="34"/>
      <c r="E804" s="34"/>
      <c r="F804" s="85"/>
      <c r="G804" s="159"/>
      <c r="H804" s="155"/>
      <c r="I804" s="164"/>
      <c r="J804" s="164"/>
      <c r="K804" s="155"/>
      <c r="L804" s="85"/>
      <c r="M804" s="96"/>
      <c r="N804" s="87"/>
      <c r="O804" s="20"/>
      <c r="P804" s="31"/>
      <c r="Q804" s="88"/>
      <c r="R804" s="88"/>
      <c r="S804" s="88"/>
      <c r="T804" s="58"/>
      <c r="U804" s="94"/>
      <c r="V804" s="93"/>
    </row>
    <row r="805" spans="1:22" s="168" customFormat="1" ht="22.500000" customHeight="1">
      <c r="A805" s="34">
        <v>803</v>
      </c>
      <c r="B805" s="34"/>
      <c r="C805" s="34"/>
      <c r="D805" s="34"/>
      <c r="E805" s="34"/>
      <c r="F805" s="85"/>
      <c r="G805" s="159"/>
      <c r="H805" s="155"/>
      <c r="I805" s="164"/>
      <c r="J805" s="164"/>
      <c r="K805" s="155"/>
      <c r="L805" s="85"/>
      <c r="M805" s="95"/>
      <c r="N805" s="87"/>
      <c r="O805" s="20"/>
      <c r="P805" s="31"/>
      <c r="Q805" s="88"/>
      <c r="R805" s="88"/>
      <c r="S805" s="88"/>
      <c r="T805" s="58"/>
      <c r="U805" s="92"/>
      <c r="V805" s="90"/>
    </row>
    <row r="806" spans="1:22" s="168" customFormat="1" ht="22.500000" customHeight="1">
      <c r="A806" s="34">
        <v>804</v>
      </c>
      <c r="B806" s="34"/>
      <c r="C806" s="34"/>
      <c r="D806" s="34"/>
      <c r="E806" s="34"/>
      <c r="F806" s="85"/>
      <c r="G806" s="159"/>
      <c r="H806" s="155"/>
      <c r="I806" s="164"/>
      <c r="J806" s="164"/>
      <c r="K806" s="155"/>
      <c r="L806" s="85"/>
      <c r="M806" s="96"/>
      <c r="N806" s="87"/>
      <c r="O806" s="20"/>
      <c r="P806" s="31"/>
      <c r="Q806" s="88"/>
      <c r="R806" s="88"/>
      <c r="S806" s="88"/>
      <c r="T806" s="58"/>
      <c r="U806" s="94"/>
      <c r="V806" s="93"/>
    </row>
    <row r="807" spans="1:22" s="168" customFormat="1" ht="22.500000" customHeight="1">
      <c r="A807" s="34">
        <v>805</v>
      </c>
      <c r="B807" s="34"/>
      <c r="C807" s="34"/>
      <c r="D807" s="34"/>
      <c r="E807" s="34"/>
      <c r="F807" s="85"/>
      <c r="G807" s="159"/>
      <c r="H807" s="155"/>
      <c r="I807" s="164"/>
      <c r="J807" s="164"/>
      <c r="K807" s="155"/>
      <c r="L807" s="85"/>
      <c r="M807" s="95"/>
      <c r="N807" s="87"/>
      <c r="O807" s="20"/>
      <c r="P807" s="31"/>
      <c r="Q807" s="88"/>
      <c r="R807" s="88"/>
      <c r="S807" s="88"/>
      <c r="T807" s="58"/>
      <c r="U807" s="92"/>
      <c r="V807" s="90"/>
    </row>
    <row r="808" spans="1:22" s="168" customFormat="1" ht="22.500000" customHeight="1">
      <c r="A808" s="34">
        <v>806</v>
      </c>
      <c r="B808" s="34"/>
      <c r="C808" s="34"/>
      <c r="D808" s="34"/>
      <c r="E808" s="34"/>
      <c r="F808" s="85"/>
      <c r="G808" s="159"/>
      <c r="H808" s="155"/>
      <c r="I808" s="164"/>
      <c r="J808" s="164"/>
      <c r="K808" s="155"/>
      <c r="L808" s="85"/>
      <c r="M808" s="96"/>
      <c r="N808" s="87"/>
      <c r="O808" s="20"/>
      <c r="P808" s="31"/>
      <c r="Q808" s="88"/>
      <c r="R808" s="88"/>
      <c r="S808" s="88"/>
      <c r="T808" s="58"/>
      <c r="U808" s="94"/>
      <c r="V808" s="93"/>
    </row>
    <row r="809" spans="1:22" s="168" customFormat="1" ht="22.500000" customHeight="1">
      <c r="A809" s="34">
        <v>807</v>
      </c>
      <c r="B809" s="34"/>
      <c r="C809" s="34"/>
      <c r="D809" s="34"/>
      <c r="E809" s="34"/>
      <c r="F809" s="85"/>
      <c r="G809" s="159"/>
      <c r="H809" s="155"/>
      <c r="I809" s="164"/>
      <c r="J809" s="164"/>
      <c r="K809" s="155"/>
      <c r="L809" s="85"/>
      <c r="M809" s="95"/>
      <c r="N809" s="87"/>
      <c r="O809" s="20"/>
      <c r="P809" s="31"/>
      <c r="Q809" s="88"/>
      <c r="R809" s="88"/>
      <c r="S809" s="88"/>
      <c r="T809" s="58"/>
      <c r="U809" s="92"/>
      <c r="V809" s="90"/>
    </row>
    <row r="810" spans="1:22" s="168" customFormat="1" ht="22.500000" customHeight="1">
      <c r="A810" s="34">
        <v>808</v>
      </c>
      <c r="B810" s="34"/>
      <c r="C810" s="34"/>
      <c r="D810" s="34"/>
      <c r="E810" s="34"/>
      <c r="F810" s="85"/>
      <c r="G810" s="159"/>
      <c r="H810" s="155"/>
      <c r="I810" s="164"/>
      <c r="J810" s="164"/>
      <c r="K810" s="155"/>
      <c r="L810" s="85"/>
      <c r="M810" s="96"/>
      <c r="N810" s="87"/>
      <c r="O810" s="20"/>
      <c r="P810" s="31"/>
      <c r="Q810" s="88"/>
      <c r="R810" s="88"/>
      <c r="S810" s="88"/>
      <c r="T810" s="58"/>
      <c r="U810" s="94"/>
      <c r="V810" s="93"/>
    </row>
    <row r="811" spans="1:22" s="168" customFormat="1" ht="22.500000" customHeight="1">
      <c r="A811" s="34">
        <v>809</v>
      </c>
      <c r="B811" s="34"/>
      <c r="C811" s="34"/>
      <c r="D811" s="34"/>
      <c r="E811" s="34"/>
      <c r="F811" s="85"/>
      <c r="G811" s="159"/>
      <c r="H811" s="155"/>
      <c r="I811" s="164"/>
      <c r="J811" s="164"/>
      <c r="K811" s="155"/>
      <c r="L811" s="85"/>
      <c r="M811" s="95"/>
      <c r="N811" s="87"/>
      <c r="O811" s="20"/>
      <c r="P811" s="31"/>
      <c r="Q811" s="88"/>
      <c r="R811" s="88"/>
      <c r="S811" s="88"/>
      <c r="T811" s="58"/>
      <c r="U811" s="92"/>
      <c r="V811" s="90"/>
    </row>
    <row r="812" spans="1:22" s="168" customFormat="1" ht="22.500000" customHeight="1">
      <c r="A812" s="34">
        <v>810</v>
      </c>
      <c r="B812" s="34"/>
      <c r="C812" s="34"/>
      <c r="D812" s="34"/>
      <c r="E812" s="34"/>
      <c r="F812" s="85"/>
      <c r="G812" s="159"/>
      <c r="H812" s="155"/>
      <c r="I812" s="164"/>
      <c r="J812" s="164"/>
      <c r="K812" s="155"/>
      <c r="L812" s="85"/>
      <c r="M812" s="96"/>
      <c r="N812" s="87"/>
      <c r="O812" s="20"/>
      <c r="P812" s="31"/>
      <c r="Q812" s="88"/>
      <c r="R812" s="88"/>
      <c r="S812" s="88"/>
      <c r="T812" s="58"/>
      <c r="U812" s="94"/>
      <c r="V812" s="93"/>
    </row>
    <row r="813" spans="1:22" s="168" customFormat="1" ht="22.500000" customHeight="1">
      <c r="A813" s="34">
        <v>811</v>
      </c>
      <c r="B813" s="34"/>
      <c r="C813" s="34"/>
      <c r="D813" s="34"/>
      <c r="E813" s="34"/>
      <c r="F813" s="85"/>
      <c r="G813" s="159"/>
      <c r="H813" s="155"/>
      <c r="I813" s="164"/>
      <c r="J813" s="164"/>
      <c r="K813" s="155"/>
      <c r="L813" s="85"/>
      <c r="M813" s="95"/>
      <c r="N813" s="87"/>
      <c r="O813" s="20"/>
      <c r="P813" s="31"/>
      <c r="Q813" s="88"/>
      <c r="R813" s="88"/>
      <c r="S813" s="88"/>
      <c r="T813" s="58"/>
      <c r="U813" s="92"/>
      <c r="V813" s="90"/>
    </row>
    <row r="814" spans="1:22" s="168" customFormat="1" ht="22.500000" customHeight="1">
      <c r="A814" s="34">
        <v>812</v>
      </c>
      <c r="B814" s="34"/>
      <c r="C814" s="34"/>
      <c r="D814" s="34"/>
      <c r="E814" s="34"/>
      <c r="F814" s="85"/>
      <c r="G814" s="159"/>
      <c r="H814" s="155"/>
      <c r="I814" s="164"/>
      <c r="J814" s="164"/>
      <c r="K814" s="155"/>
      <c r="L814" s="85"/>
      <c r="M814" s="96"/>
      <c r="N814" s="87"/>
      <c r="O814" s="20"/>
      <c r="P814" s="31"/>
      <c r="Q814" s="88"/>
      <c r="R814" s="88"/>
      <c r="S814" s="88"/>
      <c r="T814" s="58"/>
      <c r="U814" s="94"/>
      <c r="V814" s="93"/>
    </row>
    <row r="815" spans="1:22" s="168" customFormat="1" ht="22.500000" customHeight="1">
      <c r="A815" s="34">
        <v>813</v>
      </c>
      <c r="B815" s="34"/>
      <c r="C815" s="34"/>
      <c r="D815" s="34"/>
      <c r="E815" s="34"/>
      <c r="F815" s="85"/>
      <c r="G815" s="159"/>
      <c r="H815" s="155"/>
      <c r="I815" s="164"/>
      <c r="J815" s="164"/>
      <c r="K815" s="155"/>
      <c r="L815" s="85"/>
      <c r="M815" s="95"/>
      <c r="N815" s="87"/>
      <c r="O815" s="20"/>
      <c r="P815" s="31"/>
      <c r="Q815" s="88"/>
      <c r="R815" s="88"/>
      <c r="S815" s="88"/>
      <c r="T815" s="58"/>
      <c r="U815" s="92"/>
      <c r="V815" s="90"/>
    </row>
    <row r="816" spans="1:22" s="168" customFormat="1" ht="22.500000" customHeight="1">
      <c r="A816" s="34">
        <v>814</v>
      </c>
      <c r="B816" s="34"/>
      <c r="C816" s="34"/>
      <c r="D816" s="34"/>
      <c r="E816" s="34"/>
      <c r="F816" s="85"/>
      <c r="G816" s="159"/>
      <c r="H816" s="155"/>
      <c r="I816" s="164"/>
      <c r="J816" s="164"/>
      <c r="K816" s="155"/>
      <c r="L816" s="85"/>
      <c r="M816" s="96"/>
      <c r="N816" s="87"/>
      <c r="O816" s="20"/>
      <c r="P816" s="31"/>
      <c r="Q816" s="88"/>
      <c r="R816" s="88"/>
      <c r="S816" s="88"/>
      <c r="T816" s="58"/>
      <c r="U816" s="94"/>
      <c r="V816" s="93"/>
    </row>
    <row r="817" spans="1:22" s="168" customFormat="1" ht="22.500000" customHeight="1">
      <c r="A817" s="34">
        <v>815</v>
      </c>
      <c r="B817" s="34"/>
      <c r="C817" s="34"/>
      <c r="D817" s="34"/>
      <c r="E817" s="34"/>
      <c r="F817" s="85"/>
      <c r="G817" s="159"/>
      <c r="H817" s="155"/>
      <c r="I817" s="164"/>
      <c r="J817" s="164"/>
      <c r="K817" s="155"/>
      <c r="L817" s="85"/>
      <c r="M817" s="95"/>
      <c r="N817" s="87"/>
      <c r="O817" s="20"/>
      <c r="P817" s="31"/>
      <c r="Q817" s="88"/>
      <c r="R817" s="88"/>
      <c r="S817" s="88"/>
      <c r="T817" s="58"/>
      <c r="U817" s="92"/>
      <c r="V817" s="90"/>
    </row>
    <row r="818" spans="1:22" s="168" customFormat="1" ht="22.500000" customHeight="1">
      <c r="A818" s="34">
        <v>816</v>
      </c>
      <c r="B818" s="34"/>
      <c r="C818" s="34"/>
      <c r="D818" s="34"/>
      <c r="E818" s="34"/>
      <c r="F818" s="85"/>
      <c r="G818" s="159"/>
      <c r="H818" s="155"/>
      <c r="I818" s="164"/>
      <c r="J818" s="164"/>
      <c r="K818" s="155"/>
      <c r="L818" s="85"/>
      <c r="M818" s="96"/>
      <c r="N818" s="87"/>
      <c r="O818" s="20"/>
      <c r="P818" s="31"/>
      <c r="Q818" s="88"/>
      <c r="R818" s="88"/>
      <c r="S818" s="88"/>
      <c r="T818" s="58"/>
      <c r="U818" s="94"/>
      <c r="V818" s="93"/>
    </row>
    <row r="819" spans="1:22" s="168" customFormat="1" ht="22.500000" customHeight="1">
      <c r="A819" s="34">
        <v>817</v>
      </c>
      <c r="B819" s="34"/>
      <c r="C819" s="34"/>
      <c r="D819" s="34"/>
      <c r="E819" s="34"/>
      <c r="F819" s="85"/>
      <c r="G819" s="159"/>
      <c r="H819" s="155"/>
      <c r="I819" s="164"/>
      <c r="J819" s="164"/>
      <c r="K819" s="155"/>
      <c r="L819" s="85"/>
      <c r="M819" s="95"/>
      <c r="N819" s="87"/>
      <c r="O819" s="20"/>
      <c r="P819" s="31"/>
      <c r="Q819" s="88"/>
      <c r="R819" s="88"/>
      <c r="S819" s="88"/>
      <c r="T819" s="58"/>
      <c r="U819" s="92"/>
      <c r="V819" s="90"/>
    </row>
    <row r="820" spans="1:22" s="168" customFormat="1" ht="22.500000" customHeight="1">
      <c r="A820" s="34">
        <v>818</v>
      </c>
      <c r="B820" s="34"/>
      <c r="C820" s="34"/>
      <c r="D820" s="34"/>
      <c r="E820" s="34"/>
      <c r="F820" s="85"/>
      <c r="G820" s="159"/>
      <c r="H820" s="155"/>
      <c r="I820" s="164"/>
      <c r="J820" s="164"/>
      <c r="K820" s="155"/>
      <c r="L820" s="85"/>
      <c r="M820" s="96"/>
      <c r="N820" s="87"/>
      <c r="O820" s="20"/>
      <c r="P820" s="31"/>
      <c r="Q820" s="88"/>
      <c r="R820" s="88"/>
      <c r="S820" s="88"/>
      <c r="T820" s="58"/>
      <c r="U820" s="94"/>
      <c r="V820" s="93"/>
    </row>
    <row r="821" spans="1:22" s="168" customFormat="1" ht="22.500000" customHeight="1">
      <c r="A821" s="34">
        <v>819</v>
      </c>
      <c r="B821" s="34"/>
      <c r="C821" s="34"/>
      <c r="D821" s="34"/>
      <c r="E821" s="34"/>
      <c r="F821" s="85"/>
      <c r="G821" s="159"/>
      <c r="H821" s="155"/>
      <c r="I821" s="164"/>
      <c r="J821" s="164"/>
      <c r="K821" s="155"/>
      <c r="L821" s="85"/>
      <c r="M821" s="95"/>
      <c r="N821" s="87"/>
      <c r="O821" s="20"/>
      <c r="P821" s="31"/>
      <c r="Q821" s="88"/>
      <c r="R821" s="88"/>
      <c r="S821" s="88"/>
      <c r="T821" s="58"/>
      <c r="U821" s="92"/>
      <c r="V821" s="90"/>
    </row>
    <row r="822" spans="1:22" s="168" customFormat="1" ht="22.500000" customHeight="1">
      <c r="A822" s="34">
        <v>820</v>
      </c>
      <c r="B822" s="34"/>
      <c r="C822" s="34"/>
      <c r="D822" s="34"/>
      <c r="E822" s="34"/>
      <c r="F822" s="85"/>
      <c r="G822" s="159"/>
      <c r="H822" s="155"/>
      <c r="I822" s="164"/>
      <c r="J822" s="164"/>
      <c r="K822" s="155"/>
      <c r="L822" s="85"/>
      <c r="M822" s="96"/>
      <c r="N822" s="87"/>
      <c r="O822" s="20"/>
      <c r="P822" s="31"/>
      <c r="Q822" s="88"/>
      <c r="R822" s="88"/>
      <c r="S822" s="88"/>
      <c r="T822" s="58"/>
      <c r="U822" s="94"/>
      <c r="V822" s="93"/>
    </row>
    <row r="823" spans="1:22" s="168" customFormat="1" ht="22.500000" customHeight="1">
      <c r="A823" s="34">
        <v>821</v>
      </c>
      <c r="B823" s="34"/>
      <c r="C823" s="34"/>
      <c r="D823" s="34"/>
      <c r="E823" s="34"/>
      <c r="F823" s="85"/>
      <c r="G823" s="159"/>
      <c r="H823" s="155"/>
      <c r="I823" s="164"/>
      <c r="J823" s="164"/>
      <c r="K823" s="155"/>
      <c r="L823" s="85"/>
      <c r="M823" s="95"/>
      <c r="N823" s="87"/>
      <c r="O823" s="20"/>
      <c r="P823" s="31"/>
      <c r="Q823" s="88"/>
      <c r="R823" s="88"/>
      <c r="S823" s="88"/>
      <c r="T823" s="58"/>
      <c r="U823" s="92"/>
      <c r="V823" s="90"/>
    </row>
    <row r="824" spans="1:22" s="168" customFormat="1" ht="22.500000" customHeight="1">
      <c r="A824" s="34">
        <v>822</v>
      </c>
      <c r="B824" s="34"/>
      <c r="C824" s="34"/>
      <c r="D824" s="34"/>
      <c r="E824" s="34"/>
      <c r="F824" s="85"/>
      <c r="G824" s="159"/>
      <c r="H824" s="155"/>
      <c r="I824" s="164"/>
      <c r="J824" s="164"/>
      <c r="K824" s="155"/>
      <c r="L824" s="85"/>
      <c r="M824" s="96"/>
      <c r="N824" s="87"/>
      <c r="O824" s="20"/>
      <c r="P824" s="31"/>
      <c r="Q824" s="88"/>
      <c r="R824" s="88"/>
      <c r="S824" s="88"/>
      <c r="T824" s="58"/>
      <c r="U824" s="94"/>
      <c r="V824" s="93"/>
    </row>
    <row r="825" spans="1:22" s="168" customFormat="1" ht="22.500000" customHeight="1">
      <c r="A825" s="34">
        <v>823</v>
      </c>
      <c r="B825" s="34"/>
      <c r="C825" s="34"/>
      <c r="D825" s="34"/>
      <c r="E825" s="34"/>
      <c r="F825" s="85"/>
      <c r="G825" s="159"/>
      <c r="H825" s="155"/>
      <c r="I825" s="164"/>
      <c r="J825" s="164"/>
      <c r="K825" s="155"/>
      <c r="L825" s="85"/>
      <c r="M825" s="95"/>
      <c r="N825" s="87"/>
      <c r="O825" s="20"/>
      <c r="P825" s="31"/>
      <c r="Q825" s="88"/>
      <c r="R825" s="88"/>
      <c r="S825" s="88"/>
      <c r="T825" s="58"/>
      <c r="U825" s="92"/>
      <c r="V825" s="90"/>
    </row>
    <row r="826" spans="1:22" s="168" customFormat="1" ht="22.500000" customHeight="1">
      <c r="A826" s="34">
        <v>824</v>
      </c>
      <c r="B826" s="34"/>
      <c r="C826" s="34"/>
      <c r="D826" s="34"/>
      <c r="E826" s="34"/>
      <c r="F826" s="85"/>
      <c r="G826" s="159"/>
      <c r="H826" s="155"/>
      <c r="I826" s="164"/>
      <c r="J826" s="164"/>
      <c r="K826" s="155"/>
      <c r="L826" s="85"/>
      <c r="M826" s="96"/>
      <c r="N826" s="87"/>
      <c r="O826" s="20"/>
      <c r="P826" s="31"/>
      <c r="Q826" s="88"/>
      <c r="R826" s="88"/>
      <c r="S826" s="88"/>
      <c r="T826" s="58"/>
      <c r="U826" s="94"/>
      <c r="V826" s="93"/>
    </row>
    <row r="827" spans="1:22" s="168" customFormat="1" ht="22.500000" customHeight="1">
      <c r="A827" s="34">
        <v>825</v>
      </c>
      <c r="B827" s="34"/>
      <c r="C827" s="34"/>
      <c r="D827" s="34"/>
      <c r="E827" s="34"/>
      <c r="F827" s="85"/>
      <c r="G827" s="159"/>
      <c r="H827" s="155"/>
      <c r="I827" s="164"/>
      <c r="J827" s="164"/>
      <c r="K827" s="155"/>
      <c r="L827" s="85"/>
      <c r="M827" s="95"/>
      <c r="N827" s="87"/>
      <c r="O827" s="20"/>
      <c r="P827" s="31"/>
      <c r="Q827" s="88"/>
      <c r="R827" s="88"/>
      <c r="S827" s="88"/>
      <c r="T827" s="58"/>
      <c r="U827" s="92"/>
      <c r="V827" s="90"/>
    </row>
    <row r="828" spans="1:22" s="168" customFormat="1" ht="22.500000" customHeight="1">
      <c r="A828" s="34">
        <v>826</v>
      </c>
      <c r="B828" s="34"/>
      <c r="C828" s="34"/>
      <c r="D828" s="34"/>
      <c r="E828" s="34"/>
      <c r="F828" s="85"/>
      <c r="G828" s="159"/>
      <c r="H828" s="155"/>
      <c r="I828" s="164"/>
      <c r="J828" s="164"/>
      <c r="K828" s="155"/>
      <c r="L828" s="85"/>
      <c r="M828" s="96"/>
      <c r="N828" s="87"/>
      <c r="O828" s="20"/>
      <c r="P828" s="31"/>
      <c r="Q828" s="88"/>
      <c r="R828" s="88"/>
      <c r="S828" s="88"/>
      <c r="T828" s="58"/>
      <c r="U828" s="94"/>
      <c r="V828" s="93"/>
    </row>
    <row r="829" spans="1:22" s="168" customFormat="1" ht="22.500000" customHeight="1">
      <c r="A829" s="34">
        <v>827</v>
      </c>
      <c r="B829" s="34"/>
      <c r="C829" s="34"/>
      <c r="D829" s="34"/>
      <c r="E829" s="34"/>
      <c r="F829" s="85"/>
      <c r="G829" s="159"/>
      <c r="H829" s="155"/>
      <c r="I829" s="164"/>
      <c r="J829" s="164"/>
      <c r="K829" s="155"/>
      <c r="L829" s="85"/>
      <c r="M829" s="95"/>
      <c r="N829" s="87"/>
      <c r="O829" s="20"/>
      <c r="P829" s="31"/>
      <c r="Q829" s="88"/>
      <c r="R829" s="88"/>
      <c r="S829" s="88"/>
      <c r="T829" s="58"/>
      <c r="U829" s="92"/>
      <c r="V829" s="90"/>
    </row>
    <row r="830" spans="1:22" s="168" customFormat="1" ht="22.500000" customHeight="1">
      <c r="A830" s="34">
        <v>828</v>
      </c>
      <c r="B830" s="34"/>
      <c r="C830" s="34"/>
      <c r="D830" s="34"/>
      <c r="E830" s="34"/>
      <c r="F830" s="85"/>
      <c r="G830" s="159"/>
      <c r="H830" s="155"/>
      <c r="I830" s="164"/>
      <c r="J830" s="164"/>
      <c r="K830" s="155"/>
      <c r="L830" s="85"/>
      <c r="M830" s="96"/>
      <c r="N830" s="87"/>
      <c r="O830" s="20"/>
      <c r="P830" s="31"/>
      <c r="Q830" s="88"/>
      <c r="R830" s="88"/>
      <c r="S830" s="88"/>
      <c r="T830" s="58"/>
      <c r="U830" s="94"/>
      <c r="V830" s="93"/>
    </row>
    <row r="831" spans="1:22" s="168" customFormat="1" ht="22.500000" customHeight="1">
      <c r="A831" s="34">
        <v>829</v>
      </c>
      <c r="B831" s="34"/>
      <c r="C831" s="34"/>
      <c r="D831" s="34"/>
      <c r="E831" s="34"/>
      <c r="F831" s="85"/>
      <c r="G831" s="159"/>
      <c r="H831" s="155"/>
      <c r="I831" s="164"/>
      <c r="J831" s="164"/>
      <c r="K831" s="155"/>
      <c r="L831" s="85"/>
      <c r="M831" s="95"/>
      <c r="N831" s="87"/>
      <c r="O831" s="20"/>
      <c r="P831" s="31"/>
      <c r="Q831" s="88"/>
      <c r="R831" s="88"/>
      <c r="S831" s="88"/>
      <c r="T831" s="58"/>
      <c r="U831" s="92"/>
      <c r="V831" s="90"/>
    </row>
    <row r="832" spans="1:22" s="168" customFormat="1" ht="22.500000" customHeight="1">
      <c r="A832" s="34">
        <v>830</v>
      </c>
      <c r="B832" s="34"/>
      <c r="C832" s="34"/>
      <c r="D832" s="34"/>
      <c r="E832" s="34"/>
      <c r="F832" s="85"/>
      <c r="G832" s="159"/>
      <c r="H832" s="155"/>
      <c r="I832" s="164"/>
      <c r="J832" s="164"/>
      <c r="K832" s="155"/>
      <c r="L832" s="85"/>
      <c r="M832" s="96"/>
      <c r="N832" s="87"/>
      <c r="O832" s="20"/>
      <c r="P832" s="31"/>
      <c r="Q832" s="88"/>
      <c r="R832" s="88"/>
      <c r="S832" s="88"/>
      <c r="T832" s="58"/>
      <c r="U832" s="94"/>
      <c r="V832" s="93"/>
    </row>
    <row r="833" spans="1:22" s="168" customFormat="1" ht="22.500000" customHeight="1">
      <c r="A833" s="34">
        <v>831</v>
      </c>
      <c r="B833" s="34"/>
      <c r="C833" s="34"/>
      <c r="D833" s="34"/>
      <c r="E833" s="34"/>
      <c r="F833" s="85"/>
      <c r="G833" s="159"/>
      <c r="H833" s="155"/>
      <c r="I833" s="164"/>
      <c r="J833" s="164"/>
      <c r="K833" s="155"/>
      <c r="L833" s="85"/>
      <c r="M833" s="95"/>
      <c r="N833" s="87"/>
      <c r="O833" s="20"/>
      <c r="P833" s="31"/>
      <c r="Q833" s="88"/>
      <c r="R833" s="88"/>
      <c r="S833" s="88"/>
      <c r="T833" s="58"/>
      <c r="U833" s="92"/>
      <c r="V833" s="90"/>
    </row>
    <row r="834" spans="1:22" s="168" customFormat="1" ht="22.500000" customHeight="1">
      <c r="A834" s="34">
        <v>832</v>
      </c>
      <c r="B834" s="34"/>
      <c r="C834" s="34"/>
      <c r="D834" s="34"/>
      <c r="E834" s="34"/>
      <c r="F834" s="85"/>
      <c r="G834" s="159"/>
      <c r="H834" s="155"/>
      <c r="I834" s="164"/>
      <c r="J834" s="164"/>
      <c r="K834" s="155"/>
      <c r="L834" s="85"/>
      <c r="M834" s="96"/>
      <c r="N834" s="87"/>
      <c r="O834" s="20"/>
      <c r="P834" s="31"/>
      <c r="Q834" s="88"/>
      <c r="R834" s="88"/>
      <c r="S834" s="88"/>
      <c r="T834" s="58"/>
      <c r="U834" s="94"/>
      <c r="V834" s="93"/>
    </row>
    <row r="835" spans="1:22" s="168" customFormat="1" ht="22.500000" customHeight="1">
      <c r="A835" s="34">
        <v>833</v>
      </c>
      <c r="B835" s="34"/>
      <c r="C835" s="34"/>
      <c r="D835" s="34"/>
      <c r="E835" s="34"/>
      <c r="F835" s="85"/>
      <c r="G835" s="159"/>
      <c r="H835" s="155"/>
      <c r="I835" s="164"/>
      <c r="J835" s="164"/>
      <c r="K835" s="155"/>
      <c r="L835" s="85"/>
      <c r="M835" s="95"/>
      <c r="N835" s="87"/>
      <c r="O835" s="20"/>
      <c r="P835" s="31"/>
      <c r="Q835" s="88"/>
      <c r="R835" s="88"/>
      <c r="S835" s="88"/>
      <c r="T835" s="58"/>
      <c r="U835" s="92"/>
      <c r="V835" s="90"/>
    </row>
    <row r="836" spans="1:22" s="168" customFormat="1" ht="22.500000" customHeight="1">
      <c r="A836" s="34">
        <v>834</v>
      </c>
      <c r="B836" s="34"/>
      <c r="C836" s="34"/>
      <c r="D836" s="34"/>
      <c r="E836" s="34"/>
      <c r="F836" s="85"/>
      <c r="G836" s="159"/>
      <c r="H836" s="155"/>
      <c r="I836" s="164"/>
      <c r="J836" s="164"/>
      <c r="K836" s="155"/>
      <c r="L836" s="85"/>
      <c r="M836" s="96"/>
      <c r="N836" s="87"/>
      <c r="O836" s="20"/>
      <c r="P836" s="31"/>
      <c r="Q836" s="88"/>
      <c r="R836" s="88"/>
      <c r="S836" s="88"/>
      <c r="T836" s="58"/>
      <c r="U836" s="94"/>
      <c r="V836" s="93"/>
    </row>
    <row r="837" spans="1:22" s="168" customFormat="1" ht="22.500000" customHeight="1">
      <c r="A837" s="34">
        <v>835</v>
      </c>
      <c r="B837" s="34"/>
      <c r="C837" s="34"/>
      <c r="D837" s="34"/>
      <c r="E837" s="34"/>
      <c r="F837" s="85"/>
      <c r="G837" s="159"/>
      <c r="H837" s="155"/>
      <c r="I837" s="164"/>
      <c r="J837" s="164"/>
      <c r="K837" s="155"/>
      <c r="L837" s="85"/>
      <c r="M837" s="95"/>
      <c r="N837" s="87"/>
      <c r="O837" s="20"/>
      <c r="P837" s="31"/>
      <c r="Q837" s="88"/>
      <c r="R837" s="88"/>
      <c r="S837" s="88"/>
      <c r="T837" s="58"/>
      <c r="U837" s="92"/>
      <c r="V837" s="90"/>
    </row>
    <row r="838" spans="1:22" s="168" customFormat="1" ht="22.500000" customHeight="1">
      <c r="A838" s="34">
        <v>836</v>
      </c>
      <c r="B838" s="34"/>
      <c r="C838" s="34"/>
      <c r="D838" s="34"/>
      <c r="E838" s="34"/>
      <c r="F838" s="85"/>
      <c r="G838" s="159"/>
      <c r="H838" s="155"/>
      <c r="I838" s="164"/>
      <c r="J838" s="164"/>
      <c r="K838" s="155"/>
      <c r="L838" s="85"/>
      <c r="M838" s="96"/>
      <c r="N838" s="87"/>
      <c r="O838" s="20"/>
      <c r="P838" s="31"/>
      <c r="Q838" s="88"/>
      <c r="R838" s="88"/>
      <c r="S838" s="88"/>
      <c r="T838" s="58"/>
      <c r="U838" s="94"/>
      <c r="V838" s="93"/>
    </row>
    <row r="839" spans="1:22" s="168" customFormat="1" ht="22.500000" customHeight="1">
      <c r="A839" s="34">
        <v>837</v>
      </c>
      <c r="B839" s="34"/>
      <c r="C839" s="34"/>
      <c r="D839" s="34"/>
      <c r="E839" s="34"/>
      <c r="F839" s="85"/>
      <c r="G839" s="159"/>
      <c r="H839" s="155"/>
      <c r="I839" s="164"/>
      <c r="J839" s="164"/>
      <c r="K839" s="155"/>
      <c r="L839" s="85"/>
      <c r="M839" s="95"/>
      <c r="N839" s="87"/>
      <c r="O839" s="20"/>
      <c r="P839" s="31"/>
      <c r="Q839" s="88"/>
      <c r="R839" s="88"/>
      <c r="S839" s="88"/>
      <c r="T839" s="58"/>
      <c r="U839" s="92"/>
      <c r="V839" s="90"/>
    </row>
    <row r="840" spans="1:22" s="168" customFormat="1" ht="22.500000" customHeight="1">
      <c r="A840" s="34">
        <v>838</v>
      </c>
      <c r="B840" s="34"/>
      <c r="C840" s="34"/>
      <c r="D840" s="34"/>
      <c r="E840" s="34"/>
      <c r="F840" s="85"/>
      <c r="G840" s="159"/>
      <c r="H840" s="155"/>
      <c r="I840" s="164"/>
      <c r="J840" s="164"/>
      <c r="K840" s="155"/>
      <c r="L840" s="85"/>
      <c r="M840" s="96"/>
      <c r="N840" s="87"/>
      <c r="O840" s="20"/>
      <c r="P840" s="31"/>
      <c r="Q840" s="88"/>
      <c r="R840" s="88"/>
      <c r="S840" s="88"/>
      <c r="T840" s="58"/>
      <c r="U840" s="94"/>
      <c r="V840" s="93"/>
    </row>
    <row r="841" spans="1:22" s="168" customFormat="1" ht="22.500000" customHeight="1">
      <c r="A841" s="34">
        <v>839</v>
      </c>
      <c r="B841" s="34"/>
      <c r="C841" s="34"/>
      <c r="D841" s="34"/>
      <c r="E841" s="34"/>
      <c r="F841" s="85"/>
      <c r="G841" s="159"/>
      <c r="H841" s="155"/>
      <c r="I841" s="164"/>
      <c r="J841" s="164"/>
      <c r="K841" s="155"/>
      <c r="L841" s="85"/>
      <c r="M841" s="95"/>
      <c r="N841" s="87"/>
      <c r="O841" s="20"/>
      <c r="P841" s="31"/>
      <c r="Q841" s="88"/>
      <c r="R841" s="88"/>
      <c r="S841" s="88"/>
      <c r="T841" s="58"/>
      <c r="U841" s="92"/>
      <c r="V841" s="90"/>
    </row>
    <row r="842" spans="1:22" s="168" customFormat="1" ht="22.500000" customHeight="1">
      <c r="A842" s="34">
        <v>840</v>
      </c>
      <c r="B842" s="34"/>
      <c r="C842" s="34"/>
      <c r="D842" s="34"/>
      <c r="E842" s="34"/>
      <c r="F842" s="85"/>
      <c r="G842" s="159"/>
      <c r="H842" s="155"/>
      <c r="I842" s="164"/>
      <c r="J842" s="164"/>
      <c r="K842" s="155"/>
      <c r="L842" s="85"/>
      <c r="M842" s="96"/>
      <c r="N842" s="87"/>
      <c r="O842" s="20"/>
      <c r="P842" s="31"/>
      <c r="Q842" s="88"/>
      <c r="R842" s="88"/>
      <c r="S842" s="88"/>
      <c r="T842" s="58"/>
      <c r="U842" s="94"/>
      <c r="V842" s="93"/>
    </row>
    <row r="843" spans="1:22" s="168" customFormat="1" ht="22.500000" customHeight="1">
      <c r="A843" s="34">
        <v>841</v>
      </c>
      <c r="B843" s="34"/>
      <c r="C843" s="34"/>
      <c r="D843" s="34"/>
      <c r="E843" s="34"/>
      <c r="F843" s="85"/>
      <c r="G843" s="159"/>
      <c r="H843" s="155"/>
      <c r="I843" s="164"/>
      <c r="J843" s="164"/>
      <c r="K843" s="155"/>
      <c r="L843" s="85"/>
      <c r="M843" s="95"/>
      <c r="N843" s="87"/>
      <c r="O843" s="20"/>
      <c r="P843" s="31"/>
      <c r="Q843" s="88"/>
      <c r="R843" s="88"/>
      <c r="S843" s="88"/>
      <c r="T843" s="58"/>
      <c r="U843" s="92"/>
      <c r="V843" s="90"/>
    </row>
    <row r="844" spans="1:22" s="168" customFormat="1" ht="22.500000" customHeight="1">
      <c r="A844" s="34">
        <v>842</v>
      </c>
      <c r="B844" s="34"/>
      <c r="C844" s="34"/>
      <c r="D844" s="34"/>
      <c r="E844" s="34"/>
      <c r="F844" s="85"/>
      <c r="G844" s="159"/>
      <c r="H844" s="155"/>
      <c r="I844" s="164"/>
      <c r="J844" s="164"/>
      <c r="K844" s="155"/>
      <c r="L844" s="85"/>
      <c r="M844" s="96"/>
      <c r="N844" s="87"/>
      <c r="O844" s="20"/>
      <c r="P844" s="31"/>
      <c r="Q844" s="88"/>
      <c r="R844" s="88"/>
      <c r="S844" s="88"/>
      <c r="T844" s="58"/>
      <c r="U844" s="94"/>
      <c r="V844" s="93"/>
    </row>
    <row r="845" spans="1:22" s="168" customFormat="1" ht="22.500000" customHeight="1">
      <c r="A845" s="34">
        <v>843</v>
      </c>
      <c r="B845" s="34"/>
      <c r="C845" s="34"/>
      <c r="D845" s="34"/>
      <c r="E845" s="34"/>
      <c r="F845" s="85"/>
      <c r="G845" s="159"/>
      <c r="H845" s="155"/>
      <c r="I845" s="164"/>
      <c r="J845" s="164"/>
      <c r="K845" s="155"/>
      <c r="L845" s="85"/>
      <c r="M845" s="95"/>
      <c r="N845" s="87"/>
      <c r="O845" s="20"/>
      <c r="P845" s="31"/>
      <c r="Q845" s="88"/>
      <c r="R845" s="88"/>
      <c r="S845" s="88"/>
      <c r="T845" s="58"/>
      <c r="U845" s="92"/>
      <c r="V845" s="90"/>
    </row>
    <row r="846" spans="1:22" s="168" customFormat="1" ht="22.500000" customHeight="1">
      <c r="A846" s="34">
        <v>844</v>
      </c>
      <c r="B846" s="34"/>
      <c r="C846" s="34"/>
      <c r="D846" s="34"/>
      <c r="E846" s="34"/>
      <c r="F846" s="85"/>
      <c r="G846" s="159"/>
      <c r="H846" s="155"/>
      <c r="I846" s="164"/>
      <c r="J846" s="164"/>
      <c r="K846" s="155"/>
      <c r="L846" s="85"/>
      <c r="M846" s="96"/>
      <c r="N846" s="87"/>
      <c r="O846" s="20"/>
      <c r="P846" s="31"/>
      <c r="Q846" s="88"/>
      <c r="R846" s="88"/>
      <c r="S846" s="88"/>
      <c r="T846" s="58"/>
      <c r="U846" s="94"/>
      <c r="V846" s="93"/>
    </row>
    <row r="847" spans="1:22" s="168" customFormat="1" ht="22.500000" customHeight="1">
      <c r="A847" s="34">
        <v>845</v>
      </c>
      <c r="B847" s="34"/>
      <c r="C847" s="34"/>
      <c r="D847" s="34"/>
      <c r="E847" s="34"/>
      <c r="F847" s="85"/>
      <c r="G847" s="159"/>
      <c r="H847" s="155"/>
      <c r="I847" s="164"/>
      <c r="J847" s="164"/>
      <c r="K847" s="155"/>
      <c r="L847" s="85"/>
      <c r="M847" s="95"/>
      <c r="N847" s="87"/>
      <c r="O847" s="20"/>
      <c r="P847" s="31"/>
      <c r="Q847" s="88"/>
      <c r="R847" s="88"/>
      <c r="S847" s="88"/>
      <c r="T847" s="58"/>
      <c r="U847" s="92"/>
      <c r="V847" s="90"/>
    </row>
    <row r="848" spans="1:22" s="168" customFormat="1" ht="22.500000" customHeight="1">
      <c r="A848" s="34">
        <v>846</v>
      </c>
      <c r="B848" s="34"/>
      <c r="C848" s="34"/>
      <c r="D848" s="34"/>
      <c r="E848" s="34"/>
      <c r="F848" s="85"/>
      <c r="G848" s="159"/>
      <c r="H848" s="155"/>
      <c r="I848" s="164"/>
      <c r="J848" s="164"/>
      <c r="K848" s="155"/>
      <c r="L848" s="85"/>
      <c r="M848" s="96"/>
      <c r="N848" s="87"/>
      <c r="O848" s="20"/>
      <c r="P848" s="31"/>
      <c r="Q848" s="88"/>
      <c r="R848" s="88"/>
      <c r="S848" s="88"/>
      <c r="T848" s="58"/>
      <c r="U848" s="94"/>
      <c r="V848" s="93"/>
    </row>
    <row r="849" spans="1:22" s="168" customFormat="1" ht="22.500000" customHeight="1">
      <c r="A849" s="34">
        <v>847</v>
      </c>
      <c r="B849" s="34"/>
      <c r="C849" s="34"/>
      <c r="D849" s="34"/>
      <c r="E849" s="34"/>
      <c r="F849" s="85"/>
      <c r="G849" s="159"/>
      <c r="H849" s="155"/>
      <c r="I849" s="164"/>
      <c r="J849" s="164"/>
      <c r="K849" s="155"/>
      <c r="L849" s="85"/>
      <c r="M849" s="95"/>
      <c r="N849" s="87"/>
      <c r="O849" s="20"/>
      <c r="P849" s="31"/>
      <c r="Q849" s="88"/>
      <c r="R849" s="88"/>
      <c r="S849" s="88"/>
      <c r="T849" s="58"/>
      <c r="U849" s="92"/>
      <c r="V849" s="90"/>
    </row>
    <row r="850" spans="1:22" s="168" customFormat="1" ht="22.500000" customHeight="1">
      <c r="A850" s="34">
        <v>848</v>
      </c>
      <c r="B850" s="34"/>
      <c r="C850" s="34"/>
      <c r="D850" s="34"/>
      <c r="E850" s="34"/>
      <c r="F850" s="85"/>
      <c r="G850" s="159"/>
      <c r="H850" s="155"/>
      <c r="I850" s="164"/>
      <c r="J850" s="164"/>
      <c r="K850" s="155"/>
      <c r="L850" s="85"/>
      <c r="M850" s="96"/>
      <c r="N850" s="87"/>
      <c r="O850" s="20"/>
      <c r="P850" s="31"/>
      <c r="Q850" s="88"/>
      <c r="R850" s="88"/>
      <c r="S850" s="88"/>
      <c r="T850" s="58"/>
      <c r="U850" s="94"/>
      <c r="V850" s="93"/>
    </row>
    <row r="851" spans="1:22" s="168" customFormat="1" ht="22.500000" customHeight="1">
      <c r="A851" s="34">
        <v>849</v>
      </c>
      <c r="B851" s="34"/>
      <c r="C851" s="34"/>
      <c r="D851" s="34"/>
      <c r="E851" s="34"/>
      <c r="F851" s="85"/>
      <c r="G851" s="159"/>
      <c r="H851" s="155"/>
      <c r="I851" s="164"/>
      <c r="J851" s="164"/>
      <c r="K851" s="155"/>
      <c r="L851" s="85"/>
      <c r="M851" s="95"/>
      <c r="N851" s="87"/>
      <c r="O851" s="20"/>
      <c r="P851" s="31"/>
      <c r="Q851" s="88"/>
      <c r="R851" s="88"/>
      <c r="S851" s="88"/>
      <c r="T851" s="58"/>
      <c r="U851" s="92"/>
      <c r="V851" s="90"/>
    </row>
    <row r="852" spans="1:22" s="168" customFormat="1" ht="22.500000" customHeight="1">
      <c r="A852" s="34">
        <v>850</v>
      </c>
      <c r="B852" s="34"/>
      <c r="C852" s="34"/>
      <c r="D852" s="34"/>
      <c r="E852" s="34"/>
      <c r="F852" s="85"/>
      <c r="G852" s="159"/>
      <c r="H852" s="155"/>
      <c r="I852" s="164"/>
      <c r="J852" s="164"/>
      <c r="K852" s="155"/>
      <c r="L852" s="85"/>
      <c r="M852" s="96"/>
      <c r="N852" s="87"/>
      <c r="O852" s="20"/>
      <c r="P852" s="31"/>
      <c r="Q852" s="88"/>
      <c r="R852" s="88"/>
      <c r="S852" s="88"/>
      <c r="T852" s="58"/>
      <c r="U852" s="94"/>
      <c r="V852" s="93"/>
    </row>
    <row r="853" spans="1:22" s="168" customFormat="1" ht="22.500000" customHeight="1">
      <c r="A853" s="34">
        <v>851</v>
      </c>
      <c r="B853" s="34"/>
      <c r="C853" s="34"/>
      <c r="D853" s="34"/>
      <c r="E853" s="34"/>
      <c r="F853" s="85"/>
      <c r="G853" s="159"/>
      <c r="H853" s="155"/>
      <c r="I853" s="164"/>
      <c r="J853" s="164"/>
      <c r="K853" s="155"/>
      <c r="L853" s="85"/>
      <c r="M853" s="95"/>
      <c r="N853" s="87"/>
      <c r="O853" s="20"/>
      <c r="P853" s="31"/>
      <c r="Q853" s="88"/>
      <c r="R853" s="88"/>
      <c r="S853" s="88"/>
      <c r="T853" s="58"/>
      <c r="U853" s="92"/>
      <c r="V853" s="90"/>
    </row>
    <row r="854" spans="1:22" s="168" customFormat="1" ht="22.500000" customHeight="1">
      <c r="A854" s="34">
        <v>852</v>
      </c>
      <c r="B854" s="34"/>
      <c r="C854" s="34"/>
      <c r="D854" s="34"/>
      <c r="E854" s="34"/>
      <c r="F854" s="85"/>
      <c r="G854" s="159"/>
      <c r="H854" s="155"/>
      <c r="I854" s="164"/>
      <c r="J854" s="164"/>
      <c r="K854" s="155"/>
      <c r="L854" s="85"/>
      <c r="M854" s="96"/>
      <c r="N854" s="87"/>
      <c r="O854" s="20"/>
      <c r="P854" s="31"/>
      <c r="Q854" s="88"/>
      <c r="R854" s="88"/>
      <c r="S854" s="88"/>
      <c r="T854" s="58"/>
      <c r="U854" s="94"/>
      <c r="V854" s="93"/>
    </row>
    <row r="855" spans="1:22" s="168" customFormat="1" ht="22.500000" customHeight="1">
      <c r="A855" s="34">
        <v>853</v>
      </c>
      <c r="B855" s="34"/>
      <c r="C855" s="34"/>
      <c r="D855" s="34"/>
      <c r="E855" s="34"/>
      <c r="F855" s="85"/>
      <c r="G855" s="159"/>
      <c r="H855" s="155"/>
      <c r="I855" s="164"/>
      <c r="J855" s="164"/>
      <c r="K855" s="155"/>
      <c r="L855" s="85"/>
      <c r="M855" s="95"/>
      <c r="N855" s="87"/>
      <c r="O855" s="20"/>
      <c r="P855" s="31"/>
      <c r="Q855" s="88"/>
      <c r="R855" s="88"/>
      <c r="S855" s="88"/>
      <c r="T855" s="58"/>
      <c r="U855" s="92"/>
      <c r="V855" s="90"/>
    </row>
    <row r="856" spans="1:22" s="168" customFormat="1" ht="22.500000" customHeight="1">
      <c r="A856" s="34">
        <v>854</v>
      </c>
      <c r="B856" s="34"/>
      <c r="C856" s="34"/>
      <c r="D856" s="34"/>
      <c r="E856" s="34"/>
      <c r="F856" s="85"/>
      <c r="G856" s="159"/>
      <c r="H856" s="155"/>
      <c r="I856" s="164"/>
      <c r="J856" s="164"/>
      <c r="K856" s="155"/>
      <c r="L856" s="85"/>
      <c r="M856" s="96"/>
      <c r="N856" s="87"/>
      <c r="O856" s="20"/>
      <c r="P856" s="31"/>
      <c r="Q856" s="88"/>
      <c r="R856" s="88"/>
      <c r="S856" s="88"/>
      <c r="T856" s="58"/>
      <c r="U856" s="94"/>
      <c r="V856" s="93"/>
    </row>
    <row r="857" spans="1:22" s="168" customFormat="1" ht="22.500000" customHeight="1">
      <c r="A857" s="34">
        <v>855</v>
      </c>
      <c r="B857" s="34"/>
      <c r="C857" s="34"/>
      <c r="D857" s="34"/>
      <c r="E857" s="34"/>
      <c r="F857" s="85"/>
      <c r="G857" s="159"/>
      <c r="H857" s="155"/>
      <c r="I857" s="164"/>
      <c r="J857" s="164"/>
      <c r="K857" s="155"/>
      <c r="L857" s="85"/>
      <c r="M857" s="95"/>
      <c r="N857" s="87"/>
      <c r="O857" s="20"/>
      <c r="P857" s="31"/>
      <c r="Q857" s="88"/>
      <c r="R857" s="88"/>
      <c r="S857" s="88"/>
      <c r="T857" s="58"/>
      <c r="U857" s="92"/>
      <c r="V857" s="90"/>
    </row>
    <row r="858" spans="1:22" s="168" customFormat="1" ht="22.500000" customHeight="1">
      <c r="A858" s="34">
        <v>856</v>
      </c>
      <c r="B858" s="34"/>
      <c r="C858" s="34"/>
      <c r="D858" s="34"/>
      <c r="E858" s="34"/>
      <c r="F858" s="85"/>
      <c r="G858" s="159"/>
      <c r="H858" s="155"/>
      <c r="I858" s="164"/>
      <c r="J858" s="164"/>
      <c r="K858" s="155"/>
      <c r="L858" s="85"/>
      <c r="M858" s="96"/>
      <c r="N858" s="87"/>
      <c r="O858" s="20"/>
      <c r="P858" s="31"/>
      <c r="Q858" s="88"/>
      <c r="R858" s="88"/>
      <c r="S858" s="88"/>
      <c r="T858" s="58"/>
      <c r="U858" s="94"/>
      <c r="V858" s="93"/>
    </row>
    <row r="859" spans="1:22" s="168" customFormat="1" ht="22.500000" customHeight="1">
      <c r="A859" s="34">
        <v>857</v>
      </c>
      <c r="B859" s="34"/>
      <c r="C859" s="34"/>
      <c r="D859" s="34"/>
      <c r="E859" s="34"/>
      <c r="F859" s="85"/>
      <c r="G859" s="159"/>
      <c r="H859" s="155"/>
      <c r="I859" s="164"/>
      <c r="J859" s="164"/>
      <c r="K859" s="155"/>
      <c r="L859" s="85"/>
      <c r="M859" s="95"/>
      <c r="N859" s="87"/>
      <c r="O859" s="20"/>
      <c r="P859" s="31"/>
      <c r="Q859" s="88"/>
      <c r="R859" s="88"/>
      <c r="S859" s="88"/>
      <c r="T859" s="58"/>
      <c r="U859" s="92"/>
      <c r="V859" s="90"/>
    </row>
    <row r="860" spans="1:22" s="168" customFormat="1" ht="22.500000" customHeight="1">
      <c r="A860" s="34">
        <v>858</v>
      </c>
      <c r="B860" s="34"/>
      <c r="C860" s="34"/>
      <c r="D860" s="34"/>
      <c r="E860" s="34"/>
      <c r="F860" s="85"/>
      <c r="G860" s="159"/>
      <c r="H860" s="155"/>
      <c r="I860" s="164"/>
      <c r="J860" s="164"/>
      <c r="K860" s="155"/>
      <c r="L860" s="85"/>
      <c r="M860" s="96"/>
      <c r="N860" s="87"/>
      <c r="O860" s="20"/>
      <c r="P860" s="31"/>
      <c r="Q860" s="88"/>
      <c r="R860" s="88"/>
      <c r="S860" s="88"/>
      <c r="T860" s="58"/>
      <c r="U860" s="94"/>
      <c r="V860" s="93"/>
    </row>
    <row r="861" spans="1:22" s="168" customFormat="1" ht="22.500000" customHeight="1">
      <c r="A861" s="34">
        <v>859</v>
      </c>
      <c r="B861" s="34"/>
      <c r="C861" s="34"/>
      <c r="D861" s="34"/>
      <c r="E861" s="34"/>
      <c r="F861" s="85"/>
      <c r="G861" s="159"/>
      <c r="H861" s="155"/>
      <c r="I861" s="164"/>
      <c r="J861" s="164"/>
      <c r="K861" s="155"/>
      <c r="L861" s="85"/>
      <c r="M861" s="95"/>
      <c r="N861" s="87"/>
      <c r="O861" s="20"/>
      <c r="P861" s="31"/>
      <c r="Q861" s="88"/>
      <c r="R861" s="88"/>
      <c r="S861" s="88"/>
      <c r="T861" s="58"/>
      <c r="U861" s="92"/>
      <c r="V861" s="90"/>
    </row>
    <row r="862" spans="1:22" s="168" customFormat="1" ht="22.500000" customHeight="1">
      <c r="A862" s="34">
        <v>860</v>
      </c>
      <c r="B862" s="34"/>
      <c r="C862" s="34"/>
      <c r="D862" s="34"/>
      <c r="E862" s="34"/>
      <c r="F862" s="85"/>
      <c r="G862" s="159"/>
      <c r="H862" s="155"/>
      <c r="I862" s="164"/>
      <c r="J862" s="164"/>
      <c r="K862" s="155"/>
      <c r="L862" s="85"/>
      <c r="M862" s="96"/>
      <c r="N862" s="87"/>
      <c r="O862" s="20"/>
      <c r="P862" s="31"/>
      <c r="Q862" s="88"/>
      <c r="R862" s="88"/>
      <c r="S862" s="88"/>
      <c r="T862" s="58"/>
      <c r="U862" s="94"/>
      <c r="V862" s="93"/>
    </row>
    <row r="863" spans="1:22" s="168" customFormat="1" ht="22.500000" customHeight="1">
      <c r="A863" s="34">
        <v>861</v>
      </c>
      <c r="B863" s="34"/>
      <c r="C863" s="34"/>
      <c r="D863" s="34"/>
      <c r="E863" s="34"/>
      <c r="F863" s="85"/>
      <c r="G863" s="159"/>
      <c r="H863" s="155"/>
      <c r="I863" s="164"/>
      <c r="J863" s="164"/>
      <c r="K863" s="155"/>
      <c r="L863" s="85"/>
      <c r="M863" s="95"/>
      <c r="N863" s="87"/>
      <c r="O863" s="20"/>
      <c r="P863" s="31"/>
      <c r="Q863" s="88"/>
      <c r="R863" s="88"/>
      <c r="S863" s="88"/>
      <c r="T863" s="58"/>
      <c r="U863" s="92"/>
      <c r="V863" s="90"/>
    </row>
    <row r="864" spans="1:22" s="168" customFormat="1" ht="22.500000" customHeight="1">
      <c r="A864" s="34">
        <v>862</v>
      </c>
      <c r="B864" s="34"/>
      <c r="C864" s="34"/>
      <c r="D864" s="34"/>
      <c r="E864" s="34"/>
      <c r="F864" s="85"/>
      <c r="G864" s="159"/>
      <c r="H864" s="155"/>
      <c r="I864" s="164"/>
      <c r="J864" s="164"/>
      <c r="K864" s="155"/>
      <c r="L864" s="85"/>
      <c r="M864" s="96"/>
      <c r="N864" s="87"/>
      <c r="O864" s="20"/>
      <c r="P864" s="31"/>
      <c r="Q864" s="88"/>
      <c r="R864" s="88"/>
      <c r="S864" s="88"/>
      <c r="T864" s="58"/>
      <c r="U864" s="94"/>
      <c r="V864" s="93"/>
    </row>
    <row r="865" spans="1:22" s="168" customFormat="1" ht="22.500000" customHeight="1">
      <c r="A865" s="34">
        <v>863</v>
      </c>
      <c r="B865" s="34"/>
      <c r="C865" s="34"/>
      <c r="D865" s="34"/>
      <c r="E865" s="34"/>
      <c r="F865" s="85"/>
      <c r="G865" s="159"/>
      <c r="H865" s="155"/>
      <c r="I865" s="164"/>
      <c r="J865" s="164"/>
      <c r="K865" s="155"/>
      <c r="L865" s="85"/>
      <c r="M865" s="95"/>
      <c r="N865" s="87"/>
      <c r="O865" s="20"/>
      <c r="P865" s="31"/>
      <c r="Q865" s="88"/>
      <c r="R865" s="88"/>
      <c r="S865" s="88"/>
      <c r="T865" s="58"/>
      <c r="U865" s="92"/>
      <c r="V865" s="90"/>
    </row>
    <row r="866" spans="1:22" s="168" customFormat="1" ht="22.500000" customHeight="1">
      <c r="A866" s="34">
        <v>864</v>
      </c>
      <c r="B866" s="34"/>
      <c r="C866" s="34"/>
      <c r="D866" s="34"/>
      <c r="E866" s="34"/>
      <c r="F866" s="85"/>
      <c r="G866" s="159"/>
      <c r="H866" s="155"/>
      <c r="I866" s="164"/>
      <c r="J866" s="164"/>
      <c r="K866" s="155"/>
      <c r="L866" s="85"/>
      <c r="M866" s="96"/>
      <c r="N866" s="87"/>
      <c r="O866" s="20"/>
      <c r="P866" s="31"/>
      <c r="Q866" s="88"/>
      <c r="R866" s="88"/>
      <c r="S866" s="88"/>
      <c r="T866" s="58"/>
      <c r="U866" s="94"/>
      <c r="V866" s="93"/>
    </row>
    <row r="867" spans="1:22" s="168" customFormat="1" ht="22.500000" customHeight="1">
      <c r="A867" s="34">
        <v>865</v>
      </c>
      <c r="B867" s="34"/>
      <c r="C867" s="34"/>
      <c r="D867" s="34"/>
      <c r="E867" s="34"/>
      <c r="F867" s="85"/>
      <c r="G867" s="159"/>
      <c r="H867" s="155"/>
      <c r="I867" s="164"/>
      <c r="J867" s="164"/>
      <c r="K867" s="155"/>
      <c r="L867" s="85"/>
      <c r="M867" s="95"/>
      <c r="N867" s="87"/>
      <c r="O867" s="20"/>
      <c r="P867" s="31"/>
      <c r="Q867" s="88"/>
      <c r="R867" s="88"/>
      <c r="S867" s="88"/>
      <c r="T867" s="58"/>
      <c r="U867" s="92"/>
      <c r="V867" s="90"/>
    </row>
    <row r="868" spans="1:22" s="168" customFormat="1" ht="22.500000" customHeight="1">
      <c r="A868" s="34">
        <v>866</v>
      </c>
      <c r="B868" s="34"/>
      <c r="C868" s="34"/>
      <c r="D868" s="34"/>
      <c r="E868" s="34"/>
      <c r="F868" s="85"/>
      <c r="G868" s="159"/>
      <c r="H868" s="155"/>
      <c r="I868" s="164"/>
      <c r="J868" s="164"/>
      <c r="K868" s="155"/>
      <c r="L868" s="85"/>
      <c r="M868" s="96"/>
      <c r="N868" s="87"/>
      <c r="O868" s="20"/>
      <c r="P868" s="31"/>
      <c r="Q868" s="88"/>
      <c r="R868" s="88"/>
      <c r="S868" s="88"/>
      <c r="T868" s="58"/>
      <c r="U868" s="94"/>
      <c r="V868" s="93"/>
    </row>
    <row r="869" spans="1:22" s="168" customFormat="1" ht="22.500000" customHeight="1">
      <c r="A869" s="34">
        <v>867</v>
      </c>
      <c r="B869" s="34"/>
      <c r="C869" s="34"/>
      <c r="D869" s="34"/>
      <c r="E869" s="34"/>
      <c r="F869" s="85"/>
      <c r="G869" s="159"/>
      <c r="H869" s="155"/>
      <c r="I869" s="164"/>
      <c r="J869" s="164"/>
      <c r="K869" s="155"/>
      <c r="L869" s="85"/>
      <c r="M869" s="95"/>
      <c r="N869" s="87"/>
      <c r="O869" s="20"/>
      <c r="P869" s="31"/>
      <c r="Q869" s="88"/>
      <c r="R869" s="88"/>
      <c r="S869" s="88"/>
      <c r="T869" s="58"/>
      <c r="U869" s="92"/>
      <c r="V869" s="90"/>
    </row>
    <row r="870" spans="1:22" s="168" customFormat="1" ht="22.500000" customHeight="1">
      <c r="A870" s="34">
        <v>868</v>
      </c>
      <c r="B870" s="34"/>
      <c r="C870" s="34"/>
      <c r="D870" s="34"/>
      <c r="E870" s="34"/>
      <c r="F870" s="85"/>
      <c r="G870" s="159"/>
      <c r="H870" s="155"/>
      <c r="I870" s="164"/>
      <c r="J870" s="164"/>
      <c r="K870" s="155"/>
      <c r="L870" s="85"/>
      <c r="M870" s="96"/>
      <c r="N870" s="87"/>
      <c r="O870" s="20"/>
      <c r="P870" s="31"/>
      <c r="Q870" s="88"/>
      <c r="R870" s="88"/>
      <c r="S870" s="88"/>
      <c r="T870" s="58"/>
      <c r="U870" s="94"/>
      <c r="V870" s="93"/>
    </row>
    <row r="871" spans="1:22" s="168" customFormat="1" ht="22.500000" customHeight="1">
      <c r="A871" s="34">
        <v>869</v>
      </c>
      <c r="B871" s="34"/>
      <c r="C871" s="34"/>
      <c r="D871" s="34"/>
      <c r="E871" s="34"/>
      <c r="F871" s="85"/>
      <c r="G871" s="159"/>
      <c r="H871" s="155"/>
      <c r="I871" s="164"/>
      <c r="J871" s="164"/>
      <c r="K871" s="155"/>
      <c r="L871" s="85"/>
      <c r="M871" s="95"/>
      <c r="N871" s="87"/>
      <c r="O871" s="20"/>
      <c r="P871" s="31"/>
      <c r="Q871" s="88"/>
      <c r="R871" s="88"/>
      <c r="S871" s="88"/>
      <c r="T871" s="58"/>
      <c r="U871" s="92"/>
      <c r="V871" s="90"/>
    </row>
    <row r="872" spans="1:22" s="168" customFormat="1" ht="22.500000" customHeight="1">
      <c r="A872" s="34">
        <v>870</v>
      </c>
      <c r="B872" s="34"/>
      <c r="C872" s="34"/>
      <c r="D872" s="34"/>
      <c r="E872" s="34"/>
      <c r="F872" s="85"/>
      <c r="G872" s="159"/>
      <c r="H872" s="155"/>
      <c r="I872" s="164"/>
      <c r="J872" s="164"/>
      <c r="K872" s="155"/>
      <c r="L872" s="85"/>
      <c r="M872" s="96"/>
      <c r="N872" s="87"/>
      <c r="O872" s="20"/>
      <c r="P872" s="31"/>
      <c r="Q872" s="88"/>
      <c r="R872" s="88"/>
      <c r="S872" s="88"/>
      <c r="T872" s="58"/>
      <c r="U872" s="94"/>
      <c r="V872" s="93"/>
    </row>
    <row r="873" spans="1:22" s="168" customFormat="1" ht="22.500000" customHeight="1">
      <c r="A873" s="34">
        <v>871</v>
      </c>
      <c r="B873" s="34"/>
      <c r="C873" s="34"/>
      <c r="D873" s="34"/>
      <c r="E873" s="34"/>
      <c r="F873" s="85"/>
      <c r="G873" s="159"/>
      <c r="H873" s="155"/>
      <c r="I873" s="164"/>
      <c r="J873" s="164"/>
      <c r="K873" s="155"/>
      <c r="L873" s="85"/>
      <c r="M873" s="95"/>
      <c r="N873" s="87"/>
      <c r="O873" s="20"/>
      <c r="P873" s="31"/>
      <c r="Q873" s="88"/>
      <c r="R873" s="88"/>
      <c r="S873" s="88"/>
      <c r="T873" s="58"/>
      <c r="U873" s="92"/>
      <c r="V873" s="90"/>
    </row>
    <row r="874" spans="1:22" s="168" customFormat="1" ht="22.500000" customHeight="1">
      <c r="A874" s="34">
        <v>872</v>
      </c>
      <c r="B874" s="34"/>
      <c r="C874" s="34"/>
      <c r="D874" s="34"/>
      <c r="E874" s="34"/>
      <c r="F874" s="85"/>
      <c r="G874" s="159"/>
      <c r="H874" s="155"/>
      <c r="I874" s="164"/>
      <c r="J874" s="164"/>
      <c r="K874" s="155"/>
      <c r="L874" s="85"/>
      <c r="M874" s="96"/>
      <c r="N874" s="87"/>
      <c r="O874" s="20"/>
      <c r="P874" s="31"/>
      <c r="Q874" s="88"/>
      <c r="R874" s="88"/>
      <c r="S874" s="88"/>
      <c r="T874" s="58"/>
      <c r="U874" s="94"/>
      <c r="V874" s="93"/>
    </row>
    <row r="875" spans="1:22" s="168" customFormat="1" ht="22.500000" customHeight="1">
      <c r="A875" s="34">
        <v>873</v>
      </c>
      <c r="B875" s="34"/>
      <c r="C875" s="34"/>
      <c r="D875" s="34"/>
      <c r="E875" s="34"/>
      <c r="F875" s="85"/>
      <c r="G875" s="159"/>
      <c r="H875" s="155"/>
      <c r="I875" s="164"/>
      <c r="J875" s="164"/>
      <c r="K875" s="155"/>
      <c r="L875" s="85"/>
      <c r="M875" s="95"/>
      <c r="N875" s="87"/>
      <c r="O875" s="20"/>
      <c r="P875" s="31"/>
      <c r="Q875" s="88"/>
      <c r="R875" s="88"/>
      <c r="S875" s="88"/>
      <c r="T875" s="58"/>
      <c r="U875" s="92"/>
      <c r="V875" s="90"/>
    </row>
    <row r="876" spans="1:22" s="168" customFormat="1" ht="22.500000" customHeight="1">
      <c r="A876" s="34">
        <v>874</v>
      </c>
      <c r="B876" s="34"/>
      <c r="C876" s="34"/>
      <c r="D876" s="34"/>
      <c r="E876" s="34"/>
      <c r="F876" s="85"/>
      <c r="G876" s="159"/>
      <c r="H876" s="155"/>
      <c r="I876" s="164"/>
      <c r="J876" s="164"/>
      <c r="K876" s="155"/>
      <c r="L876" s="85"/>
      <c r="M876" s="96"/>
      <c r="N876" s="87"/>
      <c r="O876" s="20"/>
      <c r="P876" s="31"/>
      <c r="Q876" s="88"/>
      <c r="R876" s="88"/>
      <c r="S876" s="88"/>
      <c r="T876" s="58"/>
      <c r="U876" s="94"/>
      <c r="V876" s="93"/>
    </row>
    <row r="877" spans="1:22" s="168" customFormat="1" ht="22.500000" customHeight="1">
      <c r="A877" s="34">
        <v>875</v>
      </c>
      <c r="B877" s="34"/>
      <c r="C877" s="34"/>
      <c r="D877" s="34"/>
      <c r="E877" s="34"/>
      <c r="F877" s="85"/>
      <c r="G877" s="159"/>
      <c r="H877" s="155"/>
      <c r="I877" s="164"/>
      <c r="J877" s="164"/>
      <c r="K877" s="155"/>
      <c r="L877" s="85"/>
      <c r="M877" s="95"/>
      <c r="N877" s="87"/>
      <c r="O877" s="20"/>
      <c r="P877" s="31"/>
      <c r="Q877" s="88"/>
      <c r="R877" s="88"/>
      <c r="S877" s="88"/>
      <c r="T877" s="58"/>
      <c r="U877" s="92"/>
      <c r="V877" s="90"/>
    </row>
    <row r="878" spans="1:22" s="168" customFormat="1" ht="22.500000" customHeight="1">
      <c r="A878" s="34">
        <v>876</v>
      </c>
      <c r="B878" s="34"/>
      <c r="C878" s="34"/>
      <c r="D878" s="34"/>
      <c r="E878" s="34"/>
      <c r="F878" s="85"/>
      <c r="G878" s="159"/>
      <c r="H878" s="155"/>
      <c r="I878" s="164"/>
      <c r="J878" s="164"/>
      <c r="K878" s="155"/>
      <c r="L878" s="85"/>
      <c r="M878" s="96"/>
      <c r="N878" s="87"/>
      <c r="O878" s="20"/>
      <c r="P878" s="31"/>
      <c r="Q878" s="88"/>
      <c r="R878" s="88"/>
      <c r="S878" s="88"/>
      <c r="T878" s="58"/>
      <c r="U878" s="94"/>
      <c r="V878" s="93"/>
    </row>
    <row r="879" spans="1:22" s="168" customFormat="1" ht="22.500000" customHeight="1">
      <c r="A879" s="34">
        <v>877</v>
      </c>
      <c r="B879" s="34"/>
      <c r="C879" s="34"/>
      <c r="D879" s="34"/>
      <c r="E879" s="34"/>
      <c r="F879" s="85"/>
      <c r="G879" s="159"/>
      <c r="H879" s="155"/>
      <c r="I879" s="164"/>
      <c r="J879" s="164"/>
      <c r="K879" s="155"/>
      <c r="L879" s="85"/>
      <c r="M879" s="95"/>
      <c r="N879" s="87"/>
      <c r="O879" s="20"/>
      <c r="P879" s="31"/>
      <c r="Q879" s="88"/>
      <c r="R879" s="88"/>
      <c r="S879" s="88"/>
      <c r="T879" s="58"/>
      <c r="U879" s="92"/>
      <c r="V879" s="90"/>
    </row>
    <row r="880" spans="1:22" s="168" customFormat="1" ht="22.500000" customHeight="1">
      <c r="A880" s="34">
        <v>878</v>
      </c>
      <c r="B880" s="34"/>
      <c r="C880" s="34"/>
      <c r="D880" s="34"/>
      <c r="E880" s="34"/>
      <c r="F880" s="85"/>
      <c r="G880" s="159"/>
      <c r="H880" s="155"/>
      <c r="I880" s="164"/>
      <c r="J880" s="164"/>
      <c r="K880" s="155"/>
      <c r="L880" s="85"/>
      <c r="M880" s="96"/>
      <c r="N880" s="87"/>
      <c r="O880" s="20"/>
      <c r="P880" s="31"/>
      <c r="Q880" s="88"/>
      <c r="R880" s="88"/>
      <c r="S880" s="88"/>
      <c r="T880" s="58"/>
      <c r="U880" s="94"/>
      <c r="V880" s="93"/>
    </row>
    <row r="881" spans="1:22" s="168" customFormat="1" ht="22.500000" customHeight="1">
      <c r="A881" s="34">
        <v>879</v>
      </c>
      <c r="B881" s="34"/>
      <c r="C881" s="34"/>
      <c r="D881" s="34"/>
      <c r="E881" s="34"/>
      <c r="F881" s="85"/>
      <c r="G881" s="159"/>
      <c r="H881" s="155"/>
      <c r="I881" s="164"/>
      <c r="J881" s="164"/>
      <c r="K881" s="155"/>
      <c r="L881" s="85"/>
      <c r="M881" s="95"/>
      <c r="N881" s="87"/>
      <c r="O881" s="20"/>
      <c r="P881" s="31"/>
      <c r="Q881" s="88"/>
      <c r="R881" s="88"/>
      <c r="S881" s="88"/>
      <c r="T881" s="58"/>
      <c r="U881" s="92"/>
      <c r="V881" s="90"/>
    </row>
    <row r="882" spans="1:22" s="168" customFormat="1" ht="22.500000" customHeight="1">
      <c r="A882" s="34">
        <v>880</v>
      </c>
      <c r="B882" s="34"/>
      <c r="C882" s="34"/>
      <c r="D882" s="34"/>
      <c r="E882" s="34"/>
      <c r="F882" s="85"/>
      <c r="G882" s="159"/>
      <c r="H882" s="155"/>
      <c r="I882" s="164"/>
      <c r="J882" s="164"/>
      <c r="K882" s="155"/>
      <c r="L882" s="85"/>
      <c r="M882" s="96"/>
      <c r="N882" s="87"/>
      <c r="O882" s="20"/>
      <c r="P882" s="31"/>
      <c r="Q882" s="88"/>
      <c r="R882" s="88"/>
      <c r="S882" s="88"/>
      <c r="T882" s="58"/>
      <c r="U882" s="94"/>
      <c r="V882" s="93"/>
    </row>
    <row r="883" spans="1:22" s="168" customFormat="1" ht="22.500000" customHeight="1">
      <c r="A883" s="34">
        <v>881</v>
      </c>
      <c r="B883" s="34"/>
      <c r="C883" s="34"/>
      <c r="D883" s="34"/>
      <c r="E883" s="34"/>
      <c r="F883" s="85"/>
      <c r="G883" s="159"/>
      <c r="H883" s="155"/>
      <c r="I883" s="164"/>
      <c r="J883" s="164"/>
      <c r="K883" s="155"/>
      <c r="L883" s="85"/>
      <c r="M883" s="95"/>
      <c r="N883" s="87"/>
      <c r="O883" s="20"/>
      <c r="P883" s="31"/>
      <c r="Q883" s="88"/>
      <c r="R883" s="88"/>
      <c r="S883" s="88"/>
      <c r="T883" s="58"/>
      <c r="U883" s="92"/>
      <c r="V883" s="90"/>
    </row>
    <row r="884" spans="1:22" s="168" customFormat="1" ht="22.500000" customHeight="1">
      <c r="A884" s="34">
        <v>882</v>
      </c>
      <c r="B884" s="34"/>
      <c r="C884" s="34"/>
      <c r="D884" s="34"/>
      <c r="E884" s="34"/>
      <c r="F884" s="85"/>
      <c r="G884" s="159"/>
      <c r="H884" s="155"/>
      <c r="I884" s="164"/>
      <c r="J884" s="164"/>
      <c r="K884" s="155"/>
      <c r="L884" s="85"/>
      <c r="M884" s="96"/>
      <c r="N884" s="87"/>
      <c r="O884" s="20"/>
      <c r="P884" s="31"/>
      <c r="Q884" s="88"/>
      <c r="R884" s="88"/>
      <c r="S884" s="88"/>
      <c r="T884" s="58"/>
      <c r="U884" s="94"/>
      <c r="V884" s="93"/>
    </row>
    <row r="885" spans="1:22" s="168" customFormat="1" ht="22.500000" customHeight="1">
      <c r="A885" s="34">
        <v>883</v>
      </c>
      <c r="B885" s="34"/>
      <c r="C885" s="34"/>
      <c r="D885" s="34"/>
      <c r="E885" s="34"/>
      <c r="F885" s="85"/>
      <c r="G885" s="159"/>
      <c r="H885" s="155"/>
      <c r="I885" s="164"/>
      <c r="J885" s="164"/>
      <c r="K885" s="155"/>
      <c r="L885" s="85"/>
      <c r="M885" s="95"/>
      <c r="N885" s="87"/>
      <c r="O885" s="20"/>
      <c r="P885" s="31"/>
      <c r="Q885" s="88"/>
      <c r="R885" s="88"/>
      <c r="S885" s="88"/>
      <c r="T885" s="58"/>
      <c r="U885" s="92"/>
      <c r="V885" s="90"/>
    </row>
    <row r="886" spans="1:22" s="168" customFormat="1" ht="22.500000" customHeight="1">
      <c r="A886" s="34">
        <v>884</v>
      </c>
      <c r="B886" s="34"/>
      <c r="C886" s="34"/>
      <c r="D886" s="34"/>
      <c r="E886" s="34"/>
      <c r="F886" s="85"/>
      <c r="G886" s="159"/>
      <c r="H886" s="155"/>
      <c r="I886" s="164"/>
      <c r="J886" s="164"/>
      <c r="K886" s="155"/>
      <c r="L886" s="85"/>
      <c r="M886" s="96"/>
      <c r="N886" s="87"/>
      <c r="O886" s="20"/>
      <c r="P886" s="31"/>
      <c r="Q886" s="88"/>
      <c r="R886" s="88"/>
      <c r="S886" s="88"/>
      <c r="T886" s="58"/>
      <c r="U886" s="94"/>
      <c r="V886" s="93"/>
    </row>
    <row r="887" spans="1:22" s="168" customFormat="1" ht="22.500000" customHeight="1">
      <c r="A887" s="34">
        <v>885</v>
      </c>
      <c r="B887" s="34"/>
      <c r="C887" s="34"/>
      <c r="D887" s="34"/>
      <c r="E887" s="34"/>
      <c r="F887" s="85"/>
      <c r="G887" s="159"/>
      <c r="H887" s="155"/>
      <c r="I887" s="164"/>
      <c r="J887" s="164"/>
      <c r="K887" s="155"/>
      <c r="L887" s="85"/>
      <c r="M887" s="95"/>
      <c r="N887" s="87"/>
      <c r="O887" s="20"/>
      <c r="P887" s="31"/>
      <c r="Q887" s="88"/>
      <c r="R887" s="88"/>
      <c r="S887" s="88"/>
      <c r="T887" s="58"/>
      <c r="U887" s="92"/>
      <c r="V887" s="90"/>
    </row>
    <row r="888" spans="1:22" s="168" customFormat="1" ht="22.500000" customHeight="1">
      <c r="A888" s="34">
        <v>886</v>
      </c>
      <c r="B888" s="34"/>
      <c r="C888" s="34"/>
      <c r="D888" s="34"/>
      <c r="E888" s="34"/>
      <c r="F888" s="85"/>
      <c r="G888" s="159"/>
      <c r="H888" s="155"/>
      <c r="I888" s="164"/>
      <c r="J888" s="164"/>
      <c r="K888" s="155"/>
      <c r="L888" s="85"/>
      <c r="M888" s="96"/>
      <c r="N888" s="87"/>
      <c r="O888" s="20"/>
      <c r="P888" s="31"/>
      <c r="Q888" s="88"/>
      <c r="R888" s="88"/>
      <c r="S888" s="88"/>
      <c r="T888" s="58"/>
      <c r="U888" s="94"/>
      <c r="V888" s="93"/>
    </row>
    <row r="889" spans="1:22" s="168" customFormat="1" ht="22.500000" customHeight="1">
      <c r="A889" s="34">
        <v>887</v>
      </c>
      <c r="B889" s="34"/>
      <c r="C889" s="34"/>
      <c r="D889" s="34"/>
      <c r="E889" s="34"/>
      <c r="F889" s="85"/>
      <c r="G889" s="159"/>
      <c r="H889" s="155"/>
      <c r="I889" s="164"/>
      <c r="J889" s="164"/>
      <c r="K889" s="155"/>
      <c r="L889" s="85"/>
      <c r="M889" s="95"/>
      <c r="N889" s="87"/>
      <c r="O889" s="20"/>
      <c r="P889" s="31"/>
      <c r="Q889" s="88"/>
      <c r="R889" s="88"/>
      <c r="S889" s="88"/>
      <c r="T889" s="58"/>
      <c r="U889" s="92"/>
      <c r="V889" s="90"/>
    </row>
    <row r="890" spans="1:22" s="168" customFormat="1" ht="22.500000" customHeight="1">
      <c r="A890" s="34">
        <v>888</v>
      </c>
      <c r="B890" s="34"/>
      <c r="C890" s="34"/>
      <c r="D890" s="34"/>
      <c r="E890" s="34"/>
      <c r="F890" s="85"/>
      <c r="G890" s="159"/>
      <c r="H890" s="155"/>
      <c r="I890" s="164"/>
      <c r="J890" s="164"/>
      <c r="K890" s="155"/>
      <c r="L890" s="85"/>
      <c r="M890" s="96"/>
      <c r="N890" s="87"/>
      <c r="O890" s="20"/>
      <c r="P890" s="31"/>
      <c r="Q890" s="88"/>
      <c r="R890" s="88"/>
      <c r="S890" s="88"/>
      <c r="T890" s="58"/>
      <c r="U890" s="94"/>
      <c r="V890" s="93"/>
    </row>
    <row r="891" spans="1:22" s="168" customFormat="1" ht="22.500000" customHeight="1">
      <c r="A891" s="34">
        <v>889</v>
      </c>
      <c r="B891" s="34"/>
      <c r="C891" s="34"/>
      <c r="D891" s="34"/>
      <c r="E891" s="34"/>
      <c r="F891" s="85"/>
      <c r="G891" s="159"/>
      <c r="H891" s="155"/>
      <c r="I891" s="164"/>
      <c r="J891" s="164"/>
      <c r="K891" s="155"/>
      <c r="L891" s="85"/>
      <c r="M891" s="95"/>
      <c r="N891" s="87"/>
      <c r="O891" s="20"/>
      <c r="P891" s="31"/>
      <c r="Q891" s="88"/>
      <c r="R891" s="88"/>
      <c r="S891" s="88"/>
      <c r="T891" s="58"/>
      <c r="U891" s="92"/>
      <c r="V891" s="90"/>
    </row>
    <row r="892" spans="1:22" s="168" customFormat="1" ht="22.500000" customHeight="1">
      <c r="A892" s="34">
        <v>890</v>
      </c>
      <c r="B892" s="34"/>
      <c r="C892" s="34"/>
      <c r="D892" s="34"/>
      <c r="E892" s="34"/>
      <c r="F892" s="85"/>
      <c r="G892" s="159"/>
      <c r="H892" s="155"/>
      <c r="I892" s="164"/>
      <c r="J892" s="164"/>
      <c r="K892" s="155"/>
      <c r="L892" s="85"/>
      <c r="M892" s="96"/>
      <c r="N892" s="87"/>
      <c r="O892" s="20"/>
      <c r="P892" s="31"/>
      <c r="Q892" s="88"/>
      <c r="R892" s="88"/>
      <c r="S892" s="88"/>
      <c r="T892" s="58"/>
      <c r="U892" s="94"/>
      <c r="V892" s="93"/>
    </row>
    <row r="893" spans="1:22" s="168" customFormat="1" ht="22.500000" customHeight="1">
      <c r="A893" s="34">
        <v>891</v>
      </c>
      <c r="B893" s="34"/>
      <c r="C893" s="34"/>
      <c r="D893" s="34"/>
      <c r="E893" s="34"/>
      <c r="F893" s="85"/>
      <c r="G893" s="159"/>
      <c r="H893" s="155"/>
      <c r="I893" s="164"/>
      <c r="J893" s="164"/>
      <c r="K893" s="155"/>
      <c r="L893" s="85"/>
      <c r="M893" s="95"/>
      <c r="N893" s="87"/>
      <c r="O893" s="20"/>
      <c r="P893" s="31"/>
      <c r="Q893" s="88"/>
      <c r="R893" s="88"/>
      <c r="S893" s="88"/>
      <c r="T893" s="58"/>
      <c r="U893" s="92"/>
      <c r="V893" s="90"/>
    </row>
    <row r="894" spans="1:22" s="168" customFormat="1" ht="22.500000" customHeight="1">
      <c r="A894" s="34">
        <v>892</v>
      </c>
      <c r="B894" s="34"/>
      <c r="C894" s="34"/>
      <c r="D894" s="34"/>
      <c r="E894" s="34"/>
      <c r="F894" s="85"/>
      <c r="G894" s="159"/>
      <c r="H894" s="155"/>
      <c r="I894" s="164"/>
      <c r="J894" s="164"/>
      <c r="K894" s="155"/>
      <c r="L894" s="85"/>
      <c r="M894" s="96"/>
      <c r="N894" s="87"/>
      <c r="O894" s="20"/>
      <c r="P894" s="31"/>
      <c r="Q894" s="88"/>
      <c r="R894" s="88"/>
      <c r="S894" s="88"/>
      <c r="T894" s="58"/>
      <c r="U894" s="94"/>
      <c r="V894" s="93"/>
    </row>
    <row r="895" spans="1:22" s="168" customFormat="1" ht="22.500000" customHeight="1">
      <c r="A895" s="34">
        <v>893</v>
      </c>
      <c r="B895" s="34"/>
      <c r="C895" s="34"/>
      <c r="D895" s="34"/>
      <c r="E895" s="34"/>
      <c r="F895" s="85"/>
      <c r="G895" s="159"/>
      <c r="H895" s="155"/>
      <c r="I895" s="164"/>
      <c r="J895" s="164"/>
      <c r="K895" s="155"/>
      <c r="L895" s="85"/>
      <c r="M895" s="95"/>
      <c r="N895" s="87"/>
      <c r="O895" s="20"/>
      <c r="P895" s="31"/>
      <c r="Q895" s="88"/>
      <c r="R895" s="88"/>
      <c r="S895" s="88"/>
      <c r="T895" s="58"/>
      <c r="U895" s="92"/>
      <c r="V895" s="90"/>
    </row>
    <row r="896" spans="1:22" s="168" customFormat="1" ht="22.500000" customHeight="1">
      <c r="A896" s="34">
        <v>894</v>
      </c>
      <c r="B896" s="34"/>
      <c r="C896" s="34"/>
      <c r="D896" s="34"/>
      <c r="E896" s="34"/>
      <c r="F896" s="85"/>
      <c r="G896" s="159"/>
      <c r="H896" s="155"/>
      <c r="I896" s="164"/>
      <c r="J896" s="164"/>
      <c r="K896" s="155"/>
      <c r="L896" s="85"/>
      <c r="M896" s="96"/>
      <c r="N896" s="87"/>
      <c r="O896" s="20"/>
      <c r="P896" s="31"/>
      <c r="Q896" s="88"/>
      <c r="R896" s="88"/>
      <c r="S896" s="88"/>
      <c r="T896" s="58"/>
      <c r="U896" s="94"/>
      <c r="V896" s="93"/>
    </row>
    <row r="897" spans="1:22" s="168" customFormat="1" ht="22.500000" customHeight="1">
      <c r="A897" s="34">
        <v>895</v>
      </c>
      <c r="B897" s="34"/>
      <c r="C897" s="34"/>
      <c r="D897" s="34"/>
      <c r="E897" s="34"/>
      <c r="F897" s="85"/>
      <c r="G897" s="159"/>
      <c r="H897" s="155"/>
      <c r="I897" s="164"/>
      <c r="J897" s="164"/>
      <c r="K897" s="155"/>
      <c r="L897" s="85"/>
      <c r="M897" s="95"/>
      <c r="N897" s="87"/>
      <c r="O897" s="20"/>
      <c r="P897" s="31"/>
      <c r="Q897" s="88"/>
      <c r="R897" s="88"/>
      <c r="S897" s="88"/>
      <c r="T897" s="58"/>
      <c r="U897" s="92"/>
      <c r="V897" s="90"/>
    </row>
    <row r="898" spans="1:22" s="168" customFormat="1" ht="22.500000" customHeight="1">
      <c r="A898" s="34">
        <v>896</v>
      </c>
      <c r="B898" s="34"/>
      <c r="C898" s="34"/>
      <c r="D898" s="34"/>
      <c r="E898" s="34"/>
      <c r="F898" s="85"/>
      <c r="G898" s="159"/>
      <c r="H898" s="155"/>
      <c r="I898" s="164"/>
      <c r="J898" s="164"/>
      <c r="K898" s="155"/>
      <c r="L898" s="85"/>
      <c r="M898" s="96"/>
      <c r="N898" s="87"/>
      <c r="O898" s="20"/>
      <c r="P898" s="31"/>
      <c r="Q898" s="88"/>
      <c r="R898" s="88"/>
      <c r="S898" s="88"/>
      <c r="T898" s="58"/>
      <c r="U898" s="94"/>
      <c r="V898" s="93"/>
    </row>
    <row r="899" spans="1:22" s="168" customFormat="1" ht="22.500000" customHeight="1">
      <c r="A899" s="34">
        <v>897</v>
      </c>
      <c r="B899" s="34"/>
      <c r="C899" s="34"/>
      <c r="D899" s="34"/>
      <c r="E899" s="34"/>
      <c r="F899" s="85"/>
      <c r="G899" s="159"/>
      <c r="H899" s="155"/>
      <c r="I899" s="164"/>
      <c r="J899" s="164"/>
      <c r="K899" s="155"/>
      <c r="L899" s="85"/>
      <c r="M899" s="95"/>
      <c r="N899" s="87"/>
      <c r="O899" s="20"/>
      <c r="P899" s="31"/>
      <c r="Q899" s="88"/>
      <c r="R899" s="88"/>
      <c r="S899" s="88"/>
      <c r="T899" s="58"/>
      <c r="U899" s="92"/>
      <c r="V899" s="90"/>
    </row>
    <row r="900" spans="1:22" s="168" customFormat="1" ht="22.500000" customHeight="1">
      <c r="A900" s="34">
        <v>898</v>
      </c>
      <c r="B900" s="34"/>
      <c r="C900" s="34"/>
      <c r="D900" s="34"/>
      <c r="E900" s="34"/>
      <c r="F900" s="85"/>
      <c r="G900" s="159"/>
      <c r="H900" s="155"/>
      <c r="I900" s="164"/>
      <c r="J900" s="164"/>
      <c r="K900" s="155"/>
      <c r="L900" s="85"/>
      <c r="M900" s="96"/>
      <c r="N900" s="87"/>
      <c r="O900" s="20"/>
      <c r="P900" s="31"/>
      <c r="Q900" s="88"/>
      <c r="R900" s="88"/>
      <c r="S900" s="88"/>
      <c r="T900" s="58"/>
      <c r="U900" s="94"/>
      <c r="V900" s="93"/>
    </row>
    <row r="901" spans="1:22" s="168" customFormat="1" ht="22.500000" customHeight="1">
      <c r="A901" s="34">
        <v>899</v>
      </c>
      <c r="B901" s="34"/>
      <c r="C901" s="34"/>
      <c r="D901" s="34"/>
      <c r="E901" s="34"/>
      <c r="F901" s="85"/>
      <c r="G901" s="159"/>
      <c r="H901" s="155"/>
      <c r="I901" s="164"/>
      <c r="J901" s="164"/>
      <c r="K901" s="155"/>
      <c r="L901" s="85"/>
      <c r="M901" s="95"/>
      <c r="N901" s="87"/>
      <c r="O901" s="20"/>
      <c r="P901" s="31"/>
      <c r="Q901" s="88"/>
      <c r="R901" s="88"/>
      <c r="S901" s="88"/>
      <c r="T901" s="58"/>
      <c r="U901" s="92"/>
      <c r="V901" s="90"/>
    </row>
    <row r="902" spans="1:22" s="168" customFormat="1" ht="22.500000" customHeight="1">
      <c r="A902" s="34">
        <v>900</v>
      </c>
      <c r="B902" s="34"/>
      <c r="C902" s="34"/>
      <c r="D902" s="34"/>
      <c r="E902" s="34"/>
      <c r="F902" s="85"/>
      <c r="G902" s="159"/>
      <c r="H902" s="155"/>
      <c r="I902" s="164"/>
      <c r="J902" s="164"/>
      <c r="K902" s="155"/>
      <c r="L902" s="85"/>
      <c r="M902" s="96"/>
      <c r="N902" s="87"/>
      <c r="O902" s="20"/>
      <c r="P902" s="31"/>
      <c r="Q902" s="88"/>
      <c r="R902" s="88"/>
      <c r="S902" s="88"/>
      <c r="T902" s="58"/>
      <c r="U902" s="94"/>
      <c r="V902" s="93"/>
    </row>
    <row r="903" spans="1:22" s="168" customFormat="1" ht="22.500000" customHeight="1">
      <c r="A903" s="34">
        <v>901</v>
      </c>
      <c r="B903" s="34"/>
      <c r="C903" s="34"/>
      <c r="D903" s="34"/>
      <c r="E903" s="34"/>
      <c r="F903" s="85"/>
      <c r="G903" s="159"/>
      <c r="H903" s="155"/>
      <c r="I903" s="164"/>
      <c r="J903" s="164"/>
      <c r="K903" s="155"/>
      <c r="L903" s="85"/>
      <c r="M903" s="95"/>
      <c r="N903" s="87"/>
      <c r="O903" s="20"/>
      <c r="P903" s="31"/>
      <c r="Q903" s="88"/>
      <c r="R903" s="88"/>
      <c r="S903" s="88"/>
      <c r="T903" s="58"/>
      <c r="U903" s="92"/>
      <c r="V903" s="90"/>
    </row>
    <row r="904" spans="1:22" s="168" customFormat="1" ht="22.500000" customHeight="1">
      <c r="A904" s="34">
        <v>902</v>
      </c>
      <c r="B904" s="34"/>
      <c r="C904" s="34"/>
      <c r="D904" s="34"/>
      <c r="E904" s="34"/>
      <c r="F904" s="85"/>
      <c r="G904" s="159"/>
      <c r="H904" s="155"/>
      <c r="I904" s="164"/>
      <c r="J904" s="164"/>
      <c r="K904" s="155"/>
      <c r="L904" s="85"/>
      <c r="M904" s="96"/>
      <c r="N904" s="87"/>
      <c r="O904" s="20"/>
      <c r="P904" s="31"/>
      <c r="Q904" s="88"/>
      <c r="R904" s="88"/>
      <c r="S904" s="88"/>
      <c r="T904" s="58"/>
      <c r="U904" s="94"/>
      <c r="V904" s="93"/>
    </row>
    <row r="905" spans="1:22" s="168" customFormat="1" ht="22.500000" customHeight="1">
      <c r="A905" s="34">
        <v>903</v>
      </c>
      <c r="B905" s="34"/>
      <c r="C905" s="34"/>
      <c r="D905" s="34"/>
      <c r="E905" s="34"/>
      <c r="F905" s="85"/>
      <c r="G905" s="159"/>
      <c r="H905" s="155"/>
      <c r="I905" s="164"/>
      <c r="J905" s="164"/>
      <c r="K905" s="155"/>
      <c r="L905" s="85"/>
      <c r="M905" s="95"/>
      <c r="N905" s="87"/>
      <c r="O905" s="20"/>
      <c r="P905" s="31"/>
      <c r="Q905" s="88"/>
      <c r="R905" s="88"/>
      <c r="S905" s="88"/>
      <c r="T905" s="58"/>
      <c r="U905" s="92"/>
      <c r="V905" s="90"/>
    </row>
    <row r="906" spans="1:22" s="168" customFormat="1" ht="22.500000" customHeight="1">
      <c r="A906" s="34">
        <v>904</v>
      </c>
      <c r="B906" s="34"/>
      <c r="C906" s="34"/>
      <c r="D906" s="34"/>
      <c r="E906" s="34"/>
      <c r="F906" s="85"/>
      <c r="G906" s="159"/>
      <c r="H906" s="155"/>
      <c r="I906" s="164"/>
      <c r="J906" s="164"/>
      <c r="K906" s="155"/>
      <c r="L906" s="85"/>
      <c r="M906" s="96"/>
      <c r="N906" s="87"/>
      <c r="O906" s="20"/>
      <c r="P906" s="31"/>
      <c r="Q906" s="88"/>
      <c r="R906" s="88"/>
      <c r="S906" s="88"/>
      <c r="T906" s="58"/>
      <c r="U906" s="94"/>
      <c r="V906" s="93"/>
    </row>
    <row r="907" spans="1:22" s="168" customFormat="1" ht="22.500000" customHeight="1">
      <c r="A907" s="34">
        <v>905</v>
      </c>
      <c r="B907" s="34"/>
      <c r="C907" s="34"/>
      <c r="D907" s="34"/>
      <c r="E907" s="34"/>
      <c r="F907" s="85"/>
      <c r="G907" s="159"/>
      <c r="H907" s="155"/>
      <c r="I907" s="164"/>
      <c r="J907" s="164"/>
      <c r="K907" s="155"/>
      <c r="L907" s="85"/>
      <c r="M907" s="95"/>
      <c r="N907" s="87"/>
      <c r="O907" s="20"/>
      <c r="P907" s="31"/>
      <c r="Q907" s="88"/>
      <c r="R907" s="88"/>
      <c r="S907" s="88"/>
      <c r="T907" s="58"/>
      <c r="U907" s="92"/>
      <c r="V907" s="90"/>
    </row>
    <row r="908" spans="1:22" s="168" customFormat="1" ht="22.500000" customHeight="1">
      <c r="A908" s="34">
        <v>906</v>
      </c>
      <c r="B908" s="34"/>
      <c r="C908" s="34"/>
      <c r="D908" s="34"/>
      <c r="E908" s="34"/>
      <c r="F908" s="85"/>
      <c r="G908" s="159"/>
      <c r="H908" s="155"/>
      <c r="I908" s="164"/>
      <c r="J908" s="164"/>
      <c r="K908" s="155"/>
      <c r="L908" s="85"/>
      <c r="M908" s="96"/>
      <c r="N908" s="87"/>
      <c r="O908" s="20"/>
      <c r="P908" s="31"/>
      <c r="Q908" s="88"/>
      <c r="R908" s="88"/>
      <c r="S908" s="88"/>
      <c r="T908" s="58"/>
      <c r="U908" s="94"/>
      <c r="V908" s="93"/>
    </row>
    <row r="909" spans="1:22" s="168" customFormat="1" ht="22.500000" customHeight="1">
      <c r="A909" s="34">
        <v>907</v>
      </c>
      <c r="B909" s="34"/>
      <c r="C909" s="34"/>
      <c r="D909" s="34"/>
      <c r="E909" s="34"/>
      <c r="F909" s="85"/>
      <c r="G909" s="159"/>
      <c r="H909" s="155"/>
      <c r="I909" s="164"/>
      <c r="J909" s="164"/>
      <c r="K909" s="155"/>
      <c r="L909" s="85"/>
      <c r="M909" s="95"/>
      <c r="N909" s="87"/>
      <c r="O909" s="20"/>
      <c r="P909" s="31"/>
      <c r="Q909" s="88"/>
      <c r="R909" s="88"/>
      <c r="S909" s="88"/>
      <c r="T909" s="58"/>
      <c r="U909" s="92"/>
      <c r="V909" s="90"/>
    </row>
    <row r="910" spans="1:22" s="168" customFormat="1" ht="22.500000" customHeight="1">
      <c r="A910" s="34">
        <v>908</v>
      </c>
      <c r="B910" s="34"/>
      <c r="C910" s="34"/>
      <c r="D910" s="34"/>
      <c r="E910" s="34"/>
      <c r="F910" s="85"/>
      <c r="G910" s="159"/>
      <c r="H910" s="155"/>
      <c r="I910" s="164"/>
      <c r="J910" s="164"/>
      <c r="K910" s="155"/>
      <c r="L910" s="85"/>
      <c r="M910" s="96"/>
      <c r="N910" s="87"/>
      <c r="O910" s="20"/>
      <c r="P910" s="31"/>
      <c r="Q910" s="88"/>
      <c r="R910" s="88"/>
      <c r="S910" s="88"/>
      <c r="T910" s="58"/>
      <c r="U910" s="94"/>
      <c r="V910" s="93"/>
    </row>
    <row r="911" spans="1:22" s="168" customFormat="1" ht="22.500000" customHeight="1">
      <c r="A911" s="34">
        <v>909</v>
      </c>
      <c r="B911" s="34"/>
      <c r="C911" s="34"/>
      <c r="D911" s="34"/>
      <c r="E911" s="34"/>
      <c r="F911" s="85"/>
      <c r="G911" s="159"/>
      <c r="H911" s="155"/>
      <c r="I911" s="164"/>
      <c r="J911" s="164"/>
      <c r="K911" s="155"/>
      <c r="L911" s="85"/>
      <c r="M911" s="95"/>
      <c r="N911" s="87"/>
      <c r="O911" s="20"/>
      <c r="P911" s="31"/>
      <c r="Q911" s="88"/>
      <c r="R911" s="88"/>
      <c r="S911" s="88"/>
      <c r="T911" s="58"/>
      <c r="U911" s="92"/>
      <c r="V911" s="90"/>
    </row>
    <row r="912" spans="1:22" s="168" customFormat="1" ht="22.500000" customHeight="1">
      <c r="A912" s="34">
        <v>910</v>
      </c>
      <c r="B912" s="34"/>
      <c r="C912" s="34"/>
      <c r="D912" s="34"/>
      <c r="E912" s="34"/>
      <c r="F912" s="85"/>
      <c r="G912" s="159"/>
      <c r="H912" s="155"/>
      <c r="I912" s="164"/>
      <c r="J912" s="164"/>
      <c r="K912" s="155"/>
      <c r="L912" s="85"/>
      <c r="M912" s="96"/>
      <c r="N912" s="87"/>
      <c r="O912" s="20"/>
      <c r="P912" s="31"/>
      <c r="Q912" s="88"/>
      <c r="R912" s="88"/>
      <c r="S912" s="88"/>
      <c r="T912" s="58"/>
      <c r="U912" s="94"/>
      <c r="V912" s="93"/>
    </row>
    <row r="913" spans="1:22" s="168" customFormat="1" ht="22.500000" customHeight="1">
      <c r="A913" s="34">
        <v>911</v>
      </c>
      <c r="B913" s="34"/>
      <c r="C913" s="34"/>
      <c r="D913" s="34"/>
      <c r="E913" s="34"/>
      <c r="F913" s="85"/>
      <c r="G913" s="159"/>
      <c r="H913" s="155"/>
      <c r="I913" s="164"/>
      <c r="J913" s="164"/>
      <c r="K913" s="155"/>
      <c r="L913" s="85"/>
      <c r="M913" s="95"/>
      <c r="N913" s="87"/>
      <c r="O913" s="20"/>
      <c r="P913" s="31"/>
      <c r="Q913" s="88"/>
      <c r="R913" s="88"/>
      <c r="S913" s="88"/>
      <c r="T913" s="58"/>
      <c r="U913" s="92"/>
      <c r="V913" s="90"/>
    </row>
    <row r="914" spans="1:22" s="168" customFormat="1" ht="22.500000" customHeight="1">
      <c r="A914" s="34">
        <v>912</v>
      </c>
      <c r="B914" s="34"/>
      <c r="C914" s="34"/>
      <c r="D914" s="34"/>
      <c r="E914" s="34"/>
      <c r="F914" s="85"/>
      <c r="G914" s="159"/>
      <c r="H914" s="155"/>
      <c r="I914" s="164"/>
      <c r="J914" s="164"/>
      <c r="K914" s="155"/>
      <c r="L914" s="85"/>
      <c r="M914" s="96"/>
      <c r="N914" s="87"/>
      <c r="O914" s="20"/>
      <c r="P914" s="31"/>
      <c r="Q914" s="88"/>
      <c r="R914" s="88"/>
      <c r="S914" s="88"/>
      <c r="T914" s="58"/>
      <c r="U914" s="94"/>
      <c r="V914" s="93"/>
    </row>
    <row r="915" spans="1:22" s="168" customFormat="1" ht="22.500000" customHeight="1">
      <c r="A915" s="34">
        <v>913</v>
      </c>
      <c r="B915" s="34"/>
      <c r="C915" s="34"/>
      <c r="D915" s="34"/>
      <c r="E915" s="34"/>
      <c r="F915" s="85"/>
      <c r="G915" s="159"/>
      <c r="H915" s="155"/>
      <c r="I915" s="164"/>
      <c r="J915" s="164"/>
      <c r="K915" s="155"/>
      <c r="L915" s="85"/>
      <c r="M915" s="95"/>
      <c r="N915" s="87"/>
      <c r="O915" s="20"/>
      <c r="P915" s="31"/>
      <c r="Q915" s="88"/>
      <c r="R915" s="88"/>
      <c r="S915" s="88"/>
      <c r="T915" s="58"/>
      <c r="U915" s="92"/>
      <c r="V915" s="90"/>
    </row>
    <row r="916" spans="1:22" s="168" customFormat="1" ht="22.500000" customHeight="1">
      <c r="A916" s="34">
        <v>914</v>
      </c>
      <c r="B916" s="34"/>
      <c r="C916" s="34"/>
      <c r="D916" s="34"/>
      <c r="E916" s="34"/>
      <c r="F916" s="85"/>
      <c r="G916" s="159"/>
      <c r="H916" s="155"/>
      <c r="I916" s="164"/>
      <c r="J916" s="164"/>
      <c r="K916" s="155"/>
      <c r="L916" s="85"/>
      <c r="M916" s="96"/>
      <c r="N916" s="87"/>
      <c r="O916" s="20"/>
      <c r="P916" s="31"/>
      <c r="Q916" s="88"/>
      <c r="R916" s="88"/>
      <c r="S916" s="88"/>
      <c r="T916" s="58"/>
      <c r="U916" s="94"/>
      <c r="V916" s="93"/>
    </row>
    <row r="917" spans="1:22" s="168" customFormat="1" ht="22.500000" customHeight="1">
      <c r="A917" s="34">
        <v>915</v>
      </c>
      <c r="B917" s="34"/>
      <c r="C917" s="34"/>
      <c r="D917" s="34"/>
      <c r="E917" s="34"/>
      <c r="F917" s="85"/>
      <c r="G917" s="159"/>
      <c r="H917" s="155"/>
      <c r="I917" s="164"/>
      <c r="J917" s="164"/>
      <c r="K917" s="155"/>
      <c r="L917" s="85"/>
      <c r="M917" s="95"/>
      <c r="N917" s="87"/>
      <c r="O917" s="20"/>
      <c r="P917" s="31"/>
      <c r="Q917" s="88"/>
      <c r="R917" s="88"/>
      <c r="S917" s="88"/>
      <c r="T917" s="58"/>
      <c r="U917" s="92"/>
      <c r="V917" s="90"/>
    </row>
    <row r="918" spans="1:22" s="168" customFormat="1" ht="22.500000" customHeight="1">
      <c r="A918" s="34">
        <v>916</v>
      </c>
      <c r="B918" s="34"/>
      <c r="C918" s="34"/>
      <c r="D918" s="34"/>
      <c r="E918" s="34"/>
      <c r="F918" s="85"/>
      <c r="G918" s="159"/>
      <c r="H918" s="155"/>
      <c r="I918" s="164"/>
      <c r="J918" s="164"/>
      <c r="K918" s="155"/>
      <c r="L918" s="85"/>
      <c r="M918" s="96"/>
      <c r="N918" s="87"/>
      <c r="O918" s="20"/>
      <c r="P918" s="31"/>
      <c r="Q918" s="88"/>
      <c r="R918" s="88"/>
      <c r="S918" s="88"/>
      <c r="T918" s="58"/>
      <c r="U918" s="94"/>
      <c r="V918" s="93"/>
    </row>
    <row r="919" spans="1:22" s="168" customFormat="1" ht="22.500000" customHeight="1">
      <c r="A919" s="34">
        <v>917</v>
      </c>
      <c r="B919" s="34"/>
      <c r="C919" s="34"/>
      <c r="D919" s="34"/>
      <c r="E919" s="34"/>
      <c r="F919" s="85"/>
      <c r="G919" s="159"/>
      <c r="H919" s="155"/>
      <c r="I919" s="164"/>
      <c r="J919" s="164"/>
      <c r="K919" s="155"/>
      <c r="L919" s="85"/>
      <c r="M919" s="95"/>
      <c r="N919" s="87"/>
      <c r="O919" s="20"/>
      <c r="P919" s="31"/>
      <c r="Q919" s="88"/>
      <c r="R919" s="88"/>
      <c r="S919" s="88"/>
      <c r="T919" s="58"/>
      <c r="U919" s="92"/>
      <c r="V919" s="90"/>
    </row>
    <row r="920" spans="1:22" s="168" customFormat="1" ht="22.500000" customHeight="1">
      <c r="A920" s="34">
        <v>918</v>
      </c>
      <c r="B920" s="34"/>
      <c r="C920" s="34"/>
      <c r="D920" s="34"/>
      <c r="E920" s="34"/>
      <c r="F920" s="85"/>
      <c r="G920" s="159"/>
      <c r="H920" s="155"/>
      <c r="I920" s="164"/>
      <c r="J920" s="164"/>
      <c r="K920" s="155"/>
      <c r="L920" s="85"/>
      <c r="M920" s="96"/>
      <c r="N920" s="87"/>
      <c r="O920" s="20"/>
      <c r="P920" s="31"/>
      <c r="Q920" s="88"/>
      <c r="R920" s="88"/>
      <c r="S920" s="88"/>
      <c r="T920" s="58"/>
      <c r="U920" s="94"/>
      <c r="V920" s="93"/>
    </row>
    <row r="921" spans="1:22" s="168" customFormat="1" ht="22.500000" customHeight="1">
      <c r="A921" s="34">
        <v>919</v>
      </c>
      <c r="B921" s="34"/>
      <c r="C921" s="34"/>
      <c r="D921" s="34"/>
      <c r="E921" s="34"/>
      <c r="F921" s="85"/>
      <c r="G921" s="159"/>
      <c r="H921" s="155"/>
      <c r="I921" s="164"/>
      <c r="J921" s="164"/>
      <c r="K921" s="155"/>
      <c r="L921" s="85"/>
      <c r="M921" s="95"/>
      <c r="N921" s="87"/>
      <c r="O921" s="20"/>
      <c r="P921" s="31"/>
      <c r="Q921" s="88"/>
      <c r="R921" s="88"/>
      <c r="S921" s="88"/>
      <c r="T921" s="58"/>
      <c r="U921" s="92"/>
      <c r="V921" s="90"/>
    </row>
    <row r="922" spans="1:22" s="168" customFormat="1" ht="22.500000" customHeight="1">
      <c r="A922" s="34">
        <v>920</v>
      </c>
      <c r="B922" s="34"/>
      <c r="C922" s="34"/>
      <c r="D922" s="34"/>
      <c r="E922" s="34"/>
      <c r="F922" s="85"/>
      <c r="G922" s="159"/>
      <c r="H922" s="155"/>
      <c r="I922" s="164"/>
      <c r="J922" s="164"/>
      <c r="K922" s="155"/>
      <c r="L922" s="85"/>
      <c r="M922" s="96"/>
      <c r="N922" s="87"/>
      <c r="O922" s="20"/>
      <c r="P922" s="31"/>
      <c r="Q922" s="88"/>
      <c r="R922" s="88"/>
      <c r="S922" s="88"/>
      <c r="T922" s="58"/>
      <c r="U922" s="94"/>
      <c r="V922" s="93"/>
    </row>
    <row r="923" spans="1:22" s="168" customFormat="1" ht="22.500000" customHeight="1">
      <c r="A923" s="34">
        <v>921</v>
      </c>
      <c r="B923" s="34"/>
      <c r="C923" s="34"/>
      <c r="D923" s="34"/>
      <c r="E923" s="34"/>
      <c r="F923" s="85"/>
      <c r="G923" s="159"/>
      <c r="H923" s="155"/>
      <c r="I923" s="164"/>
      <c r="J923" s="164"/>
      <c r="K923" s="155"/>
      <c r="L923" s="85"/>
      <c r="M923" s="95"/>
      <c r="N923" s="87"/>
      <c r="O923" s="20"/>
      <c r="P923" s="31"/>
      <c r="Q923" s="88"/>
      <c r="R923" s="88"/>
      <c r="S923" s="88"/>
      <c r="T923" s="58"/>
      <c r="U923" s="92"/>
      <c r="V923" s="90"/>
    </row>
    <row r="924" spans="1:22" s="168" customFormat="1" ht="22.500000" customHeight="1">
      <c r="A924" s="34">
        <v>922</v>
      </c>
      <c r="B924" s="34"/>
      <c r="C924" s="34"/>
      <c r="D924" s="34"/>
      <c r="E924" s="34"/>
      <c r="F924" s="85"/>
      <c r="G924" s="159"/>
      <c r="H924" s="155"/>
      <c r="I924" s="164"/>
      <c r="J924" s="164"/>
      <c r="K924" s="155"/>
      <c r="L924" s="85"/>
      <c r="M924" s="96"/>
      <c r="N924" s="87"/>
      <c r="O924" s="20"/>
      <c r="P924" s="31"/>
      <c r="Q924" s="88"/>
      <c r="R924" s="88"/>
      <c r="S924" s="88"/>
      <c r="T924" s="58"/>
      <c r="U924" s="94"/>
      <c r="V924" s="93"/>
    </row>
    <row r="925" spans="1:22" s="168" customFormat="1" ht="22.500000" customHeight="1">
      <c r="A925" s="34">
        <v>923</v>
      </c>
      <c r="B925" s="34"/>
      <c r="C925" s="34"/>
      <c r="D925" s="34"/>
      <c r="E925" s="34"/>
      <c r="F925" s="85"/>
      <c r="G925" s="159"/>
      <c r="H925" s="155"/>
      <c r="I925" s="164"/>
      <c r="J925" s="164"/>
      <c r="K925" s="155"/>
      <c r="L925" s="85"/>
      <c r="M925" s="95"/>
      <c r="N925" s="87"/>
      <c r="O925" s="20"/>
      <c r="P925" s="31"/>
      <c r="Q925" s="88"/>
      <c r="R925" s="88"/>
      <c r="S925" s="88"/>
      <c r="T925" s="58"/>
      <c r="U925" s="92"/>
      <c r="V925" s="90"/>
    </row>
    <row r="926" spans="1:22" s="168" customFormat="1" ht="22.500000" customHeight="1">
      <c r="A926" s="34">
        <v>924</v>
      </c>
      <c r="B926" s="34"/>
      <c r="C926" s="34"/>
      <c r="D926" s="34"/>
      <c r="E926" s="34"/>
      <c r="F926" s="85"/>
      <c r="G926" s="159"/>
      <c r="H926" s="155"/>
      <c r="I926" s="164"/>
      <c r="J926" s="164"/>
      <c r="K926" s="155"/>
      <c r="L926" s="85"/>
      <c r="M926" s="96"/>
      <c r="N926" s="87"/>
      <c r="O926" s="20"/>
      <c r="P926" s="31"/>
      <c r="Q926" s="88"/>
      <c r="R926" s="88"/>
      <c r="S926" s="88"/>
      <c r="T926" s="58"/>
      <c r="U926" s="94"/>
      <c r="V926" s="93"/>
    </row>
    <row r="927" spans="1:22" s="168" customFormat="1" ht="22.500000" customHeight="1">
      <c r="A927" s="34">
        <v>925</v>
      </c>
      <c r="B927" s="34"/>
      <c r="C927" s="34"/>
      <c r="D927" s="34"/>
      <c r="E927" s="34"/>
      <c r="F927" s="85"/>
      <c r="G927" s="159"/>
      <c r="H927" s="155"/>
      <c r="I927" s="164"/>
      <c r="J927" s="164"/>
      <c r="K927" s="155"/>
      <c r="L927" s="85"/>
      <c r="M927" s="95"/>
      <c r="N927" s="87"/>
      <c r="O927" s="20"/>
      <c r="P927" s="31"/>
      <c r="Q927" s="88"/>
      <c r="R927" s="88"/>
      <c r="S927" s="88"/>
      <c r="T927" s="58"/>
      <c r="U927" s="92"/>
      <c r="V927" s="90"/>
    </row>
    <row r="928" spans="1:22" s="168" customFormat="1" ht="22.500000" customHeight="1">
      <c r="A928" s="34">
        <v>926</v>
      </c>
      <c r="B928" s="34"/>
      <c r="C928" s="34"/>
      <c r="D928" s="34"/>
      <c r="E928" s="34"/>
      <c r="F928" s="85"/>
      <c r="G928" s="159"/>
      <c r="H928" s="155"/>
      <c r="I928" s="164"/>
      <c r="J928" s="164"/>
      <c r="K928" s="155"/>
      <c r="L928" s="85"/>
      <c r="M928" s="96"/>
      <c r="N928" s="87"/>
      <c r="O928" s="20"/>
      <c r="P928" s="31"/>
      <c r="Q928" s="88"/>
      <c r="R928" s="88"/>
      <c r="S928" s="88"/>
      <c r="T928" s="58"/>
      <c r="U928" s="94"/>
      <c r="V928" s="93"/>
    </row>
    <row r="929" spans="1:22" s="168" customFormat="1" ht="22.500000" customHeight="1">
      <c r="A929" s="34">
        <v>927</v>
      </c>
      <c r="B929" s="34"/>
      <c r="C929" s="34"/>
      <c r="D929" s="34"/>
      <c r="E929" s="34"/>
      <c r="F929" s="85"/>
      <c r="G929" s="159"/>
      <c r="H929" s="155"/>
      <c r="I929" s="164"/>
      <c r="J929" s="164"/>
      <c r="K929" s="155"/>
      <c r="L929" s="85"/>
      <c r="M929" s="95"/>
      <c r="N929" s="87"/>
      <c r="O929" s="20"/>
      <c r="P929" s="31"/>
      <c r="Q929" s="88"/>
      <c r="R929" s="88"/>
      <c r="S929" s="88"/>
      <c r="T929" s="58"/>
      <c r="U929" s="92"/>
      <c r="V929" s="90"/>
    </row>
    <row r="930" spans="1:22" s="168" customFormat="1" ht="22.500000" customHeight="1">
      <c r="A930" s="34">
        <v>928</v>
      </c>
      <c r="B930" s="34"/>
      <c r="C930" s="34"/>
      <c r="D930" s="34"/>
      <c r="E930" s="34"/>
      <c r="F930" s="85"/>
      <c r="G930" s="159"/>
      <c r="H930" s="155"/>
      <c r="I930" s="164"/>
      <c r="J930" s="164"/>
      <c r="K930" s="155"/>
      <c r="L930" s="85"/>
      <c r="M930" s="96"/>
      <c r="N930" s="87"/>
      <c r="O930" s="20"/>
      <c r="P930" s="31"/>
      <c r="Q930" s="88"/>
      <c r="R930" s="88"/>
      <c r="S930" s="88"/>
      <c r="T930" s="58"/>
      <c r="U930" s="94"/>
      <c r="V930" s="93"/>
    </row>
    <row r="931" spans="1:22" s="168" customFormat="1" ht="22.500000" customHeight="1">
      <c r="A931" s="34">
        <v>929</v>
      </c>
      <c r="B931" s="34"/>
      <c r="C931" s="34"/>
      <c r="D931" s="34"/>
      <c r="E931" s="34"/>
      <c r="F931" s="85"/>
      <c r="G931" s="159"/>
      <c r="H931" s="155"/>
      <c r="I931" s="164"/>
      <c r="J931" s="164"/>
      <c r="K931" s="155"/>
      <c r="L931" s="85"/>
      <c r="M931" s="95"/>
      <c r="N931" s="87"/>
      <c r="O931" s="20"/>
      <c r="P931" s="31"/>
      <c r="Q931" s="88"/>
      <c r="R931" s="88"/>
      <c r="S931" s="88"/>
      <c r="T931" s="58"/>
      <c r="U931" s="92"/>
      <c r="V931" s="90"/>
    </row>
    <row r="932" spans="1:22" s="168" customFormat="1" ht="22.500000" customHeight="1">
      <c r="A932" s="34">
        <v>930</v>
      </c>
      <c r="B932" s="34"/>
      <c r="C932" s="34"/>
      <c r="D932" s="34"/>
      <c r="E932" s="34"/>
      <c r="F932" s="85"/>
      <c r="G932" s="159"/>
      <c r="H932" s="155"/>
      <c r="I932" s="164"/>
      <c r="J932" s="164"/>
      <c r="K932" s="155"/>
      <c r="L932" s="85"/>
      <c r="M932" s="96"/>
      <c r="N932" s="87"/>
      <c r="O932" s="20"/>
      <c r="P932" s="31"/>
      <c r="Q932" s="88"/>
      <c r="R932" s="88"/>
      <c r="S932" s="88"/>
      <c r="T932" s="58"/>
      <c r="U932" s="94"/>
      <c r="V932" s="93"/>
    </row>
    <row r="933" spans="1:22" s="168" customFormat="1" ht="22.500000" customHeight="1">
      <c r="A933" s="34">
        <v>931</v>
      </c>
      <c r="B933" s="34"/>
      <c r="C933" s="34"/>
      <c r="D933" s="34"/>
      <c r="E933" s="34"/>
      <c r="F933" s="85"/>
      <c r="G933" s="159"/>
      <c r="H933" s="155"/>
      <c r="I933" s="164"/>
      <c r="J933" s="164"/>
      <c r="K933" s="155"/>
      <c r="L933" s="85"/>
      <c r="M933" s="95"/>
      <c r="N933" s="87"/>
      <c r="O933" s="20"/>
      <c r="P933" s="31"/>
      <c r="Q933" s="88"/>
      <c r="R933" s="88"/>
      <c r="S933" s="88"/>
      <c r="T933" s="58"/>
      <c r="U933" s="92"/>
      <c r="V933" s="90"/>
    </row>
    <row r="934" spans="1:22" s="168" customFormat="1" ht="22.500000" customHeight="1">
      <c r="A934" s="34">
        <v>932</v>
      </c>
      <c r="B934" s="34"/>
      <c r="C934" s="34"/>
      <c r="D934" s="34"/>
      <c r="E934" s="34"/>
      <c r="F934" s="85"/>
      <c r="G934" s="159"/>
      <c r="H934" s="155"/>
      <c r="I934" s="164"/>
      <c r="J934" s="164"/>
      <c r="K934" s="155"/>
      <c r="L934" s="85"/>
      <c r="M934" s="96"/>
      <c r="N934" s="87"/>
      <c r="O934" s="20"/>
      <c r="P934" s="31"/>
      <c r="Q934" s="88"/>
      <c r="R934" s="88"/>
      <c r="S934" s="88"/>
      <c r="T934" s="58"/>
      <c r="U934" s="94"/>
      <c r="V934" s="93"/>
    </row>
    <row r="935" spans="1:22" s="168" customFormat="1" ht="22.500000" customHeight="1">
      <c r="A935" s="34">
        <v>933</v>
      </c>
      <c r="B935" s="34"/>
      <c r="C935" s="34"/>
      <c r="D935" s="34"/>
      <c r="E935" s="34"/>
      <c r="F935" s="85"/>
      <c r="G935" s="159"/>
      <c r="H935" s="155"/>
      <c r="I935" s="164"/>
      <c r="J935" s="164"/>
      <c r="K935" s="155"/>
      <c r="L935" s="85"/>
      <c r="M935" s="95"/>
      <c r="N935" s="87"/>
      <c r="O935" s="20"/>
      <c r="P935" s="31"/>
      <c r="Q935" s="88"/>
      <c r="R935" s="88"/>
      <c r="S935" s="88"/>
      <c r="T935" s="58"/>
      <c r="U935" s="92"/>
      <c r="V935" s="90"/>
    </row>
    <row r="936" spans="1:22" s="168" customFormat="1" ht="22.500000" customHeight="1">
      <c r="A936" s="34">
        <v>934</v>
      </c>
      <c r="B936" s="34"/>
      <c r="C936" s="34"/>
      <c r="D936" s="34"/>
      <c r="E936" s="34"/>
      <c r="F936" s="85"/>
      <c r="G936" s="159"/>
      <c r="H936" s="155"/>
      <c r="I936" s="164"/>
      <c r="J936" s="164"/>
      <c r="K936" s="155"/>
      <c r="L936" s="85"/>
      <c r="M936" s="96"/>
      <c r="N936" s="87"/>
      <c r="O936" s="20"/>
      <c r="P936" s="31"/>
      <c r="Q936" s="88"/>
      <c r="R936" s="88"/>
      <c r="S936" s="88"/>
      <c r="T936" s="58"/>
      <c r="U936" s="94"/>
      <c r="V936" s="93"/>
    </row>
    <row r="937" spans="1:22" s="168" customFormat="1" ht="22.500000" customHeight="1">
      <c r="A937" s="34">
        <v>935</v>
      </c>
      <c r="B937" s="34"/>
      <c r="C937" s="34"/>
      <c r="D937" s="34"/>
      <c r="E937" s="34"/>
      <c r="F937" s="85"/>
      <c r="G937" s="159"/>
      <c r="H937" s="155"/>
      <c r="I937" s="164"/>
      <c r="J937" s="164"/>
      <c r="K937" s="155"/>
      <c r="L937" s="85"/>
      <c r="M937" s="95"/>
      <c r="N937" s="87"/>
      <c r="O937" s="20"/>
      <c r="P937" s="31"/>
      <c r="Q937" s="88"/>
      <c r="R937" s="88"/>
      <c r="S937" s="88"/>
      <c r="T937" s="58"/>
      <c r="U937" s="92"/>
      <c r="V937" s="90"/>
    </row>
    <row r="938" spans="1:22" s="168" customFormat="1" ht="22.500000" customHeight="1">
      <c r="A938" s="34">
        <v>936</v>
      </c>
      <c r="B938" s="34"/>
      <c r="C938" s="34"/>
      <c r="D938" s="34"/>
      <c r="E938" s="34"/>
      <c r="F938" s="85"/>
      <c r="G938" s="159"/>
      <c r="H938" s="155"/>
      <c r="I938" s="164"/>
      <c r="J938" s="164"/>
      <c r="K938" s="155"/>
      <c r="L938" s="85"/>
      <c r="M938" s="96"/>
      <c r="N938" s="87"/>
      <c r="O938" s="20"/>
      <c r="P938" s="31"/>
      <c r="Q938" s="88"/>
      <c r="R938" s="88"/>
      <c r="S938" s="88"/>
      <c r="T938" s="58"/>
      <c r="U938" s="94"/>
      <c r="V938" s="93"/>
    </row>
    <row r="939" spans="1:22" s="168" customFormat="1" ht="22.500000" customHeight="1">
      <c r="A939" s="34">
        <v>937</v>
      </c>
      <c r="B939" s="34"/>
      <c r="C939" s="34"/>
      <c r="D939" s="34"/>
      <c r="E939" s="34"/>
      <c r="F939" s="85"/>
      <c r="G939" s="159"/>
      <c r="H939" s="155"/>
      <c r="I939" s="164"/>
      <c r="J939" s="164"/>
      <c r="K939" s="155"/>
      <c r="L939" s="85"/>
      <c r="M939" s="95"/>
      <c r="N939" s="87"/>
      <c r="O939" s="20"/>
      <c r="P939" s="31"/>
      <c r="Q939" s="88"/>
      <c r="R939" s="88"/>
      <c r="S939" s="88"/>
      <c r="T939" s="58"/>
      <c r="U939" s="92"/>
      <c r="V939" s="90"/>
    </row>
    <row r="940" spans="1:22" s="168" customFormat="1" ht="22.500000" customHeight="1">
      <c r="A940" s="34">
        <v>938</v>
      </c>
      <c r="B940" s="34"/>
      <c r="C940" s="34"/>
      <c r="D940" s="34"/>
      <c r="E940" s="34"/>
      <c r="F940" s="85"/>
      <c r="G940" s="159"/>
      <c r="H940" s="155"/>
      <c r="I940" s="164"/>
      <c r="J940" s="164"/>
      <c r="K940" s="155"/>
      <c r="L940" s="85"/>
      <c r="M940" s="96"/>
      <c r="N940" s="87"/>
      <c r="O940" s="20"/>
      <c r="P940" s="31"/>
      <c r="Q940" s="88"/>
      <c r="R940" s="88"/>
      <c r="S940" s="88"/>
      <c r="T940" s="58"/>
      <c r="U940" s="94"/>
      <c r="V940" s="93"/>
    </row>
    <row r="941" spans="1:22" s="168" customFormat="1" ht="22.500000" customHeight="1">
      <c r="A941" s="34">
        <v>939</v>
      </c>
      <c r="B941" s="34"/>
      <c r="C941" s="34"/>
      <c r="D941" s="34"/>
      <c r="E941" s="34"/>
      <c r="F941" s="85"/>
      <c r="G941" s="159"/>
      <c r="H941" s="155"/>
      <c r="I941" s="164"/>
      <c r="J941" s="164"/>
      <c r="K941" s="155"/>
      <c r="L941" s="85"/>
      <c r="M941" s="95"/>
      <c r="N941" s="87"/>
      <c r="O941" s="20"/>
      <c r="P941" s="31"/>
      <c r="Q941" s="88"/>
      <c r="R941" s="88"/>
      <c r="S941" s="88"/>
      <c r="T941" s="58"/>
      <c r="U941" s="92"/>
      <c r="V941" s="90"/>
    </row>
    <row r="942" spans="1:22" s="168" customFormat="1" ht="22.500000" customHeight="1">
      <c r="A942" s="34">
        <v>940</v>
      </c>
      <c r="B942" s="34"/>
      <c r="C942" s="34"/>
      <c r="D942" s="34"/>
      <c r="E942" s="34"/>
      <c r="F942" s="85"/>
      <c r="G942" s="159"/>
      <c r="H942" s="155"/>
      <c r="I942" s="164"/>
      <c r="J942" s="164"/>
      <c r="K942" s="155"/>
      <c r="L942" s="85"/>
      <c r="M942" s="96"/>
      <c r="N942" s="87"/>
      <c r="O942" s="20"/>
      <c r="P942" s="31"/>
      <c r="Q942" s="88"/>
      <c r="R942" s="88"/>
      <c r="S942" s="88"/>
      <c r="T942" s="58"/>
      <c r="U942" s="94"/>
      <c r="V942" s="93"/>
    </row>
    <row r="943" spans="1:22" s="168" customFormat="1" ht="22.500000" customHeight="1">
      <c r="A943" s="34">
        <v>941</v>
      </c>
      <c r="B943" s="34"/>
      <c r="C943" s="34"/>
      <c r="D943" s="34"/>
      <c r="E943" s="34"/>
      <c r="F943" s="85"/>
      <c r="G943" s="159"/>
      <c r="H943" s="155"/>
      <c r="I943" s="164"/>
      <c r="J943" s="164"/>
      <c r="K943" s="155"/>
      <c r="L943" s="85"/>
      <c r="M943" s="95"/>
      <c r="N943" s="87"/>
      <c r="O943" s="20"/>
      <c r="P943" s="31"/>
      <c r="Q943" s="88"/>
      <c r="R943" s="88"/>
      <c r="S943" s="88"/>
      <c r="T943" s="58"/>
      <c r="U943" s="92"/>
      <c r="V943" s="90"/>
    </row>
    <row r="944" spans="1:22" s="168" customFormat="1" ht="22.500000" customHeight="1">
      <c r="A944" s="34">
        <v>942</v>
      </c>
      <c r="B944" s="34"/>
      <c r="C944" s="34"/>
      <c r="D944" s="34"/>
      <c r="E944" s="34"/>
      <c r="F944" s="85"/>
      <c r="G944" s="159"/>
      <c r="H944" s="155"/>
      <c r="I944" s="164"/>
      <c r="J944" s="164"/>
      <c r="K944" s="155"/>
      <c r="L944" s="85"/>
      <c r="M944" s="96"/>
      <c r="N944" s="87"/>
      <c r="O944" s="20"/>
      <c r="P944" s="31"/>
      <c r="Q944" s="88"/>
      <c r="R944" s="88"/>
      <c r="S944" s="88"/>
      <c r="T944" s="58"/>
      <c r="U944" s="94"/>
      <c r="V944" s="93"/>
    </row>
    <row r="945" spans="1:22" s="168" customFormat="1" ht="22.500000" customHeight="1">
      <c r="A945" s="34">
        <v>943</v>
      </c>
      <c r="B945" s="34"/>
      <c r="C945" s="34"/>
      <c r="D945" s="34"/>
      <c r="E945" s="34"/>
      <c r="F945" s="85"/>
      <c r="G945" s="159"/>
      <c r="H945" s="155"/>
      <c r="I945" s="164"/>
      <c r="J945" s="164"/>
      <c r="K945" s="155"/>
      <c r="L945" s="85"/>
      <c r="M945" s="95"/>
      <c r="N945" s="87"/>
      <c r="O945" s="20"/>
      <c r="P945" s="31"/>
      <c r="Q945" s="88"/>
      <c r="R945" s="88"/>
      <c r="S945" s="88"/>
      <c r="T945" s="58"/>
      <c r="U945" s="92"/>
      <c r="V945" s="90"/>
    </row>
    <row r="946" spans="1:22" s="168" customFormat="1" ht="22.500000" customHeight="1">
      <c r="A946" s="34">
        <v>944</v>
      </c>
      <c r="B946" s="34"/>
      <c r="C946" s="34"/>
      <c r="D946" s="34"/>
      <c r="E946" s="34"/>
      <c r="F946" s="85"/>
      <c r="G946" s="159"/>
      <c r="H946" s="155"/>
      <c r="I946" s="164"/>
      <c r="J946" s="164"/>
      <c r="K946" s="155"/>
      <c r="L946" s="85"/>
      <c r="M946" s="96"/>
      <c r="N946" s="87"/>
      <c r="O946" s="20"/>
      <c r="P946" s="31"/>
      <c r="Q946" s="88"/>
      <c r="R946" s="88"/>
      <c r="S946" s="88"/>
      <c r="T946" s="58"/>
      <c r="U946" s="94"/>
      <c r="V946" s="93"/>
    </row>
    <row r="947" spans="1:22" s="168" customFormat="1" ht="22.500000" customHeight="1">
      <c r="A947" s="34">
        <v>945</v>
      </c>
      <c r="B947" s="34"/>
      <c r="C947" s="34"/>
      <c r="D947" s="34"/>
      <c r="E947" s="34"/>
      <c r="F947" s="85"/>
      <c r="G947" s="159"/>
      <c r="H947" s="155"/>
      <c r="I947" s="164"/>
      <c r="J947" s="164"/>
      <c r="K947" s="155"/>
      <c r="L947" s="85"/>
      <c r="M947" s="95"/>
      <c r="N947" s="87"/>
      <c r="O947" s="20"/>
      <c r="P947" s="31"/>
      <c r="Q947" s="88"/>
      <c r="R947" s="88"/>
      <c r="S947" s="88"/>
      <c r="T947" s="58"/>
      <c r="U947" s="92"/>
      <c r="V947" s="90"/>
    </row>
    <row r="948" spans="1:22" s="168" customFormat="1" ht="22.500000" customHeight="1">
      <c r="A948" s="34">
        <v>946</v>
      </c>
      <c r="B948" s="34"/>
      <c r="C948" s="34"/>
      <c r="D948" s="34"/>
      <c r="E948" s="34"/>
      <c r="F948" s="85"/>
      <c r="G948" s="159"/>
      <c r="H948" s="155"/>
      <c r="I948" s="164"/>
      <c r="J948" s="164"/>
      <c r="K948" s="155"/>
      <c r="L948" s="85"/>
      <c r="M948" s="96"/>
      <c r="N948" s="87"/>
      <c r="O948" s="20"/>
      <c r="P948" s="31"/>
      <c r="Q948" s="88"/>
      <c r="R948" s="88"/>
      <c r="S948" s="88"/>
      <c r="T948" s="58"/>
      <c r="U948" s="94"/>
      <c r="V948" s="93"/>
    </row>
    <row r="949" spans="1:22" s="168" customFormat="1" ht="22.500000" customHeight="1">
      <c r="A949" s="34">
        <v>947</v>
      </c>
      <c r="B949" s="34"/>
      <c r="C949" s="34"/>
      <c r="D949" s="34"/>
      <c r="E949" s="34"/>
      <c r="F949" s="85"/>
      <c r="G949" s="159"/>
      <c r="H949" s="155"/>
      <c r="I949" s="164"/>
      <c r="J949" s="164"/>
      <c r="K949" s="155"/>
      <c r="L949" s="85"/>
      <c r="M949" s="95"/>
      <c r="N949" s="87"/>
      <c r="O949" s="20"/>
      <c r="P949" s="31"/>
      <c r="Q949" s="88"/>
      <c r="R949" s="88"/>
      <c r="S949" s="88"/>
      <c r="T949" s="58"/>
      <c r="U949" s="92"/>
      <c r="V949" s="90"/>
    </row>
    <row r="950" spans="1:22" s="168" customFormat="1" ht="22.500000" customHeight="1">
      <c r="A950" s="34">
        <v>948</v>
      </c>
      <c r="B950" s="34"/>
      <c r="C950" s="34"/>
      <c r="D950" s="34"/>
      <c r="E950" s="34"/>
      <c r="F950" s="85"/>
      <c r="G950" s="159"/>
      <c r="H950" s="155"/>
      <c r="I950" s="164"/>
      <c r="J950" s="164"/>
      <c r="K950" s="155"/>
      <c r="L950" s="85"/>
      <c r="M950" s="96"/>
      <c r="N950" s="87"/>
      <c r="O950" s="20"/>
      <c r="P950" s="31"/>
      <c r="Q950" s="88"/>
      <c r="R950" s="88"/>
      <c r="S950" s="88"/>
      <c r="T950" s="58"/>
      <c r="U950" s="94"/>
      <c r="V950" s="93"/>
    </row>
    <row r="951" spans="1:22" s="168" customFormat="1" ht="22.500000" customHeight="1">
      <c r="A951" s="34">
        <v>949</v>
      </c>
      <c r="B951" s="34"/>
      <c r="C951" s="34"/>
      <c r="D951" s="34"/>
      <c r="E951" s="34"/>
      <c r="F951" s="85"/>
      <c r="G951" s="159"/>
      <c r="H951" s="155"/>
      <c r="I951" s="164"/>
      <c r="J951" s="164"/>
      <c r="K951" s="155"/>
      <c r="L951" s="85"/>
      <c r="M951" s="95"/>
      <c r="N951" s="87"/>
      <c r="O951" s="20"/>
      <c r="P951" s="31"/>
      <c r="Q951" s="88"/>
      <c r="R951" s="88"/>
      <c r="S951" s="88"/>
      <c r="T951" s="58"/>
      <c r="U951" s="92"/>
      <c r="V951" s="90"/>
    </row>
    <row r="952" spans="1:22" s="168" customFormat="1" ht="22.500000" customHeight="1">
      <c r="A952" s="34">
        <v>950</v>
      </c>
      <c r="B952" s="34"/>
      <c r="C952" s="34"/>
      <c r="D952" s="34"/>
      <c r="E952" s="34"/>
      <c r="F952" s="85"/>
      <c r="G952" s="159"/>
      <c r="H952" s="155"/>
      <c r="I952" s="164"/>
      <c r="J952" s="164"/>
      <c r="K952" s="155"/>
      <c r="L952" s="85"/>
      <c r="M952" s="96"/>
      <c r="N952" s="87"/>
      <c r="O952" s="20"/>
      <c r="P952" s="31"/>
      <c r="Q952" s="88"/>
      <c r="R952" s="88"/>
      <c r="S952" s="88"/>
      <c r="T952" s="58"/>
      <c r="U952" s="94"/>
      <c r="V952" s="93"/>
    </row>
    <row r="953" spans="1:22" s="168" customFormat="1" ht="22.500000" customHeight="1">
      <c r="A953" s="34">
        <v>951</v>
      </c>
      <c r="B953" s="34"/>
      <c r="C953" s="34"/>
      <c r="D953" s="34"/>
      <c r="E953" s="34"/>
      <c r="F953" s="85"/>
      <c r="G953" s="159"/>
      <c r="H953" s="155"/>
      <c r="I953" s="164"/>
      <c r="J953" s="164"/>
      <c r="K953" s="155"/>
      <c r="L953" s="85"/>
      <c r="M953" s="95"/>
      <c r="N953" s="87"/>
      <c r="O953" s="20"/>
      <c r="P953" s="31"/>
      <c r="Q953" s="88"/>
      <c r="R953" s="88"/>
      <c r="S953" s="88"/>
      <c r="T953" s="58"/>
      <c r="U953" s="92"/>
      <c r="V953" s="90"/>
    </row>
    <row r="954" spans="1:22" s="168" customFormat="1" ht="22.500000" customHeight="1">
      <c r="A954" s="34">
        <v>952</v>
      </c>
      <c r="B954" s="34"/>
      <c r="C954" s="34"/>
      <c r="D954" s="34"/>
      <c r="E954" s="34"/>
      <c r="F954" s="85"/>
      <c r="G954" s="159"/>
      <c r="H954" s="155"/>
      <c r="I954" s="164"/>
      <c r="J954" s="164"/>
      <c r="K954" s="155"/>
      <c r="L954" s="85"/>
      <c r="M954" s="96"/>
      <c r="N954" s="87"/>
      <c r="O954" s="20"/>
      <c r="P954" s="31"/>
      <c r="Q954" s="88"/>
      <c r="R954" s="88"/>
      <c r="S954" s="88"/>
      <c r="T954" s="58"/>
      <c r="U954" s="94"/>
      <c r="V954" s="93"/>
    </row>
    <row r="955" spans="1:22" s="168" customFormat="1" ht="22.500000" customHeight="1">
      <c r="A955" s="34">
        <v>953</v>
      </c>
      <c r="B955" s="34"/>
      <c r="C955" s="34"/>
      <c r="D955" s="34"/>
      <c r="E955" s="34"/>
      <c r="F955" s="85"/>
      <c r="G955" s="159"/>
      <c r="H955" s="155"/>
      <c r="I955" s="164"/>
      <c r="J955" s="164"/>
      <c r="K955" s="155"/>
      <c r="L955" s="85"/>
      <c r="M955" s="95"/>
      <c r="N955" s="87"/>
      <c r="O955" s="20"/>
      <c r="P955" s="31"/>
      <c r="Q955" s="88"/>
      <c r="R955" s="88"/>
      <c r="S955" s="88"/>
      <c r="T955" s="58"/>
      <c r="U955" s="92"/>
      <c r="V955" s="90"/>
    </row>
    <row r="956" spans="1:22" s="168" customFormat="1" ht="22.500000" customHeight="1">
      <c r="A956" s="34">
        <v>954</v>
      </c>
      <c r="B956" s="34"/>
      <c r="C956" s="34"/>
      <c r="D956" s="34"/>
      <c r="E956" s="34"/>
      <c r="F956" s="85"/>
      <c r="G956" s="159"/>
      <c r="H956" s="155"/>
      <c r="I956" s="164"/>
      <c r="J956" s="164"/>
      <c r="K956" s="155"/>
      <c r="L956" s="85"/>
      <c r="M956" s="96"/>
      <c r="N956" s="87"/>
      <c r="O956" s="20"/>
      <c r="P956" s="31"/>
      <c r="Q956" s="88"/>
      <c r="R956" s="88"/>
      <c r="S956" s="88"/>
      <c r="T956" s="58"/>
      <c r="U956" s="94"/>
      <c r="V956" s="93"/>
    </row>
    <row r="957" spans="1:22" s="168" customFormat="1" ht="22.500000" customHeight="1">
      <c r="A957" s="34">
        <v>955</v>
      </c>
      <c r="B957" s="34"/>
      <c r="C957" s="34"/>
      <c r="D957" s="34"/>
      <c r="E957" s="34"/>
      <c r="F957" s="85"/>
      <c r="G957" s="159"/>
      <c r="H957" s="155"/>
      <c r="I957" s="164"/>
      <c r="J957" s="164"/>
      <c r="K957" s="155"/>
      <c r="L957" s="85"/>
      <c r="M957" s="95"/>
      <c r="N957" s="87"/>
      <c r="O957" s="20"/>
      <c r="P957" s="31"/>
      <c r="Q957" s="88"/>
      <c r="R957" s="88"/>
      <c r="S957" s="88"/>
      <c r="T957" s="58"/>
      <c r="U957" s="92"/>
      <c r="V957" s="90"/>
    </row>
    <row r="958" spans="1:22" s="168" customFormat="1" ht="22.500000" customHeight="1">
      <c r="A958" s="34">
        <v>956</v>
      </c>
      <c r="B958" s="34"/>
      <c r="C958" s="34"/>
      <c r="D958" s="34"/>
      <c r="E958" s="34"/>
      <c r="F958" s="85"/>
      <c r="G958" s="159"/>
      <c r="H958" s="155"/>
      <c r="I958" s="164"/>
      <c r="J958" s="164"/>
      <c r="K958" s="155"/>
      <c r="L958" s="85"/>
      <c r="M958" s="96"/>
      <c r="N958" s="87"/>
      <c r="O958" s="20"/>
      <c r="P958" s="31"/>
      <c r="Q958" s="88"/>
      <c r="R958" s="88"/>
      <c r="S958" s="88"/>
      <c r="T958" s="58"/>
      <c r="U958" s="94"/>
      <c r="V958" s="93"/>
    </row>
    <row r="959" spans="1:22" s="168" customFormat="1" ht="22.500000" customHeight="1">
      <c r="A959" s="34">
        <v>957</v>
      </c>
      <c r="B959" s="34"/>
      <c r="C959" s="34"/>
      <c r="D959" s="34"/>
      <c r="E959" s="34"/>
      <c r="F959" s="85"/>
      <c r="G959" s="159"/>
      <c r="H959" s="155"/>
      <c r="I959" s="164"/>
      <c r="J959" s="164"/>
      <c r="K959" s="155"/>
      <c r="L959" s="85"/>
      <c r="M959" s="95"/>
      <c r="N959" s="87"/>
      <c r="O959" s="20"/>
      <c r="P959" s="31"/>
      <c r="Q959" s="88"/>
      <c r="R959" s="88"/>
      <c r="S959" s="88"/>
      <c r="T959" s="58"/>
      <c r="U959" s="92"/>
      <c r="V959" s="90"/>
    </row>
    <row r="960" spans="1:22" s="168" customFormat="1" ht="22.500000" customHeight="1">
      <c r="A960" s="34">
        <v>958</v>
      </c>
      <c r="B960" s="34"/>
      <c r="C960" s="34"/>
      <c r="D960" s="34"/>
      <c r="E960" s="34"/>
      <c r="F960" s="85"/>
      <c r="G960" s="159"/>
      <c r="H960" s="155"/>
      <c r="I960" s="164"/>
      <c r="J960" s="164"/>
      <c r="K960" s="155"/>
      <c r="L960" s="85"/>
      <c r="M960" s="96"/>
      <c r="N960" s="87"/>
      <c r="O960" s="20"/>
      <c r="P960" s="31"/>
      <c r="Q960" s="88"/>
      <c r="R960" s="88"/>
      <c r="S960" s="88"/>
      <c r="T960" s="58"/>
      <c r="U960" s="94"/>
      <c r="V960" s="93"/>
    </row>
    <row r="961" spans="1:22" s="168" customFormat="1" ht="22.500000" customHeight="1">
      <c r="A961" s="34">
        <v>959</v>
      </c>
      <c r="B961" s="34"/>
      <c r="C961" s="34"/>
      <c r="D961" s="34"/>
      <c r="E961" s="34"/>
      <c r="F961" s="85"/>
      <c r="G961" s="159"/>
      <c r="H961" s="155"/>
      <c r="I961" s="164"/>
      <c r="J961" s="164"/>
      <c r="K961" s="155"/>
      <c r="L961" s="85"/>
      <c r="M961" s="95"/>
      <c r="N961" s="87"/>
      <c r="O961" s="20"/>
      <c r="P961" s="31"/>
      <c r="Q961" s="88"/>
      <c r="R961" s="88"/>
      <c r="S961" s="88"/>
      <c r="T961" s="58"/>
      <c r="U961" s="92"/>
      <c r="V961" s="90"/>
    </row>
    <row r="962" spans="1:22" s="168" customFormat="1" ht="22.500000" customHeight="1">
      <c r="A962" s="34">
        <v>960</v>
      </c>
      <c r="B962" s="34"/>
      <c r="C962" s="34"/>
      <c r="D962" s="34"/>
      <c r="E962" s="34"/>
      <c r="F962" s="85"/>
      <c r="G962" s="159"/>
      <c r="H962" s="155"/>
      <c r="I962" s="164"/>
      <c r="J962" s="164"/>
      <c r="K962" s="155"/>
      <c r="L962" s="85"/>
      <c r="M962" s="96"/>
      <c r="N962" s="87"/>
      <c r="O962" s="20"/>
      <c r="P962" s="31"/>
      <c r="Q962" s="88"/>
      <c r="R962" s="88"/>
      <c r="S962" s="88"/>
      <c r="T962" s="58"/>
      <c r="U962" s="94"/>
      <c r="V962" s="93"/>
    </row>
    <row r="963" spans="1:22" s="168" customFormat="1" ht="22.500000" customHeight="1">
      <c r="A963" s="34">
        <v>961</v>
      </c>
      <c r="B963" s="34"/>
      <c r="C963" s="34"/>
      <c r="D963" s="34"/>
      <c r="E963" s="34"/>
      <c r="F963" s="85"/>
      <c r="G963" s="159"/>
      <c r="H963" s="155"/>
      <c r="I963" s="164"/>
      <c r="J963" s="164"/>
      <c r="K963" s="155"/>
      <c r="L963" s="85"/>
      <c r="M963" s="95"/>
      <c r="N963" s="87"/>
      <c r="O963" s="20"/>
      <c r="P963" s="31"/>
      <c r="Q963" s="88"/>
      <c r="R963" s="88"/>
      <c r="S963" s="88"/>
      <c r="T963" s="58"/>
      <c r="U963" s="92"/>
      <c r="V963" s="90"/>
    </row>
    <row r="964" spans="1:22" s="168" customFormat="1" ht="22.500000" customHeight="1">
      <c r="A964" s="34">
        <v>962</v>
      </c>
      <c r="B964" s="34"/>
      <c r="C964" s="34"/>
      <c r="D964" s="34"/>
      <c r="E964" s="34"/>
      <c r="F964" s="85"/>
      <c r="G964" s="159"/>
      <c r="H964" s="155"/>
      <c r="I964" s="164"/>
      <c r="J964" s="164"/>
      <c r="K964" s="155"/>
      <c r="L964" s="85"/>
      <c r="M964" s="96"/>
      <c r="N964" s="87"/>
      <c r="O964" s="20"/>
      <c r="P964" s="31"/>
      <c r="Q964" s="88"/>
      <c r="R964" s="88"/>
      <c r="S964" s="88"/>
      <c r="T964" s="58"/>
      <c r="U964" s="94"/>
      <c r="V964" s="93"/>
    </row>
    <row r="965" spans="1:22" s="168" customFormat="1" ht="22.500000" customHeight="1">
      <c r="A965" s="34">
        <v>963</v>
      </c>
      <c r="B965" s="34"/>
      <c r="C965" s="34"/>
      <c r="D965" s="34"/>
      <c r="E965" s="34"/>
      <c r="F965" s="85"/>
      <c r="G965" s="159"/>
      <c r="H965" s="155"/>
      <c r="I965" s="164"/>
      <c r="J965" s="164"/>
      <c r="K965" s="155"/>
      <c r="L965" s="85"/>
      <c r="M965" s="95"/>
      <c r="N965" s="87"/>
      <c r="O965" s="20"/>
      <c r="P965" s="31"/>
      <c r="Q965" s="88"/>
      <c r="R965" s="88"/>
      <c r="S965" s="88"/>
      <c r="T965" s="58"/>
      <c r="U965" s="92"/>
      <c r="V965" s="90"/>
    </row>
    <row r="966" spans="1:22" s="168" customFormat="1" ht="22.500000" customHeight="1">
      <c r="A966" s="34">
        <v>964</v>
      </c>
      <c r="B966" s="34"/>
      <c r="C966" s="34"/>
      <c r="D966" s="34"/>
      <c r="E966" s="34"/>
      <c r="F966" s="85"/>
      <c r="G966" s="159"/>
      <c r="H966" s="155"/>
      <c r="I966" s="164"/>
      <c r="J966" s="164"/>
      <c r="K966" s="155"/>
      <c r="L966" s="85"/>
      <c r="M966" s="96"/>
      <c r="N966" s="87"/>
      <c r="O966" s="20"/>
      <c r="P966" s="31"/>
      <c r="Q966" s="88"/>
      <c r="R966" s="88"/>
      <c r="S966" s="88"/>
      <c r="T966" s="58"/>
      <c r="U966" s="94"/>
      <c r="V966" s="93"/>
    </row>
    <row r="967" spans="1:22" s="168" customFormat="1" ht="22.500000" customHeight="1">
      <c r="A967" s="34">
        <v>965</v>
      </c>
      <c r="B967" s="34"/>
      <c r="C967" s="34"/>
      <c r="D967" s="34"/>
      <c r="E967" s="34"/>
      <c r="F967" s="85"/>
      <c r="G967" s="159"/>
      <c r="H967" s="155"/>
      <c r="I967" s="164"/>
      <c r="J967" s="164"/>
      <c r="K967" s="155"/>
      <c r="L967" s="85"/>
      <c r="M967" s="95"/>
      <c r="N967" s="87"/>
      <c r="O967" s="20"/>
      <c r="P967" s="31"/>
      <c r="Q967" s="88"/>
      <c r="R967" s="88"/>
      <c r="S967" s="88"/>
      <c r="T967" s="58"/>
      <c r="U967" s="92"/>
      <c r="V967" s="90"/>
    </row>
    <row r="968" spans="1:22" s="168" customFormat="1" ht="22.500000" customHeight="1">
      <c r="A968" s="34">
        <v>966</v>
      </c>
      <c r="B968" s="34"/>
      <c r="C968" s="34"/>
      <c r="D968" s="34"/>
      <c r="E968" s="34"/>
      <c r="F968" s="85"/>
      <c r="G968" s="159"/>
      <c r="H968" s="155"/>
      <c r="I968" s="164"/>
      <c r="J968" s="164"/>
      <c r="K968" s="155"/>
      <c r="L968" s="85"/>
      <c r="M968" s="96"/>
      <c r="N968" s="87"/>
      <c r="O968" s="20"/>
      <c r="P968" s="31"/>
      <c r="Q968" s="88"/>
      <c r="R968" s="88"/>
      <c r="S968" s="88"/>
      <c r="T968" s="58"/>
      <c r="U968" s="94"/>
      <c r="V968" s="93"/>
    </row>
    <row r="969" spans="1:22" s="168" customFormat="1" ht="22.500000" customHeight="1">
      <c r="A969" s="34">
        <v>967</v>
      </c>
      <c r="B969" s="34"/>
      <c r="C969" s="34"/>
      <c r="D969" s="34"/>
      <c r="E969" s="34"/>
      <c r="F969" s="85"/>
      <c r="G969" s="159"/>
      <c r="H969" s="155"/>
      <c r="I969" s="164"/>
      <c r="J969" s="164"/>
      <c r="K969" s="155"/>
      <c r="L969" s="85"/>
      <c r="M969" s="95"/>
      <c r="N969" s="87"/>
      <c r="O969" s="20"/>
      <c r="P969" s="31"/>
      <c r="Q969" s="88"/>
      <c r="R969" s="88"/>
      <c r="S969" s="88"/>
      <c r="T969" s="58"/>
      <c r="U969" s="92"/>
      <c r="V969" s="90"/>
    </row>
    <row r="970" spans="1:22" s="168" customFormat="1" ht="22.500000" customHeight="1">
      <c r="A970" s="34">
        <v>968</v>
      </c>
      <c r="B970" s="34"/>
      <c r="C970" s="34"/>
      <c r="D970" s="34"/>
      <c r="E970" s="34"/>
      <c r="F970" s="85"/>
      <c r="G970" s="159"/>
      <c r="H970" s="155"/>
      <c r="I970" s="164"/>
      <c r="J970" s="164"/>
      <c r="K970" s="155"/>
      <c r="L970" s="85"/>
      <c r="M970" s="96"/>
      <c r="N970" s="87"/>
      <c r="O970" s="20"/>
      <c r="P970" s="31"/>
      <c r="Q970" s="88"/>
      <c r="R970" s="88"/>
      <c r="S970" s="88"/>
      <c r="T970" s="58"/>
      <c r="U970" s="94"/>
      <c r="V970" s="93"/>
    </row>
    <row r="971" spans="1:22" s="168" customFormat="1" ht="22.500000" customHeight="1">
      <c r="A971" s="34">
        <v>969</v>
      </c>
      <c r="B971" s="34"/>
      <c r="C971" s="34"/>
      <c r="D971" s="34"/>
      <c r="E971" s="34"/>
      <c r="F971" s="85"/>
      <c r="G971" s="159"/>
      <c r="H971" s="155"/>
      <c r="I971" s="164"/>
      <c r="J971" s="164"/>
      <c r="K971" s="155"/>
      <c r="L971" s="85"/>
      <c r="M971" s="95"/>
      <c r="N971" s="87"/>
      <c r="O971" s="20"/>
      <c r="P971" s="31"/>
      <c r="Q971" s="88"/>
      <c r="R971" s="88"/>
      <c r="S971" s="88"/>
      <c r="T971" s="58"/>
      <c r="U971" s="92"/>
      <c r="V971" s="90"/>
    </row>
    <row r="972" spans="1:22" s="168" customFormat="1" ht="22.500000" customHeight="1">
      <c r="A972" s="34">
        <v>970</v>
      </c>
      <c r="B972" s="34"/>
      <c r="C972" s="34"/>
      <c r="D972" s="34"/>
      <c r="E972" s="34"/>
      <c r="F972" s="85"/>
      <c r="G972" s="159"/>
      <c r="H972" s="155"/>
      <c r="I972" s="164"/>
      <c r="J972" s="164"/>
      <c r="K972" s="155"/>
      <c r="L972" s="85"/>
      <c r="M972" s="96"/>
      <c r="N972" s="87"/>
      <c r="O972" s="20"/>
      <c r="P972" s="31"/>
      <c r="Q972" s="88"/>
      <c r="R972" s="88"/>
      <c r="S972" s="88"/>
      <c r="T972" s="58"/>
      <c r="U972" s="94"/>
      <c r="V972" s="93"/>
    </row>
    <row r="973" spans="1:22" s="168" customFormat="1" ht="22.500000" customHeight="1">
      <c r="A973" s="34">
        <v>971</v>
      </c>
      <c r="B973" s="34"/>
      <c r="C973" s="34"/>
      <c r="D973" s="34"/>
      <c r="E973" s="34"/>
      <c r="F973" s="85"/>
      <c r="G973" s="159"/>
      <c r="H973" s="155"/>
      <c r="I973" s="164"/>
      <c r="J973" s="164"/>
      <c r="K973" s="155"/>
      <c r="L973" s="85"/>
      <c r="M973" s="95"/>
      <c r="N973" s="87"/>
      <c r="O973" s="20"/>
      <c r="P973" s="31"/>
      <c r="Q973" s="88"/>
      <c r="R973" s="88"/>
      <c r="S973" s="88"/>
      <c r="T973" s="58"/>
      <c r="U973" s="92"/>
      <c r="V973" s="90"/>
    </row>
    <row r="974" spans="1:22" s="168" customFormat="1" ht="22.500000" customHeight="1">
      <c r="A974" s="34">
        <v>972</v>
      </c>
      <c r="B974" s="34"/>
      <c r="C974" s="34"/>
      <c r="D974" s="34"/>
      <c r="E974" s="34"/>
      <c r="F974" s="85"/>
      <c r="G974" s="159"/>
      <c r="H974" s="155"/>
      <c r="I974" s="164"/>
      <c r="J974" s="164"/>
      <c r="K974" s="155"/>
      <c r="L974" s="85"/>
      <c r="M974" s="96"/>
      <c r="N974" s="87"/>
      <c r="O974" s="20"/>
      <c r="P974" s="31"/>
      <c r="Q974" s="88"/>
      <c r="R974" s="88"/>
      <c r="S974" s="88"/>
      <c r="T974" s="58"/>
      <c r="U974" s="94"/>
      <c r="V974" s="93"/>
    </row>
    <row r="975" spans="1:22" s="168" customFormat="1" ht="22.500000" customHeight="1">
      <c r="A975" s="34">
        <v>973</v>
      </c>
      <c r="B975" s="34"/>
      <c r="C975" s="34"/>
      <c r="D975" s="34"/>
      <c r="E975" s="34"/>
      <c r="F975" s="85"/>
      <c r="G975" s="159"/>
      <c r="H975" s="155"/>
      <c r="I975" s="164"/>
      <c r="J975" s="164"/>
      <c r="K975" s="155"/>
      <c r="L975" s="85"/>
      <c r="M975" s="95"/>
      <c r="N975" s="87"/>
      <c r="O975" s="20"/>
      <c r="P975" s="31"/>
      <c r="Q975" s="88"/>
      <c r="R975" s="88"/>
      <c r="S975" s="88"/>
      <c r="T975" s="58"/>
      <c r="U975" s="92"/>
      <c r="V975" s="90"/>
    </row>
    <row r="976" spans="1:22" s="168" customFormat="1" ht="22.500000" customHeight="1">
      <c r="A976" s="34">
        <v>974</v>
      </c>
      <c r="B976" s="34"/>
      <c r="C976" s="34"/>
      <c r="D976" s="34"/>
      <c r="E976" s="34"/>
      <c r="F976" s="85"/>
      <c r="G976" s="159"/>
      <c r="H976" s="155"/>
      <c r="I976" s="164"/>
      <c r="J976" s="164"/>
      <c r="K976" s="155"/>
      <c r="L976" s="85"/>
      <c r="M976" s="96"/>
      <c r="N976" s="87"/>
      <c r="O976" s="20"/>
      <c r="P976" s="31"/>
      <c r="Q976" s="88"/>
      <c r="R976" s="88"/>
      <c r="S976" s="88"/>
      <c r="T976" s="58"/>
      <c r="U976" s="94"/>
      <c r="V976" s="93"/>
    </row>
    <row r="977" spans="1:22" s="168" customFormat="1" ht="22.500000" customHeight="1">
      <c r="A977" s="34">
        <v>975</v>
      </c>
      <c r="B977" s="34"/>
      <c r="C977" s="34"/>
      <c r="D977" s="34"/>
      <c r="E977" s="34"/>
      <c r="F977" s="85"/>
      <c r="G977" s="159"/>
      <c r="H977" s="155"/>
      <c r="I977" s="164"/>
      <c r="J977" s="164"/>
      <c r="K977" s="155"/>
      <c r="L977" s="85"/>
      <c r="M977" s="95"/>
      <c r="N977" s="87"/>
      <c r="O977" s="20"/>
      <c r="P977" s="31"/>
      <c r="Q977" s="88"/>
      <c r="R977" s="88"/>
      <c r="S977" s="88"/>
      <c r="T977" s="58"/>
      <c r="U977" s="92"/>
      <c r="V977" s="90"/>
    </row>
    <row r="978" spans="1:22" s="168" customFormat="1" ht="22.500000" customHeight="1">
      <c r="A978" s="34">
        <v>976</v>
      </c>
      <c r="B978" s="34"/>
      <c r="C978" s="34"/>
      <c r="D978" s="34"/>
      <c r="E978" s="34"/>
      <c r="F978" s="85"/>
      <c r="G978" s="159"/>
      <c r="H978" s="155"/>
      <c r="I978" s="164"/>
      <c r="J978" s="164"/>
      <c r="K978" s="155"/>
      <c r="L978" s="85"/>
      <c r="M978" s="96"/>
      <c r="N978" s="87"/>
      <c r="O978" s="20"/>
      <c r="P978" s="31"/>
      <c r="Q978" s="88"/>
      <c r="R978" s="88"/>
      <c r="S978" s="88"/>
      <c r="T978" s="58"/>
      <c r="U978" s="94"/>
      <c r="V978" s="93"/>
    </row>
    <row r="979" spans="1:22" s="168" customFormat="1" ht="22.500000" customHeight="1">
      <c r="A979" s="34">
        <v>977</v>
      </c>
      <c r="B979" s="34"/>
      <c r="C979" s="34"/>
      <c r="D979" s="34"/>
      <c r="E979" s="34"/>
      <c r="F979" s="85"/>
      <c r="G979" s="159"/>
      <c r="H979" s="155"/>
      <c r="I979" s="164"/>
      <c r="J979" s="164"/>
      <c r="K979" s="155"/>
      <c r="L979" s="85"/>
      <c r="M979" s="95"/>
      <c r="N979" s="87"/>
      <c r="O979" s="20"/>
      <c r="P979" s="31"/>
      <c r="Q979" s="88"/>
      <c r="R979" s="88"/>
      <c r="S979" s="88"/>
      <c r="T979" s="58"/>
      <c r="U979" s="92"/>
      <c r="V979" s="90"/>
    </row>
    <row r="980" spans="1:22" s="168" customFormat="1" ht="22.500000" customHeight="1">
      <c r="A980" s="34">
        <v>978</v>
      </c>
      <c r="B980" s="34"/>
      <c r="C980" s="34"/>
      <c r="D980" s="34"/>
      <c r="E980" s="34"/>
      <c r="F980" s="85"/>
      <c r="G980" s="159"/>
      <c r="H980" s="155"/>
      <c r="I980" s="164"/>
      <c r="J980" s="164"/>
      <c r="K980" s="155"/>
      <c r="L980" s="85"/>
      <c r="M980" s="96"/>
      <c r="N980" s="87"/>
      <c r="O980" s="20"/>
      <c r="P980" s="31"/>
      <c r="Q980" s="88"/>
      <c r="R980" s="88"/>
      <c r="S980" s="88"/>
      <c r="T980" s="58"/>
      <c r="U980" s="94"/>
      <c r="V980" s="93"/>
    </row>
    <row r="981" spans="1:22" s="168" customFormat="1" ht="22.500000" customHeight="1">
      <c r="A981" s="34">
        <v>979</v>
      </c>
      <c r="B981" s="34"/>
      <c r="C981" s="34"/>
      <c r="D981" s="34"/>
      <c r="E981" s="34"/>
      <c r="F981" s="85"/>
      <c r="G981" s="159"/>
      <c r="H981" s="155"/>
      <c r="I981" s="164"/>
      <c r="J981" s="164"/>
      <c r="K981" s="155"/>
      <c r="L981" s="85"/>
      <c r="M981" s="95"/>
      <c r="N981" s="87"/>
      <c r="O981" s="20"/>
      <c r="P981" s="31"/>
      <c r="Q981" s="88"/>
      <c r="R981" s="88"/>
      <c r="S981" s="88"/>
      <c r="T981" s="58"/>
      <c r="U981" s="92"/>
      <c r="V981" s="90"/>
    </row>
    <row r="982" spans="1:22" s="168" customFormat="1" ht="22.500000" customHeight="1">
      <c r="A982" s="34">
        <v>980</v>
      </c>
      <c r="B982" s="34"/>
      <c r="C982" s="34"/>
      <c r="D982" s="34"/>
      <c r="E982" s="34"/>
      <c r="F982" s="85"/>
      <c r="G982" s="159"/>
      <c r="H982" s="155"/>
      <c r="I982" s="164"/>
      <c r="J982" s="164"/>
      <c r="K982" s="155"/>
      <c r="L982" s="85"/>
      <c r="M982" s="96"/>
      <c r="N982" s="87"/>
      <c r="O982" s="20"/>
      <c r="P982" s="31"/>
      <c r="Q982" s="88"/>
      <c r="R982" s="88"/>
      <c r="S982" s="88"/>
      <c r="T982" s="58"/>
      <c r="U982" s="94"/>
      <c r="V982" s="93"/>
    </row>
    <row r="983" spans="1:22" s="168" customFormat="1" ht="22.500000" customHeight="1">
      <c r="A983" s="34">
        <v>981</v>
      </c>
      <c r="B983" s="34"/>
      <c r="C983" s="34"/>
      <c r="D983" s="34"/>
      <c r="E983" s="34"/>
      <c r="F983" s="85"/>
      <c r="G983" s="159"/>
      <c r="H983" s="155"/>
      <c r="I983" s="164"/>
      <c r="J983" s="164"/>
      <c r="K983" s="155"/>
      <c r="L983" s="85"/>
      <c r="M983" s="95"/>
      <c r="N983" s="87"/>
      <c r="O983" s="20"/>
      <c r="P983" s="31"/>
      <c r="Q983" s="88"/>
      <c r="R983" s="88"/>
      <c r="S983" s="88"/>
      <c r="T983" s="58"/>
      <c r="U983" s="92"/>
      <c r="V983" s="90"/>
    </row>
    <row r="984" spans="1:22" s="168" customFormat="1" ht="22.500000" customHeight="1">
      <c r="A984" s="34">
        <v>982</v>
      </c>
      <c r="B984" s="34"/>
      <c r="C984" s="34"/>
      <c r="D984" s="34"/>
      <c r="E984" s="34"/>
      <c r="F984" s="85"/>
      <c r="G984" s="159"/>
      <c r="H984" s="155"/>
      <c r="I984" s="164"/>
      <c r="J984" s="164"/>
      <c r="K984" s="155"/>
      <c r="L984" s="85"/>
      <c r="M984" s="96"/>
      <c r="N984" s="87"/>
      <c r="O984" s="20"/>
      <c r="P984" s="31"/>
      <c r="Q984" s="88"/>
      <c r="R984" s="88"/>
      <c r="S984" s="88"/>
      <c r="T984" s="58"/>
      <c r="U984" s="94"/>
      <c r="V984" s="93"/>
    </row>
    <row r="985" spans="1:22" s="168" customFormat="1" ht="22.500000" customHeight="1">
      <c r="A985" s="34">
        <v>983</v>
      </c>
      <c r="B985" s="34"/>
      <c r="C985" s="34"/>
      <c r="D985" s="34"/>
      <c r="E985" s="34"/>
      <c r="F985" s="85"/>
      <c r="G985" s="159"/>
      <c r="H985" s="155"/>
      <c r="I985" s="164"/>
      <c r="J985" s="164"/>
      <c r="K985" s="155"/>
      <c r="L985" s="85"/>
      <c r="M985" s="95"/>
      <c r="N985" s="87"/>
      <c r="O985" s="20"/>
      <c r="P985" s="31"/>
      <c r="Q985" s="88"/>
      <c r="R985" s="88"/>
      <c r="S985" s="88"/>
      <c r="T985" s="58"/>
      <c r="U985" s="92"/>
      <c r="V985" s="90"/>
    </row>
    <row r="986" spans="1:22" s="168" customFormat="1" ht="22.500000" customHeight="1">
      <c r="A986" s="34">
        <v>984</v>
      </c>
      <c r="B986" s="34"/>
      <c r="C986" s="34"/>
      <c r="D986" s="34"/>
      <c r="E986" s="34"/>
      <c r="F986" s="85"/>
      <c r="G986" s="159"/>
      <c r="H986" s="155"/>
      <c r="I986" s="164"/>
      <c r="J986" s="164"/>
      <c r="K986" s="155"/>
      <c r="L986" s="85"/>
      <c r="M986" s="96"/>
      <c r="N986" s="87"/>
      <c r="O986" s="20"/>
      <c r="P986" s="31"/>
      <c r="Q986" s="88"/>
      <c r="R986" s="88"/>
      <c r="S986" s="88"/>
      <c r="T986" s="58"/>
      <c r="U986" s="94"/>
      <c r="V986" s="93"/>
    </row>
    <row r="987" spans="1:22" s="168" customFormat="1" ht="22.500000" customHeight="1">
      <c r="A987" s="34">
        <v>985</v>
      </c>
      <c r="B987" s="34"/>
      <c r="C987" s="34"/>
      <c r="D987" s="34"/>
      <c r="E987" s="34"/>
      <c r="F987" s="85"/>
      <c r="G987" s="159"/>
      <c r="H987" s="155"/>
      <c r="I987" s="164"/>
      <c r="J987" s="164"/>
      <c r="K987" s="155"/>
      <c r="L987" s="85"/>
      <c r="M987" s="95"/>
      <c r="N987" s="87"/>
      <c r="O987" s="20"/>
      <c r="P987" s="31"/>
      <c r="Q987" s="88"/>
      <c r="R987" s="88"/>
      <c r="S987" s="88"/>
      <c r="T987" s="58"/>
      <c r="U987" s="92"/>
      <c r="V987" s="90"/>
    </row>
    <row r="988" spans="1:22" s="168" customFormat="1" ht="22.500000" customHeight="1">
      <c r="A988" s="34">
        <v>986</v>
      </c>
      <c r="B988" s="34"/>
      <c r="C988" s="34"/>
      <c r="D988" s="34"/>
      <c r="E988" s="34"/>
      <c r="F988" s="85"/>
      <c r="G988" s="159"/>
      <c r="H988" s="155"/>
      <c r="I988" s="164"/>
      <c r="J988" s="164"/>
      <c r="K988" s="155"/>
      <c r="L988" s="85"/>
      <c r="M988" s="96"/>
      <c r="N988" s="87"/>
      <c r="O988" s="20"/>
      <c r="P988" s="31"/>
      <c r="Q988" s="88"/>
      <c r="R988" s="88"/>
      <c r="S988" s="88"/>
      <c r="T988" s="58"/>
      <c r="U988" s="94"/>
      <c r="V988" s="93"/>
    </row>
    <row r="989" spans="1:22" s="168" customFormat="1" ht="22.500000" customHeight="1">
      <c r="A989" s="34">
        <v>987</v>
      </c>
      <c r="B989" s="34"/>
      <c r="C989" s="34"/>
      <c r="D989" s="34"/>
      <c r="E989" s="34"/>
      <c r="F989" s="85"/>
      <c r="G989" s="159"/>
      <c r="H989" s="155"/>
      <c r="I989" s="164"/>
      <c r="J989" s="164"/>
      <c r="K989" s="155"/>
      <c r="L989" s="85"/>
      <c r="M989" s="95"/>
      <c r="N989" s="87"/>
      <c r="O989" s="20"/>
      <c r="P989" s="31"/>
      <c r="Q989" s="88"/>
      <c r="R989" s="88"/>
      <c r="S989" s="88"/>
      <c r="T989" s="58"/>
      <c r="U989" s="92"/>
      <c r="V989" s="90"/>
    </row>
    <row r="990" spans="1:22" s="168" customFormat="1" ht="22.500000" customHeight="1">
      <c r="A990" s="34">
        <v>988</v>
      </c>
      <c r="B990" s="34"/>
      <c r="C990" s="34"/>
      <c r="D990" s="34"/>
      <c r="E990" s="34"/>
      <c r="F990" s="85"/>
      <c r="G990" s="159"/>
      <c r="H990" s="155"/>
      <c r="I990" s="164"/>
      <c r="J990" s="164"/>
      <c r="K990" s="155"/>
      <c r="L990" s="85"/>
      <c r="M990" s="96"/>
      <c r="N990" s="87"/>
      <c r="O990" s="20"/>
      <c r="P990" s="31"/>
      <c r="Q990" s="88"/>
      <c r="R990" s="88"/>
      <c r="S990" s="88"/>
      <c r="T990" s="58"/>
      <c r="U990" s="94"/>
      <c r="V990" s="93"/>
    </row>
    <row r="991" spans="1:22" s="168" customFormat="1" ht="22.500000" customHeight="1">
      <c r="A991" s="34">
        <v>989</v>
      </c>
      <c r="B991" s="34"/>
      <c r="C991" s="34"/>
      <c r="D991" s="34"/>
      <c r="E991" s="34"/>
      <c r="F991" s="85"/>
      <c r="G991" s="159"/>
      <c r="H991" s="155"/>
      <c r="I991" s="164"/>
      <c r="J991" s="164"/>
      <c r="K991" s="155"/>
      <c r="L991" s="85"/>
      <c r="M991" s="95"/>
      <c r="N991" s="87"/>
      <c r="O991" s="20"/>
      <c r="P991" s="31"/>
      <c r="Q991" s="88"/>
      <c r="R991" s="88"/>
      <c r="S991" s="88"/>
      <c r="T991" s="58"/>
      <c r="U991" s="92"/>
      <c r="V991" s="90"/>
    </row>
    <row r="992" spans="1:22" s="168" customFormat="1" ht="22.500000" customHeight="1">
      <c r="A992" s="34">
        <v>990</v>
      </c>
      <c r="B992" s="34"/>
      <c r="C992" s="34"/>
      <c r="D992" s="34"/>
      <c r="E992" s="34"/>
      <c r="F992" s="85"/>
      <c r="G992" s="159"/>
      <c r="H992" s="155"/>
      <c r="I992" s="164"/>
      <c r="J992" s="164"/>
      <c r="K992" s="155"/>
      <c r="L992" s="85"/>
      <c r="M992" s="96"/>
      <c r="N992" s="87"/>
      <c r="O992" s="20"/>
      <c r="P992" s="31"/>
      <c r="Q992" s="88"/>
      <c r="R992" s="88"/>
      <c r="S992" s="88"/>
      <c r="T992" s="58"/>
      <c r="U992" s="94"/>
      <c r="V992" s="93"/>
    </row>
    <row r="993" spans="1:22" s="168" customFormat="1" ht="22.500000" customHeight="1">
      <c r="A993" s="34">
        <v>991</v>
      </c>
      <c r="B993" s="34"/>
      <c r="C993" s="34"/>
      <c r="D993" s="34"/>
      <c r="E993" s="34"/>
      <c r="F993" s="85"/>
      <c r="G993" s="159"/>
      <c r="H993" s="155"/>
      <c r="I993" s="164"/>
      <c r="J993" s="164"/>
      <c r="K993" s="155"/>
      <c r="L993" s="85"/>
      <c r="M993" s="95"/>
      <c r="N993" s="87"/>
      <c r="O993" s="20"/>
      <c r="P993" s="31"/>
      <c r="Q993" s="88"/>
      <c r="R993" s="88"/>
      <c r="S993" s="88"/>
      <c r="T993" s="58"/>
      <c r="U993" s="92"/>
      <c r="V993" s="90"/>
    </row>
    <row r="994" spans="1:22" s="168" customFormat="1" ht="22.500000" customHeight="1">
      <c r="A994" s="34">
        <v>992</v>
      </c>
      <c r="B994" s="34"/>
      <c r="C994" s="34"/>
      <c r="D994" s="34"/>
      <c r="E994" s="34"/>
      <c r="F994" s="85"/>
      <c r="G994" s="159"/>
      <c r="H994" s="155"/>
      <c r="I994" s="164"/>
      <c r="J994" s="164"/>
      <c r="K994" s="155"/>
      <c r="L994" s="85"/>
      <c r="M994" s="96"/>
      <c r="N994" s="87"/>
      <c r="O994" s="20"/>
      <c r="P994" s="85"/>
      <c r="Q994" s="88"/>
      <c r="R994" s="88"/>
      <c r="S994" s="88"/>
      <c r="T994" s="58"/>
      <c r="U994" s="94"/>
      <c r="V994" s="93"/>
    </row>
    <row r="995" spans="1:22" s="168" customFormat="1" ht="22.500000" customHeight="1">
      <c r="A995" s="34">
        <v>993</v>
      </c>
      <c r="B995" s="34"/>
      <c r="C995" s="34"/>
      <c r="D995" s="34"/>
      <c r="E995" s="34"/>
      <c r="F995" s="85"/>
      <c r="G995" s="159"/>
      <c r="H995" s="155"/>
      <c r="I995" s="164"/>
      <c r="J995" s="164"/>
      <c r="K995" s="155"/>
      <c r="L995" s="85"/>
      <c r="M995" s="95"/>
      <c r="N995" s="87"/>
      <c r="O995" s="20"/>
      <c r="P995" s="85"/>
      <c r="Q995" s="88"/>
      <c r="R995" s="88"/>
      <c r="S995" s="88"/>
      <c r="T995" s="58"/>
      <c r="U995" s="92"/>
      <c r="V995" s="90"/>
    </row>
    <row r="996" spans="1:22" s="168" customFormat="1" ht="22.500000" customHeight="1">
      <c r="A996" s="34">
        <v>994</v>
      </c>
      <c r="B996" s="34"/>
      <c r="C996" s="34"/>
      <c r="D996" s="34"/>
      <c r="E996" s="34"/>
      <c r="F996" s="85"/>
      <c r="G996" s="159"/>
      <c r="H996" s="155"/>
      <c r="I996" s="164"/>
      <c r="J996" s="164"/>
      <c r="K996" s="155"/>
      <c r="L996" s="85"/>
      <c r="M996" s="96"/>
      <c r="N996" s="87"/>
      <c r="O996" s="20"/>
      <c r="P996" s="85"/>
      <c r="Q996" s="88"/>
      <c r="R996" s="88"/>
      <c r="S996" s="88"/>
      <c r="T996" s="58"/>
      <c r="U996" s="94"/>
      <c r="V996" s="93"/>
    </row>
    <row r="997" spans="1:22" s="168" customFormat="1" ht="22.500000" customHeight="1">
      <c r="A997" s="34">
        <v>995</v>
      </c>
      <c r="B997" s="34"/>
      <c r="C997" s="34"/>
      <c r="D997" s="34"/>
      <c r="E997" s="34"/>
      <c r="F997" s="85"/>
      <c r="G997" s="159"/>
      <c r="H997" s="155"/>
      <c r="I997" s="164"/>
      <c r="J997" s="164"/>
      <c r="K997" s="155"/>
      <c r="L997" s="85"/>
      <c r="M997" s="95"/>
      <c r="N997" s="87"/>
      <c r="O997" s="20"/>
      <c r="P997" s="85"/>
      <c r="Q997" s="88"/>
      <c r="R997" s="88"/>
      <c r="S997" s="88"/>
      <c r="T997" s="58"/>
      <c r="U997" s="92"/>
      <c r="V997" s="90"/>
    </row>
    <row r="998" spans="1:22" s="168" customFormat="1" ht="22.500000" customHeight="1">
      <c r="A998" s="34">
        <v>996</v>
      </c>
      <c r="B998" s="34"/>
      <c r="C998" s="34"/>
      <c r="D998" s="34"/>
      <c r="E998" s="34"/>
      <c r="F998" s="85"/>
      <c r="G998" s="159"/>
      <c r="H998" s="155"/>
      <c r="I998" s="164"/>
      <c r="J998" s="164"/>
      <c r="K998" s="155"/>
      <c r="L998" s="85"/>
      <c r="M998" s="96"/>
      <c r="N998" s="87"/>
      <c r="O998" s="20"/>
      <c r="P998" s="85"/>
      <c r="Q998" s="88"/>
      <c r="R998" s="88"/>
      <c r="S998" s="88"/>
      <c r="T998" s="58"/>
      <c r="U998" s="94"/>
      <c r="V998" s="93"/>
    </row>
    <row r="999" spans="1:22" s="168" customFormat="1" ht="22.500000" customHeight="1">
      <c r="A999" s="34">
        <v>997</v>
      </c>
      <c r="B999" s="34"/>
      <c r="C999" s="34"/>
      <c r="D999" s="34"/>
      <c r="E999" s="34"/>
      <c r="F999" s="85"/>
      <c r="G999" s="159"/>
      <c r="H999" s="155"/>
      <c r="I999" s="164"/>
      <c r="J999" s="164"/>
      <c r="K999" s="155"/>
      <c r="L999" s="85"/>
      <c r="M999" s="95"/>
      <c r="N999" s="87"/>
      <c r="O999" s="20"/>
      <c r="P999" s="85"/>
      <c r="Q999" s="88"/>
      <c r="R999" s="88"/>
      <c r="S999" s="88"/>
      <c r="T999" s="58"/>
      <c r="U999" s="92"/>
      <c r="V999" s="90"/>
    </row>
    <row r="1000" spans="1:22" s="168" customFormat="1" ht="22.500000" customHeight="1">
      <c r="A1000" s="34">
        <v>998</v>
      </c>
      <c r="B1000" s="34"/>
      <c r="C1000" s="34"/>
      <c r="D1000" s="34"/>
      <c r="E1000" s="34"/>
      <c r="F1000" s="85"/>
      <c r="G1000" s="159"/>
      <c r="H1000" s="155"/>
      <c r="I1000" s="164"/>
      <c r="J1000" s="164"/>
      <c r="K1000" s="155"/>
      <c r="L1000" s="85"/>
      <c r="M1000" s="96"/>
      <c r="N1000" s="87"/>
      <c r="O1000" s="20"/>
      <c r="P1000" s="85"/>
      <c r="Q1000" s="88"/>
      <c r="R1000" s="88"/>
      <c r="S1000" s="88"/>
      <c r="T1000" s="58"/>
      <c r="U1000" s="94"/>
      <c r="V1000" s="93"/>
    </row>
    <row r="1001" spans="1:22" s="168" customFormat="1" ht="22.500000" customHeight="1">
      <c r="A1001" s="34">
        <v>999</v>
      </c>
      <c r="B1001" s="34"/>
      <c r="C1001" s="34"/>
      <c r="D1001" s="34"/>
      <c r="E1001" s="34"/>
      <c r="F1001" s="85"/>
      <c r="G1001" s="159"/>
      <c r="H1001" s="155"/>
      <c r="I1001" s="164"/>
      <c r="J1001" s="164"/>
      <c r="K1001" s="155"/>
      <c r="L1001" s="85"/>
      <c r="M1001" s="95"/>
      <c r="N1001" s="87"/>
      <c r="O1001" s="20"/>
      <c r="P1001" s="85"/>
      <c r="Q1001" s="88"/>
      <c r="R1001" s="88"/>
      <c r="S1001" s="88"/>
      <c r="T1001" s="58" t="e">
        <f>Boosters_And!U1001/C1001</f>
        <v>#DIV/0!</v>
      </c>
      <c r="U1001" s="92" t="e">
        <f>V1001/B1001</f>
        <v>#DIV/0!</v>
      </c>
      <c r="V1001" s="90"/>
    </row>
    <row r="1002" spans="1:22" s="168" customFormat="1" ht="22.500000" customHeight="1">
      <c r="A1002" s="34">
        <v>1000</v>
      </c>
      <c r="B1002" s="34"/>
      <c r="C1002" s="34"/>
      <c r="D1002" s="34"/>
      <c r="E1002" s="34"/>
      <c r="F1002" s="85"/>
      <c r="G1002" s="159"/>
      <c r="H1002" s="155"/>
      <c r="I1002" s="164"/>
      <c r="J1002" s="164"/>
      <c r="K1002" s="155"/>
      <c r="L1002" s="85"/>
      <c r="M1002" s="97"/>
      <c r="N1002" s="87"/>
      <c r="O1002" s="20"/>
      <c r="P1002" s="85"/>
      <c r="Q1002" s="88"/>
      <c r="R1002" s="88"/>
      <c r="S1002" s="88"/>
      <c r="T1002" s="58" t="e">
        <f>Boosters_And!U1002/C1002</f>
        <v>#DIV/0!</v>
      </c>
      <c r="U1002" s="99" t="e">
        <f>V1002/B1002</f>
        <v>#DIV/0!</v>
      </c>
      <c r="V1002" s="98"/>
    </row>
    <row r="1003" spans="1:22" s="168" customFormat="1" ht="20.250000" customHeight="1">
      <c r="A1003" s="34">
        <v>1001</v>
      </c>
      <c r="B1003" s="34"/>
      <c r="C1003" s="34"/>
      <c r="D1003" s="34"/>
      <c r="E1003" s="34"/>
      <c r="F1003" s="85"/>
      <c r="G1003" s="159"/>
      <c r="H1003" s="155"/>
      <c r="I1003" s="164"/>
      <c r="J1003" s="164"/>
      <c r="K1003" s="155"/>
      <c r="L1003" s="85"/>
      <c r="M1003" s="100"/>
      <c r="N1003" s="87"/>
      <c r="O1003" s="20"/>
      <c r="P1003" s="85"/>
      <c r="Q1003" s="88"/>
      <c r="R1003" s="88"/>
      <c r="S1003" s="88"/>
      <c r="T1003" s="58" t="e">
        <f>Boosters_And!U1003/C1003</f>
        <v>#DIV/0!</v>
      </c>
      <c r="U1003" s="101"/>
      <c r="V1003" s="31"/>
    </row>
    <row r="1004" spans="1:22" s="168" customFormat="1" ht="20.250000" customHeight="1">
      <c r="A1004" s="34">
        <v>1002</v>
      </c>
      <c r="B1004" s="34"/>
      <c r="C1004" s="34"/>
      <c r="D1004" s="34"/>
      <c r="E1004" s="34"/>
      <c r="F1004" s="85"/>
      <c r="G1004" s="159"/>
      <c r="H1004" s="155"/>
      <c r="I1004" s="164"/>
      <c r="J1004" s="164"/>
      <c r="K1004" s="155"/>
      <c r="L1004" s="85"/>
      <c r="M1004" s="100"/>
      <c r="N1004" s="87"/>
      <c r="O1004" s="20"/>
      <c r="P1004" s="85"/>
      <c r="Q1004" s="88"/>
      <c r="R1004" s="88"/>
      <c r="S1004" s="88"/>
      <c r="T1004" s="58" t="e">
        <f>Boosters_And!U1004/C1004</f>
        <v>#DIV/0!</v>
      </c>
      <c r="U1004" s="101"/>
      <c r="V1004" s="31"/>
    </row>
    <row r="1005" spans="1:22" s="168" customFormat="1" ht="20.250000" customHeight="1">
      <c r="A1005" s="34">
        <v>1003</v>
      </c>
      <c r="B1005" s="34"/>
      <c r="C1005" s="34"/>
      <c r="D1005" s="34"/>
      <c r="E1005" s="34"/>
      <c r="F1005" s="85"/>
      <c r="G1005" s="159"/>
      <c r="H1005" s="155"/>
      <c r="I1005" s="164"/>
      <c r="J1005" s="164"/>
      <c r="K1005" s="155"/>
      <c r="L1005" s="85"/>
      <c r="M1005" s="100"/>
      <c r="N1005" s="87"/>
      <c r="O1005" s="20"/>
      <c r="P1005" s="85"/>
      <c r="Q1005" s="88"/>
      <c r="R1005" s="88"/>
      <c r="S1005" s="88"/>
      <c r="T1005" s="58" t="e">
        <f>Boosters_And!U1005/C1005</f>
        <v>#DIV/0!</v>
      </c>
      <c r="U1005" s="101"/>
      <c r="V1005" s="31"/>
    </row>
    <row r="1006" spans="1:22" s="168" customFormat="1" ht="20.250000" customHeight="1">
      <c r="A1006" s="34">
        <v>1004</v>
      </c>
      <c r="B1006" s="34"/>
      <c r="C1006" s="34"/>
      <c r="D1006" s="34"/>
      <c r="E1006" s="34"/>
      <c r="F1006" s="85"/>
      <c r="G1006" s="159"/>
      <c r="H1006" s="155"/>
      <c r="I1006" s="164"/>
      <c r="J1006" s="164"/>
      <c r="K1006" s="155"/>
      <c r="L1006" s="85"/>
      <c r="M1006" s="100"/>
      <c r="N1006" s="87"/>
      <c r="O1006" s="20"/>
      <c r="P1006" s="85"/>
      <c r="Q1006" s="88"/>
      <c r="R1006" s="88"/>
      <c r="S1006" s="88"/>
      <c r="T1006" s="58" t="e">
        <f>Boosters_And!U1006/C1006</f>
        <v>#DIV/0!</v>
      </c>
      <c r="U1006" s="101"/>
      <c r="V1006" s="31"/>
    </row>
    <row r="1007" spans="1:22" s="168" customFormat="1" ht="20.250000" customHeight="1">
      <c r="A1007" s="34">
        <v>1005</v>
      </c>
      <c r="B1007" s="34"/>
      <c r="C1007" s="34"/>
      <c r="D1007" s="34"/>
      <c r="E1007" s="34"/>
      <c r="F1007" s="85"/>
      <c r="G1007" s="159"/>
      <c r="H1007" s="155"/>
      <c r="I1007" s="164"/>
      <c r="J1007" s="164"/>
      <c r="K1007" s="155"/>
      <c r="L1007" s="85"/>
      <c r="M1007" s="100"/>
      <c r="N1007" s="87"/>
      <c r="O1007" s="20"/>
      <c r="P1007" s="85"/>
      <c r="Q1007" s="88"/>
      <c r="R1007" s="88"/>
      <c r="S1007" s="88"/>
      <c r="T1007" s="58" t="e">
        <f>Boosters_And!U1007/C1007</f>
        <v>#DIV/0!</v>
      </c>
      <c r="U1007" s="101"/>
      <c r="V1007" s="31"/>
    </row>
    <row r="1008" spans="1:22" s="168" customFormat="1" ht="20.250000" customHeight="1">
      <c r="A1008" s="34">
        <v>1006</v>
      </c>
      <c r="B1008" s="34"/>
      <c r="C1008" s="34"/>
      <c r="D1008" s="34"/>
      <c r="E1008" s="34"/>
      <c r="F1008" s="85"/>
      <c r="G1008" s="159"/>
      <c r="H1008" s="155"/>
      <c r="I1008" s="164"/>
      <c r="J1008" s="164"/>
      <c r="K1008" s="155"/>
      <c r="L1008" s="85"/>
      <c r="M1008" s="100"/>
      <c r="N1008" s="87"/>
      <c r="O1008" s="20"/>
      <c r="P1008" s="85"/>
      <c r="Q1008" s="88"/>
      <c r="R1008" s="88"/>
      <c r="S1008" s="88"/>
      <c r="T1008" s="58" t="e">
        <f>Boosters_And!U1008/C1008</f>
        <v>#DIV/0!</v>
      </c>
      <c r="U1008" s="101"/>
      <c r="V1008" s="31"/>
    </row>
    <row r="1009" spans="1:22" s="168" customFormat="1" ht="20.250000" customHeight="1">
      <c r="A1009" s="34">
        <v>1007</v>
      </c>
      <c r="B1009" s="34"/>
      <c r="C1009" s="34"/>
      <c r="D1009" s="34"/>
      <c r="E1009" s="34"/>
      <c r="F1009" s="85"/>
      <c r="G1009" s="159"/>
      <c r="H1009" s="155"/>
      <c r="I1009" s="164"/>
      <c r="J1009" s="164"/>
      <c r="K1009" s="155"/>
      <c r="L1009" s="85"/>
      <c r="M1009" s="100"/>
      <c r="N1009" s="87"/>
      <c r="O1009" s="20"/>
      <c r="P1009" s="85"/>
      <c r="Q1009" s="88"/>
      <c r="R1009" s="88"/>
      <c r="S1009" s="88"/>
      <c r="T1009" s="58" t="e">
        <f>Boosters_And!U1009/C1009</f>
        <v>#DIV/0!</v>
      </c>
      <c r="U1009" s="101"/>
      <c r="V1009" s="31"/>
    </row>
    <row r="1010" spans="1:22" s="168" customFormat="1" ht="20.250000" customHeight="1">
      <c r="A1010" s="34">
        <v>1008</v>
      </c>
      <c r="B1010" s="34"/>
      <c r="C1010" s="34"/>
      <c r="D1010" s="34"/>
      <c r="E1010" s="34"/>
      <c r="F1010" s="85"/>
      <c r="G1010" s="159"/>
      <c r="H1010" s="155"/>
      <c r="I1010" s="164"/>
      <c r="J1010" s="164"/>
      <c r="K1010" s="155"/>
      <c r="L1010" s="85"/>
      <c r="M1010" s="100"/>
      <c r="N1010" s="87"/>
      <c r="O1010" s="20"/>
      <c r="P1010" s="85"/>
      <c r="Q1010" s="88"/>
      <c r="R1010" s="88"/>
      <c r="S1010" s="88"/>
      <c r="T1010" s="58" t="e">
        <f>Boosters_And!U1010/C1010</f>
        <v>#DIV/0!</v>
      </c>
      <c r="U1010" s="101"/>
      <c r="V1010" s="31"/>
    </row>
    <row r="1011" spans="1:22" s="168" customFormat="1" ht="20.250000" customHeight="1">
      <c r="A1011" s="34">
        <v>1009</v>
      </c>
      <c r="B1011" s="34"/>
      <c r="C1011" s="34"/>
      <c r="D1011" s="34"/>
      <c r="E1011" s="34"/>
      <c r="F1011" s="85"/>
      <c r="G1011" s="159"/>
      <c r="H1011" s="155"/>
      <c r="I1011" s="164"/>
      <c r="J1011" s="164"/>
      <c r="K1011" s="155"/>
      <c r="L1011" s="85"/>
      <c r="M1011" s="100"/>
      <c r="N1011" s="87"/>
      <c r="O1011" s="20"/>
      <c r="P1011" s="85"/>
      <c r="Q1011" s="88"/>
      <c r="R1011" s="88"/>
      <c r="S1011" s="88"/>
      <c r="T1011" s="58" t="e">
        <f>Boosters_And!U1011/C1011</f>
        <v>#DIV/0!</v>
      </c>
      <c r="U1011" s="101"/>
      <c r="V1011" s="31"/>
    </row>
    <row r="1012" spans="1:22" s="168" customFormat="1" ht="20.250000" customHeight="1">
      <c r="A1012" s="34">
        <v>1010</v>
      </c>
      <c r="B1012" s="34"/>
      <c r="C1012" s="34"/>
      <c r="D1012" s="34"/>
      <c r="E1012" s="34"/>
      <c r="F1012" s="85"/>
      <c r="G1012" s="159"/>
      <c r="H1012" s="155"/>
      <c r="I1012" s="164"/>
      <c r="J1012" s="164"/>
      <c r="K1012" s="155"/>
      <c r="L1012" s="85"/>
      <c r="M1012" s="100"/>
      <c r="N1012" s="87"/>
      <c r="O1012" s="20"/>
      <c r="P1012" s="85"/>
      <c r="Q1012" s="88"/>
      <c r="R1012" s="88"/>
      <c r="S1012" s="88"/>
      <c r="T1012" s="58" t="e">
        <f>Boosters_And!U1012/C1012</f>
        <v>#DIV/0!</v>
      </c>
      <c r="U1012" s="101"/>
      <c r="V1012" s="31"/>
    </row>
    <row r="1013" spans="1:22" s="168" customFormat="1" ht="20.250000" customHeight="1">
      <c r="A1013" s="34">
        <v>1011</v>
      </c>
      <c r="B1013" s="34"/>
      <c r="C1013" s="34"/>
      <c r="D1013" s="34"/>
      <c r="E1013" s="34"/>
      <c r="F1013" s="85"/>
      <c r="G1013" s="159"/>
      <c r="H1013" s="155"/>
      <c r="I1013" s="164"/>
      <c r="J1013" s="164"/>
      <c r="K1013" s="155"/>
      <c r="L1013" s="85"/>
      <c r="M1013" s="100"/>
      <c r="N1013" s="87"/>
      <c r="O1013" s="20"/>
      <c r="P1013" s="85"/>
      <c r="Q1013" s="88"/>
      <c r="R1013" s="88"/>
      <c r="S1013" s="88"/>
      <c r="T1013" s="58" t="e">
        <f>Boosters_And!U1013/C1013</f>
        <v>#DIV/0!</v>
      </c>
      <c r="U1013" s="101"/>
      <c r="V1013" s="31"/>
    </row>
    <row r="1014" spans="1:22" s="168" customFormat="1" ht="20.250000" customHeight="1">
      <c r="A1014" s="34">
        <v>1012</v>
      </c>
      <c r="B1014" s="34"/>
      <c r="C1014" s="34"/>
      <c r="D1014" s="34"/>
      <c r="E1014" s="34"/>
      <c r="F1014" s="85"/>
      <c r="G1014" s="159"/>
      <c r="H1014" s="155"/>
      <c r="I1014" s="164"/>
      <c r="J1014" s="164"/>
      <c r="K1014" s="155"/>
      <c r="L1014" s="85"/>
      <c r="M1014" s="100"/>
      <c r="N1014" s="87"/>
      <c r="O1014" s="20"/>
      <c r="P1014" s="85"/>
      <c r="Q1014" s="88"/>
      <c r="R1014" s="88"/>
      <c r="S1014" s="88"/>
      <c r="T1014" s="58" t="e">
        <f>Boosters_And!U1014/C1014</f>
        <v>#DIV/0!</v>
      </c>
      <c r="U1014" s="101"/>
      <c r="V1014" s="31"/>
    </row>
    <row r="1015" spans="1:22" s="168" customFormat="1" ht="20.250000" customHeight="1">
      <c r="A1015" s="34">
        <v>1013</v>
      </c>
      <c r="B1015" s="34"/>
      <c r="C1015" s="34"/>
      <c r="D1015" s="34"/>
      <c r="E1015" s="34"/>
      <c r="F1015" s="85"/>
      <c r="G1015" s="159"/>
      <c r="H1015" s="155"/>
      <c r="I1015" s="164"/>
      <c r="J1015" s="164"/>
      <c r="K1015" s="155"/>
      <c r="L1015" s="85"/>
      <c r="M1015" s="100"/>
      <c r="N1015" s="87"/>
      <c r="O1015" s="20"/>
      <c r="P1015" s="85"/>
      <c r="Q1015" s="88"/>
      <c r="R1015" s="88"/>
      <c r="S1015" s="88"/>
      <c r="T1015" s="58" t="e">
        <f>Boosters_And!U1015/C1015</f>
        <v>#DIV/0!</v>
      </c>
      <c r="U1015" s="101"/>
      <c r="V1015" s="31"/>
    </row>
    <row r="1016" spans="1:22" s="168" customFormat="1" ht="20.250000" customHeight="1">
      <c r="A1016" s="34">
        <v>1014</v>
      </c>
      <c r="B1016" s="34"/>
      <c r="C1016" s="34"/>
      <c r="D1016" s="34"/>
      <c r="E1016" s="34"/>
      <c r="F1016" s="85"/>
      <c r="G1016" s="159"/>
      <c r="H1016" s="155"/>
      <c r="I1016" s="164"/>
      <c r="J1016" s="164"/>
      <c r="K1016" s="155"/>
      <c r="L1016" s="85"/>
      <c r="M1016" s="100"/>
      <c r="N1016" s="87"/>
      <c r="O1016" s="20"/>
      <c r="P1016" s="85"/>
      <c r="Q1016" s="88"/>
      <c r="R1016" s="88"/>
      <c r="S1016" s="88"/>
      <c r="T1016" s="58" t="e">
        <f>Boosters_And!U1016/C1016</f>
        <v>#DIV/0!</v>
      </c>
      <c r="U1016" s="101"/>
      <c r="V1016" s="31"/>
    </row>
    <row r="1017" spans="1:22" s="168" customFormat="1" ht="20.250000" customHeight="1">
      <c r="A1017" s="34">
        <v>1015</v>
      </c>
      <c r="B1017" s="34"/>
      <c r="C1017" s="34"/>
      <c r="D1017" s="34"/>
      <c r="E1017" s="34"/>
      <c r="F1017" s="85"/>
      <c r="G1017" s="159"/>
      <c r="H1017" s="155"/>
      <c r="I1017" s="164"/>
      <c r="J1017" s="164"/>
      <c r="K1017" s="155"/>
      <c r="L1017" s="85"/>
      <c r="M1017" s="100"/>
      <c r="N1017" s="87"/>
      <c r="O1017" s="20"/>
      <c r="P1017" s="85"/>
      <c r="Q1017" s="88"/>
      <c r="R1017" s="88"/>
      <c r="S1017" s="88"/>
      <c r="T1017" s="58" t="e">
        <f>Boosters_And!U1017/C1017</f>
        <v>#DIV/0!</v>
      </c>
      <c r="U1017" s="101"/>
      <c r="V1017" s="31"/>
    </row>
    <row r="1018" spans="1:22" s="168" customFormat="1" ht="20.250000" customHeight="1">
      <c r="A1018" s="34">
        <v>1016</v>
      </c>
      <c r="B1018" s="34"/>
      <c r="C1018" s="34"/>
      <c r="D1018" s="34"/>
      <c r="E1018" s="34"/>
      <c r="F1018" s="85"/>
      <c r="G1018" s="159"/>
      <c r="H1018" s="155"/>
      <c r="I1018" s="164"/>
      <c r="J1018" s="164"/>
      <c r="K1018" s="155"/>
      <c r="L1018" s="85"/>
      <c r="M1018" s="100"/>
      <c r="N1018" s="87"/>
      <c r="O1018" s="20"/>
      <c r="P1018" s="85"/>
      <c r="Q1018" s="88"/>
      <c r="R1018" s="88"/>
      <c r="S1018" s="88"/>
      <c r="T1018" s="58" t="e">
        <f>Boosters_And!U1018/C1018</f>
        <v>#DIV/0!</v>
      </c>
      <c r="U1018" s="101"/>
      <c r="V1018" s="31"/>
    </row>
    <row r="1019" spans="1:22" s="168" customFormat="1" ht="20.250000" customHeight="1">
      <c r="A1019" s="34">
        <v>1017</v>
      </c>
      <c r="B1019" s="34"/>
      <c r="C1019" s="34"/>
      <c r="D1019" s="34"/>
      <c r="E1019" s="34"/>
      <c r="F1019" s="85"/>
      <c r="G1019" s="159"/>
      <c r="H1019" s="155"/>
      <c r="I1019" s="164"/>
      <c r="J1019" s="164"/>
      <c r="K1019" s="155"/>
      <c r="L1019" s="85"/>
      <c r="M1019" s="100"/>
      <c r="N1019" s="87"/>
      <c r="O1019" s="20"/>
      <c r="P1019" s="85"/>
      <c r="Q1019" s="88"/>
      <c r="R1019" s="88"/>
      <c r="S1019" s="88"/>
      <c r="T1019" s="58" t="e">
        <f>Boosters_And!U1019/C1019</f>
        <v>#DIV/0!</v>
      </c>
      <c r="U1019" s="101"/>
      <c r="V1019" s="31"/>
    </row>
    <row r="1020" spans="1:22" s="168" customFormat="1" ht="20.250000" customHeight="1">
      <c r="A1020" s="34">
        <v>1018</v>
      </c>
      <c r="B1020" s="34"/>
      <c r="C1020" s="34"/>
      <c r="D1020" s="34"/>
      <c r="E1020" s="34"/>
      <c r="F1020" s="85"/>
      <c r="G1020" s="159"/>
      <c r="H1020" s="155"/>
      <c r="I1020" s="164"/>
      <c r="J1020" s="164"/>
      <c r="K1020" s="155"/>
      <c r="L1020" s="85"/>
      <c r="M1020" s="100"/>
      <c r="N1020" s="87"/>
      <c r="O1020" s="20"/>
      <c r="P1020" s="85"/>
      <c r="Q1020" s="88"/>
      <c r="R1020" s="88"/>
      <c r="S1020" s="88"/>
      <c r="T1020" s="58" t="e">
        <f>Boosters_And!U1020/C1020</f>
        <v>#DIV/0!</v>
      </c>
      <c r="U1020" s="101"/>
      <c r="V1020" s="31"/>
    </row>
    <row r="1021" spans="1:22" s="168" customFormat="1" ht="20.250000" customHeight="1">
      <c r="A1021" s="34">
        <v>1019</v>
      </c>
      <c r="B1021" s="34"/>
      <c r="C1021" s="34"/>
      <c r="D1021" s="34"/>
      <c r="E1021" s="34"/>
      <c r="F1021" s="85"/>
      <c r="G1021" s="159"/>
      <c r="H1021" s="155"/>
      <c r="I1021" s="164"/>
      <c r="J1021" s="164"/>
      <c r="K1021" s="155"/>
      <c r="L1021" s="85"/>
      <c r="M1021" s="100"/>
      <c r="N1021" s="87"/>
      <c r="O1021" s="20"/>
      <c r="P1021" s="85"/>
      <c r="Q1021" s="88"/>
      <c r="R1021" s="88"/>
      <c r="S1021" s="88"/>
      <c r="T1021" s="58" t="e">
        <f>Boosters_And!U1021/C1021</f>
        <v>#DIV/0!</v>
      </c>
      <c r="U1021" s="101"/>
      <c r="V1021" s="31"/>
    </row>
    <row r="1022" spans="1:22" s="168" customFormat="1" ht="20.250000" customHeight="1">
      <c r="A1022" s="34">
        <v>1020</v>
      </c>
      <c r="B1022" s="34"/>
      <c r="C1022" s="34"/>
      <c r="D1022" s="34"/>
      <c r="E1022" s="34"/>
      <c r="F1022" s="85"/>
      <c r="G1022" s="159"/>
      <c r="H1022" s="155"/>
      <c r="I1022" s="164"/>
      <c r="J1022" s="164"/>
      <c r="K1022" s="155"/>
      <c r="L1022" s="85"/>
      <c r="M1022" s="100"/>
      <c r="N1022" s="87"/>
      <c r="O1022" s="20"/>
      <c r="P1022" s="85"/>
      <c r="Q1022" s="88"/>
      <c r="R1022" s="88"/>
      <c r="S1022" s="88"/>
      <c r="T1022" s="58" t="e">
        <f>Boosters_And!U1022/C1022</f>
        <v>#DIV/0!</v>
      </c>
      <c r="U1022" s="101"/>
      <c r="V1022" s="31"/>
    </row>
    <row r="1023" spans="1:22" s="168" customFormat="1" ht="20.250000" customHeight="1">
      <c r="A1023" s="34">
        <v>1021</v>
      </c>
      <c r="B1023" s="34"/>
      <c r="C1023" s="34"/>
      <c r="D1023" s="34"/>
      <c r="E1023" s="34"/>
      <c r="F1023" s="85"/>
      <c r="G1023" s="159"/>
      <c r="H1023" s="155"/>
      <c r="I1023" s="164"/>
      <c r="J1023" s="164"/>
      <c r="K1023" s="155"/>
      <c r="L1023" s="85"/>
      <c r="M1023" s="100"/>
      <c r="N1023" s="87"/>
      <c r="O1023" s="20"/>
      <c r="P1023" s="85"/>
      <c r="Q1023" s="88"/>
      <c r="R1023" s="88"/>
      <c r="S1023" s="88"/>
      <c r="T1023" s="58" t="e">
        <f>Boosters_And!U1023/C1023</f>
        <v>#DIV/0!</v>
      </c>
      <c r="U1023" s="101"/>
      <c r="V1023" s="31"/>
    </row>
    <row r="1024" spans="1:22" s="168" customFormat="1" ht="20.250000" customHeight="1">
      <c r="A1024" s="34">
        <v>1022</v>
      </c>
      <c r="B1024" s="34"/>
      <c r="C1024" s="34"/>
      <c r="D1024" s="34"/>
      <c r="E1024" s="34"/>
      <c r="F1024" s="85"/>
      <c r="G1024" s="159"/>
      <c r="H1024" s="155"/>
      <c r="I1024" s="164"/>
      <c r="J1024" s="164"/>
      <c r="K1024" s="155"/>
      <c r="L1024" s="85"/>
      <c r="M1024" s="100"/>
      <c r="N1024" s="87"/>
      <c r="O1024" s="20"/>
      <c r="P1024" s="85"/>
      <c r="Q1024" s="88"/>
      <c r="R1024" s="88"/>
      <c r="S1024" s="88"/>
      <c r="T1024" s="58" t="e">
        <f>Boosters_And!U1024/C1024</f>
        <v>#DIV/0!</v>
      </c>
      <c r="U1024" s="101"/>
      <c r="V1024" s="31"/>
    </row>
    <row r="1025" spans="1:22" s="168" customFormat="1" ht="20.250000" customHeight="1">
      <c r="A1025" s="34">
        <v>1023</v>
      </c>
      <c r="B1025" s="34"/>
      <c r="C1025" s="34"/>
      <c r="D1025" s="34"/>
      <c r="E1025" s="34"/>
      <c r="F1025" s="85"/>
      <c r="G1025" s="159"/>
      <c r="H1025" s="155"/>
      <c r="I1025" s="164"/>
      <c r="J1025" s="164"/>
      <c r="K1025" s="155"/>
      <c r="L1025" s="85"/>
      <c r="M1025" s="100"/>
      <c r="N1025" s="87"/>
      <c r="O1025" s="20"/>
      <c r="P1025" s="85"/>
      <c r="Q1025" s="88"/>
      <c r="R1025" s="88"/>
      <c r="S1025" s="88"/>
      <c r="T1025" s="58" t="e">
        <f>Boosters_And!U1025/C1025</f>
        <v>#DIV/0!</v>
      </c>
      <c r="U1025" s="101"/>
      <c r="V1025" s="31"/>
    </row>
    <row r="1026" spans="1:22" s="168" customFormat="1" ht="20.250000" customHeight="1">
      <c r="A1026" s="34">
        <v>1024</v>
      </c>
      <c r="B1026" s="34"/>
      <c r="C1026" s="34"/>
      <c r="D1026" s="34"/>
      <c r="E1026" s="34"/>
      <c r="F1026" s="85"/>
      <c r="G1026" s="159"/>
      <c r="H1026" s="155"/>
      <c r="I1026" s="164"/>
      <c r="J1026" s="164"/>
      <c r="K1026" s="155"/>
      <c r="L1026" s="85"/>
      <c r="M1026" s="100"/>
      <c r="N1026" s="87"/>
      <c r="O1026" s="20"/>
      <c r="P1026" s="85"/>
      <c r="Q1026" s="88"/>
      <c r="R1026" s="88"/>
      <c r="S1026" s="88"/>
      <c r="T1026" s="58" t="e">
        <f>Boosters_And!U1026/C1026</f>
        <v>#DIV/0!</v>
      </c>
      <c r="U1026" s="101"/>
      <c r="V1026" s="31"/>
    </row>
    <row r="1027" spans="1:22" s="168" customFormat="1" ht="20.250000" customHeight="1">
      <c r="A1027" s="34">
        <v>1025</v>
      </c>
      <c r="B1027" s="34"/>
      <c r="C1027" s="34"/>
      <c r="D1027" s="34"/>
      <c r="E1027" s="34"/>
      <c r="F1027" s="85"/>
      <c r="G1027" s="159"/>
      <c r="H1027" s="155"/>
      <c r="I1027" s="164"/>
      <c r="J1027" s="164"/>
      <c r="K1027" s="155"/>
      <c r="L1027" s="85"/>
      <c r="M1027" s="100"/>
      <c r="N1027" s="87"/>
      <c r="O1027" s="20"/>
      <c r="P1027" s="85"/>
      <c r="Q1027" s="88"/>
      <c r="R1027" s="88"/>
      <c r="S1027" s="88"/>
      <c r="T1027" s="58" t="e">
        <f>Boosters_And!U1027/C1027</f>
        <v>#DIV/0!</v>
      </c>
      <c r="U1027" s="101"/>
      <c r="V1027" s="31"/>
    </row>
    <row r="1028" spans="1:22" s="168" customFormat="1" ht="20.250000" customHeight="1">
      <c r="A1028" s="34">
        <v>1026</v>
      </c>
      <c r="B1028" s="34"/>
      <c r="C1028" s="34"/>
      <c r="D1028" s="34"/>
      <c r="E1028" s="34"/>
      <c r="F1028" s="85"/>
      <c r="G1028" s="159"/>
      <c r="H1028" s="155"/>
      <c r="I1028" s="164"/>
      <c r="J1028" s="164"/>
      <c r="K1028" s="155"/>
      <c r="L1028" s="85"/>
      <c r="M1028" s="100"/>
      <c r="N1028" s="87"/>
      <c r="O1028" s="20"/>
      <c r="P1028" s="85"/>
      <c r="Q1028" s="88"/>
      <c r="R1028" s="88"/>
      <c r="S1028" s="88"/>
      <c r="T1028" s="58" t="e">
        <f>Boosters_And!U1028/C1028</f>
        <v>#DIV/0!</v>
      </c>
      <c r="U1028" s="101"/>
      <c r="V1028" s="31"/>
    </row>
    <row r="1029" spans="1:22" s="168" customFormat="1" ht="20.250000" customHeight="1">
      <c r="A1029" s="34">
        <v>1027</v>
      </c>
      <c r="B1029" s="34"/>
      <c r="C1029" s="34"/>
      <c r="D1029" s="34"/>
      <c r="E1029" s="34"/>
      <c r="F1029" s="85"/>
      <c r="G1029" s="159"/>
      <c r="H1029" s="155"/>
      <c r="I1029" s="164"/>
      <c r="J1029" s="164"/>
      <c r="K1029" s="155"/>
      <c r="L1029" s="85"/>
      <c r="M1029" s="100"/>
      <c r="N1029" s="87"/>
      <c r="O1029" s="20"/>
      <c r="P1029" s="85"/>
      <c r="Q1029" s="88"/>
      <c r="R1029" s="88"/>
      <c r="S1029" s="88"/>
      <c r="T1029" s="58" t="e">
        <f>Boosters_And!U1029/C1029</f>
        <v>#DIV/0!</v>
      </c>
      <c r="U1029" s="101"/>
      <c r="V1029" s="31"/>
    </row>
    <row r="1030" spans="1:22" s="168" customFormat="1" ht="20.250000" customHeight="1">
      <c r="A1030" s="34">
        <v>1028</v>
      </c>
      <c r="B1030" s="34"/>
      <c r="C1030" s="34"/>
      <c r="D1030" s="34"/>
      <c r="E1030" s="34"/>
      <c r="F1030" s="85"/>
      <c r="G1030" s="159"/>
      <c r="H1030" s="155"/>
      <c r="I1030" s="164"/>
      <c r="J1030" s="164"/>
      <c r="K1030" s="155"/>
      <c r="L1030" s="85"/>
      <c r="M1030" s="100"/>
      <c r="N1030" s="87"/>
      <c r="O1030" s="20"/>
      <c r="P1030" s="85"/>
      <c r="Q1030" s="88"/>
      <c r="R1030" s="88"/>
      <c r="S1030" s="88"/>
      <c r="T1030" s="58" t="e">
        <f>Boosters_And!U1030/C1030</f>
        <v>#DIV/0!</v>
      </c>
      <c r="U1030" s="101"/>
      <c r="V1030" s="31"/>
    </row>
    <row r="1031" spans="1:22" s="168" customFormat="1" ht="20.250000" customHeight="1">
      <c r="A1031" s="34">
        <v>1029</v>
      </c>
      <c r="B1031" s="34"/>
      <c r="C1031" s="34"/>
      <c r="D1031" s="34"/>
      <c r="E1031" s="34"/>
      <c r="F1031" s="85"/>
      <c r="G1031" s="159"/>
      <c r="H1031" s="155"/>
      <c r="I1031" s="164"/>
      <c r="J1031" s="164"/>
      <c r="K1031" s="155"/>
      <c r="L1031" s="85"/>
      <c r="M1031" s="100"/>
      <c r="N1031" s="87"/>
      <c r="O1031" s="20"/>
      <c r="P1031" s="85"/>
      <c r="Q1031" s="88"/>
      <c r="R1031" s="88"/>
      <c r="S1031" s="88"/>
      <c r="T1031" s="58" t="e">
        <f>Boosters_And!U1031/C1031</f>
        <v>#DIV/0!</v>
      </c>
      <c r="U1031" s="101"/>
      <c r="V1031" s="31"/>
    </row>
    <row r="1032" spans="1:22" s="168" customFormat="1" ht="20.250000" customHeight="1">
      <c r="A1032" s="34">
        <v>1030</v>
      </c>
      <c r="B1032" s="34"/>
      <c r="C1032" s="34"/>
      <c r="D1032" s="34"/>
      <c r="E1032" s="34"/>
      <c r="F1032" s="85"/>
      <c r="G1032" s="159"/>
      <c r="H1032" s="155"/>
      <c r="I1032" s="164"/>
      <c r="J1032" s="164"/>
      <c r="K1032" s="155"/>
      <c r="L1032" s="85"/>
      <c r="M1032" s="100"/>
      <c r="N1032" s="87"/>
      <c r="O1032" s="20"/>
      <c r="P1032" s="85"/>
      <c r="Q1032" s="88"/>
      <c r="R1032" s="88"/>
      <c r="S1032" s="88"/>
      <c r="T1032" s="58" t="e">
        <f>Boosters_And!U1032/C1032</f>
        <v>#DIV/0!</v>
      </c>
      <c r="U1032" s="101"/>
      <c r="V1032" s="31"/>
    </row>
    <row r="1033" spans="1:22" s="168" customFormat="1" ht="20.250000" customHeight="1">
      <c r="A1033" s="34">
        <v>1031</v>
      </c>
      <c r="B1033" s="34"/>
      <c r="C1033" s="34"/>
      <c r="D1033" s="34"/>
      <c r="E1033" s="34"/>
      <c r="F1033" s="85"/>
      <c r="G1033" s="159"/>
      <c r="H1033" s="155"/>
      <c r="I1033" s="164"/>
      <c r="J1033" s="164"/>
      <c r="K1033" s="155"/>
      <c r="L1033" s="85"/>
      <c r="M1033" s="100"/>
      <c r="N1033" s="87"/>
      <c r="O1033" s="20"/>
      <c r="P1033" s="85"/>
      <c r="Q1033" s="88"/>
      <c r="R1033" s="88"/>
      <c r="S1033" s="88"/>
      <c r="T1033" s="58" t="e">
        <f>Boosters_And!U1033/C1033</f>
        <v>#DIV/0!</v>
      </c>
      <c r="U1033" s="101"/>
      <c r="V1033" s="31"/>
    </row>
    <row r="1034" spans="1:22" s="168" customFormat="1" ht="20.250000" customHeight="1">
      <c r="A1034" s="34">
        <v>1032</v>
      </c>
      <c r="B1034" s="34"/>
      <c r="C1034" s="34"/>
      <c r="D1034" s="34"/>
      <c r="E1034" s="34"/>
      <c r="F1034" s="85"/>
      <c r="G1034" s="159"/>
      <c r="H1034" s="155"/>
      <c r="I1034" s="164"/>
      <c r="J1034" s="164"/>
      <c r="K1034" s="155"/>
      <c r="L1034" s="85"/>
      <c r="M1034" s="100"/>
      <c r="N1034" s="87"/>
      <c r="O1034" s="20"/>
      <c r="P1034" s="85"/>
      <c r="Q1034" s="88"/>
      <c r="R1034" s="88"/>
      <c r="S1034" s="88"/>
      <c r="T1034" s="58" t="e">
        <f>Boosters_And!U1034/C1034</f>
        <v>#DIV/0!</v>
      </c>
      <c r="U1034" s="101"/>
      <c r="V1034" s="31"/>
    </row>
    <row r="1035" spans="1:22" s="168" customFormat="1" ht="20.250000" customHeight="1">
      <c r="A1035" s="34">
        <v>1033</v>
      </c>
      <c r="B1035" s="34"/>
      <c r="C1035" s="34"/>
      <c r="D1035" s="34"/>
      <c r="E1035" s="34"/>
      <c r="F1035" s="85"/>
      <c r="G1035" s="159"/>
      <c r="H1035" s="155"/>
      <c r="I1035" s="164"/>
      <c r="J1035" s="164"/>
      <c r="K1035" s="155"/>
      <c r="L1035" s="85"/>
      <c r="M1035" s="100"/>
      <c r="N1035" s="87"/>
      <c r="O1035" s="20"/>
      <c r="P1035" s="85"/>
      <c r="Q1035" s="88"/>
      <c r="R1035" s="88"/>
      <c r="S1035" s="88"/>
      <c r="T1035" s="58" t="e">
        <f>Boosters_And!U1035/C1035</f>
        <v>#DIV/0!</v>
      </c>
      <c r="U1035" s="101"/>
      <c r="V1035" s="31"/>
    </row>
    <row r="1036" spans="1:22" s="168" customFormat="1" ht="20.250000" customHeight="1">
      <c r="A1036" s="34">
        <v>1034</v>
      </c>
      <c r="B1036" s="34"/>
      <c r="C1036" s="34"/>
      <c r="D1036" s="34"/>
      <c r="E1036" s="34"/>
      <c r="F1036" s="85"/>
      <c r="G1036" s="159"/>
      <c r="H1036" s="155"/>
      <c r="I1036" s="164"/>
      <c r="J1036" s="164"/>
      <c r="K1036" s="155"/>
      <c r="L1036" s="85"/>
      <c r="M1036" s="100"/>
      <c r="N1036" s="87"/>
      <c r="O1036" s="20"/>
      <c r="P1036" s="85"/>
      <c r="Q1036" s="88"/>
      <c r="R1036" s="88"/>
      <c r="S1036" s="88"/>
      <c r="T1036" s="58" t="e">
        <f>Boosters_And!U1036/C1036</f>
        <v>#DIV/0!</v>
      </c>
      <c r="U1036" s="101"/>
      <c r="V1036" s="31"/>
    </row>
    <row r="1037" spans="1:22" s="168" customFormat="1" ht="20.250000" customHeight="1">
      <c r="A1037" s="34">
        <v>1035</v>
      </c>
      <c r="B1037" s="34"/>
      <c r="C1037" s="34"/>
      <c r="D1037" s="34"/>
      <c r="E1037" s="34"/>
      <c r="F1037" s="85"/>
      <c r="G1037" s="159"/>
      <c r="H1037" s="155"/>
      <c r="I1037" s="164"/>
      <c r="J1037" s="164"/>
      <c r="K1037" s="155"/>
      <c r="L1037" s="85"/>
      <c r="M1037" s="100"/>
      <c r="N1037" s="87"/>
      <c r="O1037" s="20"/>
      <c r="P1037" s="85"/>
      <c r="Q1037" s="88"/>
      <c r="R1037" s="88"/>
      <c r="S1037" s="88"/>
      <c r="T1037" s="58" t="e">
        <f>Boosters_And!U1037/C1037</f>
        <v>#DIV/0!</v>
      </c>
      <c r="U1037" s="101"/>
      <c r="V1037" s="31"/>
    </row>
    <row r="1038" spans="1:22" s="168" customFormat="1" ht="20.250000" customHeight="1">
      <c r="A1038" s="34">
        <v>1036</v>
      </c>
      <c r="B1038" s="34"/>
      <c r="C1038" s="34"/>
      <c r="D1038" s="34"/>
      <c r="E1038" s="34"/>
      <c r="F1038" s="85"/>
      <c r="G1038" s="159"/>
      <c r="H1038" s="155"/>
      <c r="I1038" s="164"/>
      <c r="J1038" s="164"/>
      <c r="K1038" s="155"/>
      <c r="L1038" s="85"/>
      <c r="M1038" s="100"/>
      <c r="N1038" s="87"/>
      <c r="O1038" s="20"/>
      <c r="P1038" s="85"/>
      <c r="Q1038" s="88"/>
      <c r="R1038" s="88"/>
      <c r="S1038" s="88"/>
      <c r="T1038" s="58" t="e">
        <f>Boosters_And!U1038/C1038</f>
        <v>#DIV/0!</v>
      </c>
      <c r="U1038" s="101"/>
      <c r="V1038" s="31"/>
    </row>
    <row r="1039" spans="1:22" s="168" customFormat="1" ht="20.250000" customHeight="1">
      <c r="A1039" s="34">
        <v>1037</v>
      </c>
      <c r="B1039" s="34"/>
      <c r="C1039" s="34"/>
      <c r="D1039" s="34"/>
      <c r="E1039" s="34"/>
      <c r="F1039" s="85"/>
      <c r="G1039" s="159"/>
      <c r="H1039" s="155"/>
      <c r="I1039" s="164"/>
      <c r="J1039" s="164"/>
      <c r="K1039" s="155"/>
      <c r="L1039" s="85"/>
      <c r="M1039" s="100"/>
      <c r="N1039" s="87"/>
      <c r="O1039" s="20"/>
      <c r="P1039" s="85"/>
      <c r="Q1039" s="88"/>
      <c r="R1039" s="88"/>
      <c r="S1039" s="88"/>
      <c r="T1039" s="58" t="e">
        <f>Boosters_And!U1039/C1039</f>
        <v>#DIV/0!</v>
      </c>
      <c r="U1039" s="101"/>
      <c r="V1039" s="31"/>
    </row>
    <row r="1040" spans="1:22" s="168" customFormat="1" ht="20.250000" customHeight="1">
      <c r="A1040" s="34">
        <v>1038</v>
      </c>
      <c r="B1040" s="34"/>
      <c r="C1040" s="34"/>
      <c r="D1040" s="34"/>
      <c r="E1040" s="34"/>
      <c r="F1040" s="85"/>
      <c r="G1040" s="159"/>
      <c r="H1040" s="155"/>
      <c r="I1040" s="164"/>
      <c r="J1040" s="164"/>
      <c r="K1040" s="155"/>
      <c r="L1040" s="85"/>
      <c r="M1040" s="100"/>
      <c r="N1040" s="87"/>
      <c r="O1040" s="20"/>
      <c r="P1040" s="85"/>
      <c r="Q1040" s="88"/>
      <c r="R1040" s="88"/>
      <c r="S1040" s="88"/>
      <c r="T1040" s="58" t="e">
        <f>Boosters_And!U1040/C1040</f>
        <v>#DIV/0!</v>
      </c>
      <c r="U1040" s="101"/>
      <c r="V1040" s="31"/>
    </row>
    <row r="1041" spans="1:22" s="168" customFormat="1" ht="20.250000" customHeight="1">
      <c r="A1041" s="34">
        <v>1039</v>
      </c>
      <c r="B1041" s="34"/>
      <c r="C1041" s="34"/>
      <c r="D1041" s="34"/>
      <c r="E1041" s="34"/>
      <c r="F1041" s="85"/>
      <c r="G1041" s="159"/>
      <c r="H1041" s="155"/>
      <c r="I1041" s="164"/>
      <c r="J1041" s="164"/>
      <c r="K1041" s="155"/>
      <c r="L1041" s="85"/>
      <c r="M1041" s="100"/>
      <c r="N1041" s="87"/>
      <c r="O1041" s="20"/>
      <c r="P1041" s="85"/>
      <c r="Q1041" s="88"/>
      <c r="R1041" s="88"/>
      <c r="S1041" s="88"/>
      <c r="T1041" s="58" t="e">
        <f>Boosters_And!U1041/C1041</f>
        <v>#DIV/0!</v>
      </c>
      <c r="U1041" s="101"/>
      <c r="V1041" s="31"/>
    </row>
    <row r="1042" spans="1:22" s="168" customFormat="1" ht="20.250000" customHeight="1">
      <c r="A1042" s="34">
        <v>1040</v>
      </c>
      <c r="B1042" s="34"/>
      <c r="C1042" s="34"/>
      <c r="D1042" s="34"/>
      <c r="E1042" s="34"/>
      <c r="F1042" s="85"/>
      <c r="G1042" s="159"/>
      <c r="H1042" s="155"/>
      <c r="I1042" s="164"/>
      <c r="J1042" s="164"/>
      <c r="K1042" s="155"/>
      <c r="L1042" s="85"/>
      <c r="M1042" s="100"/>
      <c r="N1042" s="87"/>
      <c r="O1042" s="20"/>
      <c r="P1042" s="85"/>
      <c r="Q1042" s="88"/>
      <c r="R1042" s="88"/>
      <c r="S1042" s="88"/>
      <c r="T1042" s="58" t="e">
        <f>Boosters_And!U1042/C1042</f>
        <v>#DIV/0!</v>
      </c>
      <c r="U1042" s="101"/>
      <c r="V1042" s="31"/>
    </row>
    <row r="1043" spans="1:22" s="168" customFormat="1" ht="20.250000" customHeight="1">
      <c r="A1043" s="34">
        <v>1041</v>
      </c>
      <c r="B1043" s="34"/>
      <c r="C1043" s="34"/>
      <c r="D1043" s="34"/>
      <c r="E1043" s="34"/>
      <c r="F1043" s="85"/>
      <c r="G1043" s="159"/>
      <c r="H1043" s="155"/>
      <c r="I1043" s="164"/>
      <c r="J1043" s="164"/>
      <c r="K1043" s="155"/>
      <c r="L1043" s="85"/>
      <c r="M1043" s="100"/>
      <c r="N1043" s="87"/>
      <c r="O1043" s="20"/>
      <c r="P1043" s="85"/>
      <c r="Q1043" s="88"/>
      <c r="R1043" s="88"/>
      <c r="S1043" s="88"/>
      <c r="T1043" s="58" t="e">
        <f>Boosters_And!U1043/C1043</f>
        <v>#DIV/0!</v>
      </c>
      <c r="U1043" s="101"/>
      <c r="V1043" s="31"/>
    </row>
    <row r="1044" spans="1:22" s="168" customFormat="1" ht="20.250000" customHeight="1">
      <c r="A1044" s="34">
        <v>1042</v>
      </c>
      <c r="B1044" s="34"/>
      <c r="C1044" s="34"/>
      <c r="D1044" s="34"/>
      <c r="E1044" s="34"/>
      <c r="F1044" s="85"/>
      <c r="G1044" s="159"/>
      <c r="H1044" s="155"/>
      <c r="I1044" s="164"/>
      <c r="J1044" s="164"/>
      <c r="K1044" s="155"/>
      <c r="L1044" s="85"/>
      <c r="M1044" s="100"/>
      <c r="N1044" s="87"/>
      <c r="O1044" s="20"/>
      <c r="P1044" s="85"/>
      <c r="Q1044" s="88"/>
      <c r="R1044" s="88"/>
      <c r="S1044" s="88"/>
      <c r="T1044" s="58" t="e">
        <f>Boosters_And!U1044/C1044</f>
        <v>#DIV/0!</v>
      </c>
      <c r="U1044" s="101"/>
      <c r="V1044" s="31"/>
    </row>
    <row r="1045" spans="1:22" s="168" customFormat="1" ht="20.250000" customHeight="1">
      <c r="A1045" s="34">
        <v>1043</v>
      </c>
      <c r="B1045" s="34"/>
      <c r="C1045" s="34"/>
      <c r="D1045" s="34"/>
      <c r="E1045" s="34"/>
      <c r="F1045" s="85"/>
      <c r="G1045" s="159"/>
      <c r="H1045" s="155"/>
      <c r="I1045" s="164"/>
      <c r="J1045" s="164"/>
      <c r="K1045" s="155"/>
      <c r="L1045" s="85"/>
      <c r="M1045" s="100"/>
      <c r="N1045" s="87"/>
      <c r="O1045" s="20"/>
      <c r="P1045" s="85"/>
      <c r="Q1045" s="88"/>
      <c r="R1045" s="88"/>
      <c r="S1045" s="88"/>
      <c r="T1045" s="58" t="e">
        <f>Boosters_And!U1045/C1045</f>
        <v>#DIV/0!</v>
      </c>
      <c r="U1045" s="101"/>
      <c r="V1045" s="31"/>
    </row>
    <row r="1046" spans="1:22" s="168" customFormat="1" ht="20.250000" customHeight="1">
      <c r="A1046" s="34">
        <v>1044</v>
      </c>
      <c r="B1046" s="34"/>
      <c r="C1046" s="34"/>
      <c r="D1046" s="34"/>
      <c r="E1046" s="34"/>
      <c r="F1046" s="85"/>
      <c r="G1046" s="159"/>
      <c r="H1046" s="155"/>
      <c r="I1046" s="164"/>
      <c r="J1046" s="164"/>
      <c r="K1046" s="155"/>
      <c r="L1046" s="85"/>
      <c r="M1046" s="100"/>
      <c r="N1046" s="87"/>
      <c r="O1046" s="20"/>
      <c r="P1046" s="85"/>
      <c r="Q1046" s="88"/>
      <c r="R1046" s="88"/>
      <c r="S1046" s="88"/>
      <c r="T1046" s="58" t="e">
        <f>Boosters_And!U1046/C1046</f>
        <v>#DIV/0!</v>
      </c>
      <c r="U1046" s="101"/>
      <c r="V1046" s="31"/>
    </row>
    <row r="1047" spans="1:22" s="168" customFormat="1" ht="20.250000" customHeight="1">
      <c r="A1047" s="34">
        <v>1045</v>
      </c>
      <c r="B1047" s="34"/>
      <c r="C1047" s="34"/>
      <c r="D1047" s="34"/>
      <c r="E1047" s="34"/>
      <c r="F1047" s="85"/>
      <c r="G1047" s="159"/>
      <c r="H1047" s="155"/>
      <c r="I1047" s="164"/>
      <c r="J1047" s="164"/>
      <c r="K1047" s="155"/>
      <c r="L1047" s="85"/>
      <c r="M1047" s="100"/>
      <c r="N1047" s="87"/>
      <c r="O1047" s="20"/>
      <c r="P1047" s="85"/>
      <c r="Q1047" s="88"/>
      <c r="R1047" s="88"/>
      <c r="S1047" s="88"/>
      <c r="T1047" s="58" t="e">
        <f>Boosters_And!U1047/C1047</f>
        <v>#DIV/0!</v>
      </c>
      <c r="U1047" s="101"/>
      <c r="V1047" s="31"/>
    </row>
    <row r="1048" spans="1:22" s="168" customFormat="1" ht="20.250000" customHeight="1">
      <c r="A1048" s="34">
        <v>1046</v>
      </c>
      <c r="B1048" s="34"/>
      <c r="C1048" s="34"/>
      <c r="D1048" s="34"/>
      <c r="E1048" s="34"/>
      <c r="F1048" s="85"/>
      <c r="G1048" s="159"/>
      <c r="H1048" s="155"/>
      <c r="I1048" s="164"/>
      <c r="J1048" s="164"/>
      <c r="K1048" s="155"/>
      <c r="L1048" s="85"/>
      <c r="M1048" s="100"/>
      <c r="N1048" s="87"/>
      <c r="O1048" s="20"/>
      <c r="P1048" s="85"/>
      <c r="Q1048" s="88"/>
      <c r="R1048" s="88"/>
      <c r="S1048" s="88"/>
      <c r="T1048" s="58" t="e">
        <f>Boosters_And!U1048/C1048</f>
        <v>#DIV/0!</v>
      </c>
      <c r="U1048" s="101"/>
      <c r="V1048" s="31"/>
    </row>
    <row r="1049" spans="1:22" s="168" customFormat="1" ht="20.250000" customHeight="1">
      <c r="A1049" s="34">
        <v>1047</v>
      </c>
      <c r="B1049" s="34"/>
      <c r="C1049" s="34"/>
      <c r="D1049" s="34"/>
      <c r="E1049" s="34"/>
      <c r="F1049" s="85"/>
      <c r="G1049" s="159"/>
      <c r="H1049" s="155"/>
      <c r="I1049" s="164"/>
      <c r="J1049" s="164"/>
      <c r="K1049" s="155"/>
      <c r="L1049" s="85"/>
      <c r="M1049" s="100"/>
      <c r="N1049" s="87"/>
      <c r="O1049" s="20"/>
      <c r="P1049" s="85"/>
      <c r="Q1049" s="88"/>
      <c r="R1049" s="88"/>
      <c r="S1049" s="88"/>
      <c r="T1049" s="58" t="e">
        <f>Boosters_And!U1049/C1049</f>
        <v>#DIV/0!</v>
      </c>
      <c r="U1049" s="101"/>
      <c r="V1049" s="31"/>
    </row>
    <row r="1050" spans="1:22" s="168" customFormat="1" ht="20.250000" customHeight="1">
      <c r="A1050" s="34">
        <v>1048</v>
      </c>
      <c r="B1050" s="34"/>
      <c r="C1050" s="34"/>
      <c r="D1050" s="34"/>
      <c r="E1050" s="34"/>
      <c r="F1050" s="85"/>
      <c r="G1050" s="159"/>
      <c r="H1050" s="155"/>
      <c r="I1050" s="164"/>
      <c r="J1050" s="164"/>
      <c r="K1050" s="155"/>
      <c r="L1050" s="85"/>
      <c r="M1050" s="100"/>
      <c r="N1050" s="87"/>
      <c r="O1050" s="20"/>
      <c r="P1050" s="85"/>
      <c r="Q1050" s="88"/>
      <c r="R1050" s="88"/>
      <c r="S1050" s="88"/>
      <c r="T1050" s="58" t="e">
        <f>Boosters_And!U1050/C1050</f>
        <v>#DIV/0!</v>
      </c>
      <c r="U1050" s="101"/>
      <c r="V1050" s="31"/>
    </row>
    <row r="1051" spans="1:22" s="168" customFormat="1" ht="20.250000" customHeight="1">
      <c r="A1051" s="34">
        <v>1049</v>
      </c>
      <c r="B1051" s="34"/>
      <c r="C1051" s="34"/>
      <c r="D1051" s="34"/>
      <c r="E1051" s="34"/>
      <c r="F1051" s="85"/>
      <c r="G1051" s="159"/>
      <c r="H1051" s="155"/>
      <c r="I1051" s="164"/>
      <c r="J1051" s="164"/>
      <c r="K1051" s="155"/>
      <c r="L1051" s="85"/>
      <c r="M1051" s="100"/>
      <c r="N1051" s="87"/>
      <c r="O1051" s="20"/>
      <c r="P1051" s="85"/>
      <c r="Q1051" s="88"/>
      <c r="R1051" s="88"/>
      <c r="S1051" s="88"/>
      <c r="T1051" s="58" t="e">
        <f>Boosters_And!U1051/C1051</f>
        <v>#DIV/0!</v>
      </c>
      <c r="U1051" s="101"/>
      <c r="V1051" s="31"/>
    </row>
    <row r="1052" spans="1:22" s="168" customFormat="1" ht="20.250000" customHeight="1">
      <c r="A1052" s="34">
        <v>1050</v>
      </c>
      <c r="B1052" s="34"/>
      <c r="C1052" s="34"/>
      <c r="D1052" s="34"/>
      <c r="E1052" s="34"/>
      <c r="F1052" s="85"/>
      <c r="G1052" s="159"/>
      <c r="H1052" s="155"/>
      <c r="I1052" s="164"/>
      <c r="J1052" s="164"/>
      <c r="K1052" s="155"/>
      <c r="L1052" s="85"/>
      <c r="M1052" s="100"/>
      <c r="N1052" s="87"/>
      <c r="O1052" s="20"/>
      <c r="P1052" s="85"/>
      <c r="Q1052" s="88"/>
      <c r="R1052" s="88"/>
      <c r="S1052" s="88"/>
      <c r="T1052" s="58" t="e">
        <f>Boosters_And!U1052/C1052</f>
        <v>#DIV/0!</v>
      </c>
      <c r="U1052" s="101"/>
      <c r="V1052" s="31"/>
    </row>
    <row r="1053" spans="1:22" s="168" customFormat="1" ht="20.250000" customHeight="1">
      <c r="A1053" s="34">
        <v>1051</v>
      </c>
      <c r="B1053" s="34"/>
      <c r="C1053" s="34"/>
      <c r="D1053" s="34"/>
      <c r="E1053" s="34"/>
      <c r="F1053" s="85"/>
      <c r="G1053" s="159"/>
      <c r="H1053" s="155"/>
      <c r="I1053" s="164"/>
      <c r="J1053" s="164"/>
      <c r="K1053" s="155"/>
      <c r="L1053" s="85"/>
      <c r="M1053" s="100"/>
      <c r="N1053" s="87"/>
      <c r="O1053" s="20"/>
      <c r="P1053" s="85"/>
      <c r="Q1053" s="88"/>
      <c r="R1053" s="88"/>
      <c r="S1053" s="88"/>
      <c r="T1053" s="58" t="e">
        <f>Boosters_And!U1053/C1053</f>
        <v>#DIV/0!</v>
      </c>
      <c r="U1053" s="101"/>
      <c r="V1053" s="31"/>
    </row>
    <row r="1054" spans="1:22" s="168" customFormat="1" ht="20.250000" customHeight="1">
      <c r="A1054" s="34">
        <v>1052</v>
      </c>
      <c r="B1054" s="34"/>
      <c r="C1054" s="34"/>
      <c r="D1054" s="34"/>
      <c r="E1054" s="34"/>
      <c r="F1054" s="85"/>
      <c r="G1054" s="159"/>
      <c r="H1054" s="155"/>
      <c r="I1054" s="164"/>
      <c r="J1054" s="164"/>
      <c r="K1054" s="155"/>
      <c r="L1054" s="85"/>
      <c r="M1054" s="100"/>
      <c r="N1054" s="87"/>
      <c r="O1054" s="20"/>
      <c r="P1054" s="85"/>
      <c r="Q1054" s="88"/>
      <c r="R1054" s="88"/>
      <c r="S1054" s="88"/>
      <c r="T1054" s="58" t="e">
        <f>Boosters_And!U1054/C1054</f>
        <v>#DIV/0!</v>
      </c>
      <c r="U1054" s="101"/>
      <c r="V1054" s="31"/>
    </row>
    <row r="1055" spans="1:22" s="168" customFormat="1" ht="20.250000" customHeight="1">
      <c r="A1055" s="34">
        <v>1053</v>
      </c>
      <c r="B1055" s="34"/>
      <c r="C1055" s="34"/>
      <c r="D1055" s="34"/>
      <c r="E1055" s="34"/>
      <c r="F1055" s="85"/>
      <c r="G1055" s="159"/>
      <c r="H1055" s="155"/>
      <c r="I1055" s="164"/>
      <c r="J1055" s="164"/>
      <c r="K1055" s="155"/>
      <c r="L1055" s="85"/>
      <c r="M1055" s="100"/>
      <c r="N1055" s="87"/>
      <c r="O1055" s="20"/>
      <c r="P1055" s="85"/>
      <c r="Q1055" s="88"/>
      <c r="R1055" s="88"/>
      <c r="S1055" s="88"/>
      <c r="T1055" s="58" t="e">
        <f>Boosters_And!U1055/C1055</f>
        <v>#DIV/0!</v>
      </c>
      <c r="U1055" s="101"/>
      <c r="V1055" s="31"/>
    </row>
    <row r="1056" spans="1:22" s="168" customFormat="1" ht="20.250000" customHeight="1">
      <c r="A1056" s="34">
        <v>1054</v>
      </c>
      <c r="B1056" s="34"/>
      <c r="C1056" s="34"/>
      <c r="D1056" s="34"/>
      <c r="E1056" s="34"/>
      <c r="F1056" s="85"/>
      <c r="G1056" s="159"/>
      <c r="H1056" s="155"/>
      <c r="I1056" s="164"/>
      <c r="J1056" s="164"/>
      <c r="K1056" s="155"/>
      <c r="L1056" s="85"/>
      <c r="M1056" s="100"/>
      <c r="N1056" s="87"/>
      <c r="O1056" s="20"/>
      <c r="P1056" s="85"/>
      <c r="Q1056" s="88"/>
      <c r="R1056" s="88"/>
      <c r="S1056" s="88"/>
      <c r="T1056" s="58" t="e">
        <f>Boosters_And!U1056/C1056</f>
        <v>#DIV/0!</v>
      </c>
      <c r="U1056" s="101"/>
      <c r="V1056" s="31"/>
    </row>
    <row r="1057" spans="1:22" s="168" customFormat="1" ht="20.250000" customHeight="1">
      <c r="A1057" s="34">
        <v>1055</v>
      </c>
      <c r="B1057" s="34"/>
      <c r="C1057" s="34"/>
      <c r="D1057" s="34"/>
      <c r="E1057" s="34"/>
      <c r="F1057" s="85"/>
      <c r="G1057" s="159"/>
      <c r="H1057" s="155"/>
      <c r="I1057" s="164"/>
      <c r="J1057" s="164"/>
      <c r="K1057" s="155"/>
      <c r="L1057" s="85"/>
      <c r="M1057" s="100"/>
      <c r="N1057" s="87"/>
      <c r="O1057" s="20"/>
      <c r="P1057" s="85"/>
      <c r="Q1057" s="88"/>
      <c r="R1057" s="88"/>
      <c r="S1057" s="88"/>
      <c r="T1057" s="58" t="e">
        <f>Boosters_And!U1057/C1057</f>
        <v>#DIV/0!</v>
      </c>
      <c r="U1057" s="101"/>
      <c r="V1057" s="31"/>
    </row>
    <row r="1058" spans="1:22" s="168" customFormat="1" ht="20.250000" customHeight="1">
      <c r="A1058" s="34">
        <v>1056</v>
      </c>
      <c r="B1058" s="34"/>
      <c r="C1058" s="34"/>
      <c r="D1058" s="34"/>
      <c r="E1058" s="34"/>
      <c r="F1058" s="85"/>
      <c r="G1058" s="159"/>
      <c r="H1058" s="155"/>
      <c r="I1058" s="164"/>
      <c r="J1058" s="164"/>
      <c r="K1058" s="155"/>
      <c r="L1058" s="85"/>
      <c r="M1058" s="100"/>
      <c r="N1058" s="87"/>
      <c r="O1058" s="20"/>
      <c r="P1058" s="85"/>
      <c r="Q1058" s="88"/>
      <c r="R1058" s="88"/>
      <c r="S1058" s="88"/>
      <c r="T1058" s="58" t="e">
        <f>Boosters_And!U1058/C1058</f>
        <v>#DIV/0!</v>
      </c>
      <c r="U1058" s="101"/>
      <c r="V1058" s="31"/>
    </row>
    <row r="1059" spans="1:22" s="168" customFormat="1" ht="20.250000" customHeight="1">
      <c r="A1059" s="34">
        <v>1057</v>
      </c>
      <c r="B1059" s="34"/>
      <c r="C1059" s="34"/>
      <c r="D1059" s="34"/>
      <c r="E1059" s="34"/>
      <c r="F1059" s="85"/>
      <c r="G1059" s="159"/>
      <c r="H1059" s="155"/>
      <c r="I1059" s="164"/>
      <c r="J1059" s="164"/>
      <c r="K1059" s="155"/>
      <c r="L1059" s="85"/>
      <c r="M1059" s="100"/>
      <c r="N1059" s="87"/>
      <c r="O1059" s="20"/>
      <c r="P1059" s="85"/>
      <c r="Q1059" s="88"/>
      <c r="R1059" s="88"/>
      <c r="S1059" s="88"/>
      <c r="T1059" s="58" t="e">
        <f>Boosters_And!U1059/C1059</f>
        <v>#DIV/0!</v>
      </c>
      <c r="U1059" s="101"/>
      <c r="V1059" s="31"/>
    </row>
    <row r="1060" spans="1:22" s="168" customFormat="1" ht="20.250000" customHeight="1">
      <c r="A1060" s="34">
        <v>1058</v>
      </c>
      <c r="B1060" s="34"/>
      <c r="C1060" s="34"/>
      <c r="D1060" s="34"/>
      <c r="E1060" s="34"/>
      <c r="F1060" s="85"/>
      <c r="G1060" s="159"/>
      <c r="H1060" s="155"/>
      <c r="I1060" s="164"/>
      <c r="J1060" s="164"/>
      <c r="K1060" s="155"/>
      <c r="L1060" s="85"/>
      <c r="M1060" s="100"/>
      <c r="N1060" s="87"/>
      <c r="O1060" s="20"/>
      <c r="P1060" s="85"/>
      <c r="Q1060" s="88"/>
      <c r="R1060" s="88"/>
      <c r="S1060" s="88"/>
      <c r="T1060" s="58" t="e">
        <f>Boosters_And!U1060/C1060</f>
        <v>#DIV/0!</v>
      </c>
      <c r="U1060" s="101"/>
      <c r="V1060" s="31"/>
    </row>
    <row r="1061" spans="1:22" s="168" customFormat="1" ht="20.250000" customHeight="1">
      <c r="A1061" s="34">
        <v>1059</v>
      </c>
      <c r="B1061" s="34"/>
      <c r="C1061" s="34"/>
      <c r="D1061" s="34"/>
      <c r="E1061" s="34"/>
      <c r="F1061" s="85"/>
      <c r="G1061" s="159"/>
      <c r="H1061" s="155"/>
      <c r="I1061" s="164"/>
      <c r="J1061" s="164"/>
      <c r="K1061" s="155"/>
      <c r="L1061" s="85"/>
      <c r="M1061" s="100"/>
      <c r="N1061" s="87"/>
      <c r="O1061" s="20"/>
      <c r="P1061" s="85"/>
      <c r="Q1061" s="88"/>
      <c r="R1061" s="88"/>
      <c r="S1061" s="88"/>
      <c r="T1061" s="58" t="e">
        <f>Boosters_And!U1061/C1061</f>
        <v>#DIV/0!</v>
      </c>
      <c r="U1061" s="101"/>
      <c r="V1061" s="31"/>
    </row>
    <row r="1062" spans="1:22" s="168" customFormat="1" ht="20.250000" customHeight="1">
      <c r="A1062" s="34">
        <v>1060</v>
      </c>
      <c r="B1062" s="34"/>
      <c r="C1062" s="34"/>
      <c r="D1062" s="34"/>
      <c r="E1062" s="34"/>
      <c r="F1062" s="85"/>
      <c r="G1062" s="159"/>
      <c r="H1062" s="155"/>
      <c r="I1062" s="164"/>
      <c r="J1062" s="164"/>
      <c r="K1062" s="155"/>
      <c r="L1062" s="85"/>
      <c r="M1062" s="100"/>
      <c r="N1062" s="87"/>
      <c r="O1062" s="20"/>
      <c r="P1062" s="85"/>
      <c r="Q1062" s="88"/>
      <c r="R1062" s="88"/>
      <c r="S1062" s="88"/>
      <c r="T1062" s="58" t="e">
        <f>Boosters_And!U1062/C1062</f>
        <v>#DIV/0!</v>
      </c>
      <c r="U1062" s="101"/>
      <c r="V1062" s="31"/>
    </row>
    <row r="1063" spans="1:22" s="168" customFormat="1" ht="20.250000" customHeight="1">
      <c r="A1063" s="34">
        <v>1061</v>
      </c>
      <c r="B1063" s="34"/>
      <c r="C1063" s="34"/>
      <c r="D1063" s="34"/>
      <c r="E1063" s="34"/>
      <c r="F1063" s="85"/>
      <c r="G1063" s="159"/>
      <c r="H1063" s="155"/>
      <c r="I1063" s="164"/>
      <c r="J1063" s="164"/>
      <c r="K1063" s="155"/>
      <c r="L1063" s="85"/>
      <c r="M1063" s="100"/>
      <c r="N1063" s="87"/>
      <c r="O1063" s="20"/>
      <c r="P1063" s="85"/>
      <c r="Q1063" s="88"/>
      <c r="R1063" s="88"/>
      <c r="S1063" s="88"/>
      <c r="T1063" s="58" t="e">
        <f>Boosters_And!U1063/C1063</f>
        <v>#DIV/0!</v>
      </c>
      <c r="U1063" s="101"/>
      <c r="V1063" s="31"/>
    </row>
    <row r="1064" spans="1:22" s="168" customFormat="1" ht="20.250000" customHeight="1">
      <c r="A1064" s="34">
        <v>1062</v>
      </c>
      <c r="B1064" s="34"/>
      <c r="C1064" s="34"/>
      <c r="D1064" s="34"/>
      <c r="E1064" s="34"/>
      <c r="F1064" s="85"/>
      <c r="G1064" s="159"/>
      <c r="H1064" s="155"/>
      <c r="I1064" s="164"/>
      <c r="J1064" s="164"/>
      <c r="K1064" s="155"/>
      <c r="L1064" s="85"/>
      <c r="M1064" s="100"/>
      <c r="N1064" s="87"/>
      <c r="O1064" s="20"/>
      <c r="P1064" s="85"/>
      <c r="Q1064" s="88"/>
      <c r="R1064" s="88"/>
      <c r="S1064" s="88"/>
      <c r="T1064" s="58" t="e">
        <f>Boosters_And!U1064/C1064</f>
        <v>#DIV/0!</v>
      </c>
      <c r="U1064" s="101"/>
      <c r="V1064" s="31"/>
    </row>
    <row r="1065" spans="1:22" s="168" customFormat="1" ht="20.250000" customHeight="1">
      <c r="A1065" s="34">
        <v>1063</v>
      </c>
      <c r="B1065" s="34"/>
      <c r="C1065" s="34"/>
      <c r="D1065" s="34"/>
      <c r="E1065" s="34"/>
      <c r="F1065" s="85"/>
      <c r="G1065" s="159"/>
      <c r="H1065" s="155"/>
      <c r="I1065" s="164"/>
      <c r="J1065" s="164"/>
      <c r="K1065" s="155"/>
      <c r="L1065" s="85"/>
      <c r="M1065" s="100"/>
      <c r="N1065" s="87"/>
      <c r="O1065" s="20"/>
      <c r="P1065" s="85"/>
      <c r="Q1065" s="88"/>
      <c r="R1065" s="88"/>
      <c r="S1065" s="88"/>
      <c r="T1065" s="58" t="e">
        <f>Boosters_And!U1065/C1065</f>
        <v>#DIV/0!</v>
      </c>
      <c r="U1065" s="101"/>
      <c r="V1065" s="31"/>
    </row>
    <row r="1066" spans="1:22" s="168" customFormat="1" ht="20.250000" customHeight="1">
      <c r="A1066" s="34">
        <v>1064</v>
      </c>
      <c r="B1066" s="34"/>
      <c r="C1066" s="34"/>
      <c r="D1066" s="34"/>
      <c r="E1066" s="34"/>
      <c r="F1066" s="85"/>
      <c r="G1066" s="159"/>
      <c r="H1066" s="155"/>
      <c r="I1066" s="164"/>
      <c r="J1066" s="164"/>
      <c r="K1066" s="155"/>
      <c r="L1066" s="85"/>
      <c r="M1066" s="100"/>
      <c r="N1066" s="87"/>
      <c r="O1066" s="20"/>
      <c r="P1066" s="85"/>
      <c r="Q1066" s="88"/>
      <c r="R1066" s="88"/>
      <c r="S1066" s="88"/>
      <c r="T1066" s="58" t="e">
        <f>Boosters_And!U1066/C1066</f>
        <v>#DIV/0!</v>
      </c>
      <c r="U1066" s="101"/>
      <c r="V1066" s="31"/>
    </row>
    <row r="1067" spans="1:22" s="168" customFormat="1" ht="20.250000" customHeight="1">
      <c r="A1067" s="34">
        <v>1065</v>
      </c>
      <c r="B1067" s="34"/>
      <c r="C1067" s="34"/>
      <c r="D1067" s="34"/>
      <c r="E1067" s="34"/>
      <c r="F1067" s="85"/>
      <c r="G1067" s="159"/>
      <c r="H1067" s="155"/>
      <c r="I1067" s="164"/>
      <c r="J1067" s="164"/>
      <c r="K1067" s="155"/>
      <c r="L1067" s="85"/>
      <c r="M1067" s="100"/>
      <c r="N1067" s="87"/>
      <c r="O1067" s="20"/>
      <c r="P1067" s="85"/>
      <c r="Q1067" s="88"/>
      <c r="R1067" s="88"/>
      <c r="S1067" s="88"/>
      <c r="T1067" s="58" t="e">
        <f>Boosters_And!U1067/C1067</f>
        <v>#DIV/0!</v>
      </c>
      <c r="U1067" s="101"/>
      <c r="V1067" s="31"/>
    </row>
    <row r="1068" spans="1:22" s="168" customFormat="1" ht="20.250000" customHeight="1">
      <c r="A1068" s="34">
        <v>1066</v>
      </c>
      <c r="B1068" s="34"/>
      <c r="C1068" s="34"/>
      <c r="D1068" s="34"/>
      <c r="E1068" s="34"/>
      <c r="F1068" s="85"/>
      <c r="G1068" s="159"/>
      <c r="H1068" s="155"/>
      <c r="I1068" s="164"/>
      <c r="J1068" s="164"/>
      <c r="K1068" s="155"/>
      <c r="L1068" s="85"/>
      <c r="M1068" s="100"/>
      <c r="N1068" s="87"/>
      <c r="O1068" s="20"/>
      <c r="P1068" s="85"/>
      <c r="Q1068" s="88"/>
      <c r="R1068" s="88"/>
      <c r="S1068" s="88"/>
      <c r="T1068" s="58" t="e">
        <f>Boosters_And!U1068/C1068</f>
        <v>#DIV/0!</v>
      </c>
      <c r="U1068" s="101"/>
      <c r="V1068" s="31"/>
    </row>
    <row r="1069" spans="1:22" s="168" customFormat="1" ht="20.250000" customHeight="1">
      <c r="A1069" s="34">
        <v>1067</v>
      </c>
      <c r="B1069" s="34"/>
      <c r="C1069" s="34"/>
      <c r="D1069" s="34"/>
      <c r="E1069" s="34"/>
      <c r="F1069" s="85"/>
      <c r="G1069" s="159"/>
      <c r="H1069" s="155"/>
      <c r="I1069" s="164"/>
      <c r="J1069" s="164"/>
      <c r="K1069" s="155"/>
      <c r="L1069" s="85"/>
      <c r="M1069" s="100"/>
      <c r="N1069" s="87"/>
      <c r="O1069" s="20"/>
      <c r="P1069" s="85"/>
      <c r="Q1069" s="88"/>
      <c r="R1069" s="88"/>
      <c r="S1069" s="88"/>
      <c r="T1069" s="58" t="e">
        <f>Boosters_And!U1069/C1069</f>
        <v>#DIV/0!</v>
      </c>
      <c r="U1069" s="101"/>
      <c r="V1069" s="31"/>
    </row>
    <row r="1070" spans="1:22" s="168" customFormat="1" ht="20.250000" customHeight="1">
      <c r="A1070" s="34">
        <v>1068</v>
      </c>
      <c r="B1070" s="34"/>
      <c r="C1070" s="34"/>
      <c r="D1070" s="34"/>
      <c r="E1070" s="34"/>
      <c r="F1070" s="85"/>
      <c r="G1070" s="159"/>
      <c r="H1070" s="155"/>
      <c r="I1070" s="164"/>
      <c r="J1070" s="164"/>
      <c r="K1070" s="155"/>
      <c r="L1070" s="85"/>
      <c r="M1070" s="100"/>
      <c r="N1070" s="87"/>
      <c r="O1070" s="20"/>
      <c r="P1070" s="85"/>
      <c r="Q1070" s="88"/>
      <c r="R1070" s="88"/>
      <c r="S1070" s="88"/>
      <c r="T1070" s="58" t="e">
        <f>Boosters_And!U1070/C1070</f>
        <v>#DIV/0!</v>
      </c>
      <c r="U1070" s="101"/>
      <c r="V1070" s="31"/>
    </row>
    <row r="1071" spans="1:22" s="168" customFormat="1" ht="20.250000" customHeight="1">
      <c r="A1071" s="34">
        <v>1069</v>
      </c>
      <c r="B1071" s="34"/>
      <c r="C1071" s="34"/>
      <c r="D1071" s="34"/>
      <c r="E1071" s="34"/>
      <c r="F1071" s="85"/>
      <c r="G1071" s="159"/>
      <c r="H1071" s="155"/>
      <c r="I1071" s="164"/>
      <c r="J1071" s="164"/>
      <c r="K1071" s="155"/>
      <c r="L1071" s="85"/>
      <c r="M1071" s="100"/>
      <c r="N1071" s="87"/>
      <c r="O1071" s="20"/>
      <c r="P1071" s="85"/>
      <c r="Q1071" s="88"/>
      <c r="R1071" s="88"/>
      <c r="S1071" s="88"/>
      <c r="T1071" s="58" t="e">
        <f>Boosters_And!U1071/C1071</f>
        <v>#DIV/0!</v>
      </c>
      <c r="U1071" s="101"/>
      <c r="V1071" s="31"/>
    </row>
    <row r="1072" spans="1:22" s="168" customFormat="1" ht="20.250000" customHeight="1">
      <c r="A1072" s="34">
        <v>1070</v>
      </c>
      <c r="B1072" s="34"/>
      <c r="C1072" s="34"/>
      <c r="D1072" s="34"/>
      <c r="E1072" s="34"/>
      <c r="F1072" s="85"/>
      <c r="G1072" s="159"/>
      <c r="H1072" s="155"/>
      <c r="I1072" s="164"/>
      <c r="J1072" s="164"/>
      <c r="K1072" s="155"/>
      <c r="L1072" s="85"/>
      <c r="M1072" s="100"/>
      <c r="N1072" s="87"/>
      <c r="O1072" s="20"/>
      <c r="P1072" s="85"/>
      <c r="Q1072" s="88"/>
      <c r="R1072" s="88"/>
      <c r="S1072" s="88"/>
      <c r="T1072" s="58" t="e">
        <f>Boosters_And!U1072/C1072</f>
        <v>#DIV/0!</v>
      </c>
      <c r="U1072" s="101"/>
      <c r="V1072" s="31"/>
    </row>
    <row r="1073" spans="1:22" s="168" customFormat="1" ht="20.250000" customHeight="1">
      <c r="A1073" s="34">
        <v>1071</v>
      </c>
      <c r="B1073" s="34"/>
      <c r="C1073" s="34"/>
      <c r="D1073" s="34"/>
      <c r="E1073" s="34"/>
      <c r="F1073" s="85"/>
      <c r="G1073" s="159"/>
      <c r="H1073" s="155"/>
      <c r="I1073" s="164"/>
      <c r="J1073" s="164"/>
      <c r="K1073" s="155"/>
      <c r="L1073" s="85"/>
      <c r="M1073" s="100"/>
      <c r="N1073" s="87"/>
      <c r="O1073" s="20"/>
      <c r="P1073" s="85"/>
      <c r="Q1073" s="88"/>
      <c r="R1073" s="88"/>
      <c r="S1073" s="88"/>
      <c r="T1073" s="58" t="e">
        <f>Boosters_And!U1073/C1073</f>
        <v>#DIV/0!</v>
      </c>
      <c r="U1073" s="101"/>
      <c r="V1073" s="31"/>
    </row>
    <row r="1074" spans="1:22" s="168" customFormat="1" ht="20.250000" customHeight="1">
      <c r="A1074" s="34">
        <v>1072</v>
      </c>
      <c r="B1074" s="34"/>
      <c r="C1074" s="34"/>
      <c r="D1074" s="34"/>
      <c r="E1074" s="34"/>
      <c r="F1074" s="85"/>
      <c r="G1074" s="159"/>
      <c r="H1074" s="155"/>
      <c r="I1074" s="164"/>
      <c r="J1074" s="164"/>
      <c r="K1074" s="155"/>
      <c r="L1074" s="85"/>
      <c r="M1074" s="100"/>
      <c r="N1074" s="87"/>
      <c r="O1074" s="20"/>
      <c r="P1074" s="85"/>
      <c r="Q1074" s="88"/>
      <c r="R1074" s="88"/>
      <c r="S1074" s="88"/>
      <c r="T1074" s="58" t="e">
        <f>Boosters_And!U1074/C1074</f>
        <v>#DIV/0!</v>
      </c>
      <c r="U1074" s="101"/>
      <c r="V1074" s="31"/>
    </row>
    <row r="1075" spans="1:22" s="168" customFormat="1" ht="20.250000" customHeight="1">
      <c r="A1075" s="34">
        <v>1073</v>
      </c>
      <c r="B1075" s="34"/>
      <c r="C1075" s="34"/>
      <c r="D1075" s="34"/>
      <c r="E1075" s="34"/>
      <c r="F1075" s="85"/>
      <c r="G1075" s="159"/>
      <c r="H1075" s="155"/>
      <c r="I1075" s="164"/>
      <c r="J1075" s="164"/>
      <c r="K1075" s="155"/>
      <c r="L1075" s="85"/>
      <c r="M1075" s="100"/>
      <c r="N1075" s="87"/>
      <c r="O1075" s="20"/>
      <c r="P1075" s="85"/>
      <c r="Q1075" s="88"/>
      <c r="R1075" s="88"/>
      <c r="S1075" s="88"/>
      <c r="T1075" s="58" t="e">
        <f>Boosters_And!U1075/C1075</f>
        <v>#DIV/0!</v>
      </c>
      <c r="U1075" s="101"/>
      <c r="V1075" s="31"/>
    </row>
    <row r="1076" spans="1:22" s="168" customFormat="1" ht="20.250000" customHeight="1">
      <c r="A1076" s="34">
        <v>1074</v>
      </c>
      <c r="B1076" s="34"/>
      <c r="C1076" s="34"/>
      <c r="D1076" s="34"/>
      <c r="E1076" s="34"/>
      <c r="F1076" s="85"/>
      <c r="G1076" s="159"/>
      <c r="H1076" s="155"/>
      <c r="I1076" s="164"/>
      <c r="J1076" s="164"/>
      <c r="K1076" s="155"/>
      <c r="L1076" s="85"/>
      <c r="M1076" s="100"/>
      <c r="N1076" s="87"/>
      <c r="O1076" s="20"/>
      <c r="P1076" s="85"/>
      <c r="Q1076" s="88"/>
      <c r="R1076" s="88"/>
      <c r="S1076" s="88"/>
      <c r="T1076" s="58" t="e">
        <f>Boosters_And!U1076/C1076</f>
        <v>#DIV/0!</v>
      </c>
      <c r="U1076" s="101"/>
      <c r="V1076" s="31"/>
    </row>
    <row r="1077" spans="1:22" s="168" customFormat="1" ht="20.250000" customHeight="1">
      <c r="A1077" s="34">
        <v>1075</v>
      </c>
      <c r="B1077" s="34"/>
      <c r="C1077" s="34"/>
      <c r="D1077" s="34"/>
      <c r="E1077" s="34"/>
      <c r="F1077" s="85"/>
      <c r="G1077" s="159"/>
      <c r="H1077" s="155"/>
      <c r="I1077" s="164"/>
      <c r="J1077" s="164"/>
      <c r="K1077" s="155"/>
      <c r="L1077" s="85"/>
      <c r="M1077" s="100"/>
      <c r="N1077" s="87"/>
      <c r="O1077" s="20"/>
      <c r="P1077" s="85"/>
      <c r="Q1077" s="88"/>
      <c r="R1077" s="88"/>
      <c r="S1077" s="88"/>
      <c r="T1077" s="58" t="e">
        <f>Boosters_And!U1077/C1077</f>
        <v>#DIV/0!</v>
      </c>
      <c r="U1077" s="101"/>
      <c r="V1077" s="31"/>
    </row>
    <row r="1078" spans="1:22" s="168" customFormat="1" ht="20.250000" customHeight="1">
      <c r="A1078" s="34">
        <v>1076</v>
      </c>
      <c r="B1078" s="34"/>
      <c r="C1078" s="34"/>
      <c r="D1078" s="34"/>
      <c r="E1078" s="34"/>
      <c r="F1078" s="85"/>
      <c r="G1078" s="159"/>
      <c r="H1078" s="155"/>
      <c r="I1078" s="164"/>
      <c r="J1078" s="164"/>
      <c r="K1078" s="155"/>
      <c r="L1078" s="85"/>
      <c r="M1078" s="100"/>
      <c r="N1078" s="87"/>
      <c r="O1078" s="20"/>
      <c r="P1078" s="85"/>
      <c r="Q1078" s="88"/>
      <c r="R1078" s="88"/>
      <c r="S1078" s="88"/>
      <c r="T1078" s="58" t="e">
        <f>Boosters_And!U1078/C1078</f>
        <v>#DIV/0!</v>
      </c>
      <c r="U1078" s="101"/>
      <c r="V1078" s="31"/>
    </row>
    <row r="1079" spans="1:22" s="168" customFormat="1" ht="20.250000" customHeight="1">
      <c r="A1079" s="34">
        <v>1077</v>
      </c>
      <c r="B1079" s="34"/>
      <c r="C1079" s="34"/>
      <c r="D1079" s="34"/>
      <c r="E1079" s="34"/>
      <c r="F1079" s="85"/>
      <c r="G1079" s="159"/>
      <c r="H1079" s="155"/>
      <c r="I1079" s="164"/>
      <c r="J1079" s="164"/>
      <c r="K1079" s="155"/>
      <c r="L1079" s="85"/>
      <c r="M1079" s="100"/>
      <c r="N1079" s="87"/>
      <c r="O1079" s="20"/>
      <c r="P1079" s="85"/>
      <c r="Q1079" s="88"/>
      <c r="R1079" s="88"/>
      <c r="S1079" s="88"/>
      <c r="T1079" s="58" t="e">
        <f>Boosters_And!U1079/C1079</f>
        <v>#DIV/0!</v>
      </c>
      <c r="U1079" s="101"/>
      <c r="V1079" s="31"/>
    </row>
    <row r="1080" spans="1:22" s="168" customFormat="1" ht="20.250000" customHeight="1">
      <c r="A1080" s="34">
        <v>1078</v>
      </c>
      <c r="B1080" s="34"/>
      <c r="C1080" s="34"/>
      <c r="D1080" s="34"/>
      <c r="E1080" s="34"/>
      <c r="F1080" s="85"/>
      <c r="G1080" s="159"/>
      <c r="H1080" s="155"/>
      <c r="I1080" s="164"/>
      <c r="J1080" s="164"/>
      <c r="K1080" s="155"/>
      <c r="L1080" s="85"/>
      <c r="M1080" s="100"/>
      <c r="N1080" s="87"/>
      <c r="O1080" s="20"/>
      <c r="P1080" s="85"/>
      <c r="Q1080" s="88"/>
      <c r="R1080" s="88"/>
      <c r="S1080" s="88"/>
      <c r="T1080" s="58" t="e">
        <f>Boosters_And!U1080/C1080</f>
        <v>#DIV/0!</v>
      </c>
      <c r="U1080" s="101"/>
      <c r="V1080" s="31"/>
    </row>
    <row r="1081" spans="1:22" s="168" customFormat="1" ht="20.250000" customHeight="1">
      <c r="A1081" s="34">
        <v>1079</v>
      </c>
      <c r="B1081" s="34"/>
      <c r="C1081" s="34"/>
      <c r="D1081" s="34"/>
      <c r="E1081" s="34"/>
      <c r="F1081" s="85"/>
      <c r="G1081" s="159"/>
      <c r="H1081" s="155"/>
      <c r="I1081" s="164"/>
      <c r="J1081" s="164"/>
      <c r="K1081" s="155"/>
      <c r="L1081" s="85"/>
      <c r="M1081" s="100"/>
      <c r="N1081" s="87"/>
      <c r="O1081" s="20"/>
      <c r="P1081" s="85"/>
      <c r="Q1081" s="88"/>
      <c r="R1081" s="88"/>
      <c r="S1081" s="88"/>
      <c r="T1081" s="58" t="e">
        <f>Boosters_And!U1081/C1081</f>
        <v>#DIV/0!</v>
      </c>
      <c r="U1081" s="101"/>
      <c r="V1081" s="31"/>
    </row>
    <row r="1082" spans="1:22" s="168" customFormat="1" ht="20.250000" customHeight="1">
      <c r="A1082" s="34">
        <v>1080</v>
      </c>
      <c r="B1082" s="34"/>
      <c r="C1082" s="34"/>
      <c r="D1082" s="34"/>
      <c r="E1082" s="34"/>
      <c r="F1082" s="85"/>
      <c r="G1082" s="159"/>
      <c r="H1082" s="155"/>
      <c r="I1082" s="164"/>
      <c r="J1082" s="164"/>
      <c r="K1082" s="155"/>
      <c r="L1082" s="85"/>
      <c r="M1082" s="100"/>
      <c r="N1082" s="87"/>
      <c r="O1082" s="20"/>
      <c r="P1082" s="85"/>
      <c r="Q1082" s="88"/>
      <c r="R1082" s="88"/>
      <c r="S1082" s="88"/>
      <c r="T1082" s="58" t="e">
        <f>Boosters_And!U1082/C1082</f>
        <v>#DIV/0!</v>
      </c>
      <c r="U1082" s="101"/>
      <c r="V1082" s="31"/>
    </row>
    <row r="1083" spans="1:22" s="168" customFormat="1" ht="20.250000" customHeight="1">
      <c r="A1083" s="34">
        <v>1081</v>
      </c>
      <c r="B1083" s="34"/>
      <c r="C1083" s="34"/>
      <c r="D1083" s="34"/>
      <c r="E1083" s="34"/>
      <c r="F1083" s="85"/>
      <c r="G1083" s="159"/>
      <c r="H1083" s="155"/>
      <c r="I1083" s="164"/>
      <c r="J1083" s="164"/>
      <c r="K1083" s="155"/>
      <c r="L1083" s="85"/>
      <c r="M1083" s="100"/>
      <c r="N1083" s="87"/>
      <c r="O1083" s="20"/>
      <c r="P1083" s="85"/>
      <c r="Q1083" s="88"/>
      <c r="R1083" s="88"/>
      <c r="S1083" s="88"/>
      <c r="T1083" s="58" t="e">
        <f>Boosters_And!U1083/C1083</f>
        <v>#DIV/0!</v>
      </c>
      <c r="U1083" s="101"/>
      <c r="V1083" s="31"/>
    </row>
    <row r="1084" spans="1:22" s="168" customFormat="1" ht="20.250000" customHeight="1">
      <c r="A1084" s="34">
        <v>1082</v>
      </c>
      <c r="B1084" s="34"/>
      <c r="C1084" s="34"/>
      <c r="D1084" s="34"/>
      <c r="E1084" s="34"/>
      <c r="F1084" s="85"/>
      <c r="G1084" s="159"/>
      <c r="H1084" s="155"/>
      <c r="I1084" s="164"/>
      <c r="J1084" s="164"/>
      <c r="K1084" s="155"/>
      <c r="L1084" s="85"/>
      <c r="M1084" s="100"/>
      <c r="N1084" s="87"/>
      <c r="O1084" s="20"/>
      <c r="P1084" s="85"/>
      <c r="Q1084" s="88"/>
      <c r="R1084" s="88"/>
      <c r="S1084" s="88"/>
      <c r="T1084" s="58" t="e">
        <f>Boosters_And!U1084/C1084</f>
        <v>#DIV/0!</v>
      </c>
      <c r="U1084" s="101"/>
      <c r="V1084" s="31"/>
    </row>
    <row r="1085" spans="1:22" s="168" customFormat="1" ht="20.250000" customHeight="1">
      <c r="A1085" s="34">
        <v>1083</v>
      </c>
      <c r="B1085" s="34"/>
      <c r="C1085" s="34"/>
      <c r="D1085" s="34"/>
      <c r="E1085" s="34"/>
      <c r="F1085" s="85"/>
      <c r="G1085" s="159"/>
      <c r="H1085" s="155"/>
      <c r="I1085" s="164"/>
      <c r="J1085" s="164"/>
      <c r="K1085" s="155"/>
      <c r="L1085" s="85"/>
      <c r="M1085" s="100"/>
      <c r="N1085" s="87"/>
      <c r="O1085" s="20"/>
      <c r="P1085" s="85"/>
      <c r="Q1085" s="88"/>
      <c r="R1085" s="88"/>
      <c r="S1085" s="88"/>
      <c r="T1085" s="58" t="e">
        <f>Boosters_And!U1085/C1085</f>
        <v>#DIV/0!</v>
      </c>
      <c r="U1085" s="101"/>
      <c r="V1085" s="31"/>
    </row>
    <row r="1086" spans="1:22" s="168" customFormat="1" ht="20.250000" customHeight="1">
      <c r="A1086" s="34">
        <v>1084</v>
      </c>
      <c r="B1086" s="34"/>
      <c r="C1086" s="34"/>
      <c r="D1086" s="34"/>
      <c r="E1086" s="34"/>
      <c r="F1086" s="85"/>
      <c r="G1086" s="159"/>
      <c r="H1086" s="155"/>
      <c r="I1086" s="164"/>
      <c r="J1086" s="164"/>
      <c r="K1086" s="155"/>
      <c r="L1086" s="85"/>
      <c r="M1086" s="100"/>
      <c r="N1086" s="87"/>
      <c r="O1086" s="20"/>
      <c r="P1086" s="85"/>
      <c r="Q1086" s="88"/>
      <c r="R1086" s="88"/>
      <c r="S1086" s="88"/>
      <c r="T1086" s="58" t="e">
        <f>Boosters_And!U1086/C1086</f>
        <v>#DIV/0!</v>
      </c>
      <c r="U1086" s="101"/>
      <c r="V1086" s="31"/>
    </row>
    <row r="1087" spans="1:22" s="168" customFormat="1" ht="20.250000" customHeight="1">
      <c r="A1087" s="34">
        <v>1085</v>
      </c>
      <c r="B1087" s="34"/>
      <c r="C1087" s="34"/>
      <c r="D1087" s="34"/>
      <c r="E1087" s="34"/>
      <c r="F1087" s="85"/>
      <c r="G1087" s="159"/>
      <c r="H1087" s="155"/>
      <c r="I1087" s="164"/>
      <c r="J1087" s="164"/>
      <c r="K1087" s="155"/>
      <c r="L1087" s="85"/>
      <c r="M1087" s="100"/>
      <c r="N1087" s="87"/>
      <c r="O1087" s="20"/>
      <c r="P1087" s="85"/>
      <c r="Q1087" s="88"/>
      <c r="R1087" s="88"/>
      <c r="S1087" s="88"/>
      <c r="T1087" s="58" t="e">
        <f>Boosters_And!U1087/C1087</f>
        <v>#DIV/0!</v>
      </c>
      <c r="U1087" s="101"/>
      <c r="V1087" s="31"/>
    </row>
    <row r="1088" spans="1:22" s="168" customFormat="1" ht="20.250000" customHeight="1">
      <c r="A1088" s="34">
        <v>1086</v>
      </c>
      <c r="B1088" s="34"/>
      <c r="C1088" s="34"/>
      <c r="D1088" s="34"/>
      <c r="E1088" s="34"/>
      <c r="F1088" s="85"/>
      <c r="G1088" s="159"/>
      <c r="H1088" s="155"/>
      <c r="I1088" s="164"/>
      <c r="J1088" s="164"/>
      <c r="K1088" s="155"/>
      <c r="L1088" s="85"/>
      <c r="M1088" s="100"/>
      <c r="N1088" s="87"/>
      <c r="O1088" s="20"/>
      <c r="P1088" s="85"/>
      <c r="Q1088" s="88"/>
      <c r="R1088" s="88"/>
      <c r="S1088" s="88"/>
      <c r="T1088" s="58" t="e">
        <f>Boosters_And!U1088/C1088</f>
        <v>#DIV/0!</v>
      </c>
      <c r="U1088" s="101"/>
      <c r="V1088" s="31"/>
    </row>
    <row r="1089" spans="1:22" s="168" customFormat="1" ht="20.250000" customHeight="1">
      <c r="A1089" s="34">
        <v>1087</v>
      </c>
      <c r="B1089" s="34"/>
      <c r="C1089" s="34"/>
      <c r="D1089" s="34"/>
      <c r="E1089" s="34"/>
      <c r="F1089" s="85"/>
      <c r="G1089" s="159"/>
      <c r="H1089" s="155"/>
      <c r="I1089" s="164"/>
      <c r="J1089" s="164"/>
      <c r="K1089" s="155"/>
      <c r="L1089" s="85"/>
      <c r="M1089" s="100"/>
      <c r="N1089" s="87"/>
      <c r="O1089" s="20"/>
      <c r="P1089" s="85"/>
      <c r="Q1089" s="88"/>
      <c r="R1089" s="88"/>
      <c r="S1089" s="88"/>
      <c r="T1089" s="58" t="e">
        <f>Boosters_And!U1089/C1089</f>
        <v>#DIV/0!</v>
      </c>
      <c r="U1089" s="101"/>
      <c r="V1089" s="31"/>
    </row>
    <row r="1090" spans="1:22" s="168" customFormat="1" ht="20.250000" customHeight="1">
      <c r="A1090" s="34">
        <v>1088</v>
      </c>
      <c r="B1090" s="34"/>
      <c r="C1090" s="34"/>
      <c r="D1090" s="34"/>
      <c r="E1090" s="34"/>
      <c r="F1090" s="85"/>
      <c r="G1090" s="159"/>
      <c r="H1090" s="155"/>
      <c r="I1090" s="164"/>
      <c r="J1090" s="164"/>
      <c r="K1090" s="155"/>
      <c r="L1090" s="85"/>
      <c r="M1090" s="100"/>
      <c r="N1090" s="87"/>
      <c r="O1090" s="20"/>
      <c r="P1090" s="85"/>
      <c r="Q1090" s="88"/>
      <c r="R1090" s="88"/>
      <c r="S1090" s="88"/>
      <c r="T1090" s="58" t="e">
        <f>Boosters_And!U1090/C1090</f>
        <v>#DIV/0!</v>
      </c>
      <c r="U1090" s="101"/>
      <c r="V1090" s="31"/>
    </row>
    <row r="1091" spans="1:22" s="168" customFormat="1" ht="20.250000" customHeight="1">
      <c r="A1091" s="34">
        <v>1089</v>
      </c>
      <c r="B1091" s="34"/>
      <c r="C1091" s="34"/>
      <c r="D1091" s="34"/>
      <c r="E1091" s="34"/>
      <c r="F1091" s="85"/>
      <c r="G1091" s="159"/>
      <c r="H1091" s="155"/>
      <c r="I1091" s="164"/>
      <c r="J1091" s="164"/>
      <c r="K1091" s="155"/>
      <c r="L1091" s="85"/>
      <c r="M1091" s="100"/>
      <c r="N1091" s="87"/>
      <c r="O1091" s="20"/>
      <c r="P1091" s="85"/>
      <c r="Q1091" s="88"/>
      <c r="R1091" s="88"/>
      <c r="S1091" s="88"/>
      <c r="T1091" s="58" t="e">
        <f>Boosters_And!U1091/C1091</f>
        <v>#DIV/0!</v>
      </c>
      <c r="U1091" s="101"/>
      <c r="V1091" s="31"/>
    </row>
    <row r="1092" spans="1:22" s="168" customFormat="1" ht="20.250000" customHeight="1">
      <c r="A1092" s="34">
        <v>1090</v>
      </c>
      <c r="B1092" s="34"/>
      <c r="C1092" s="34"/>
      <c r="D1092" s="34"/>
      <c r="E1092" s="34"/>
      <c r="F1092" s="85"/>
      <c r="G1092" s="159"/>
      <c r="H1092" s="155"/>
      <c r="I1092" s="164"/>
      <c r="J1092" s="164"/>
      <c r="K1092" s="155"/>
      <c r="L1092" s="85"/>
      <c r="M1092" s="100"/>
      <c r="N1092" s="87"/>
      <c r="O1092" s="20"/>
      <c r="P1092" s="85"/>
      <c r="Q1092" s="88"/>
      <c r="R1092" s="88"/>
      <c r="S1092" s="88"/>
      <c r="T1092" s="58" t="e">
        <f>Boosters_And!U1092/C1092</f>
        <v>#DIV/0!</v>
      </c>
      <c r="U1092" s="101"/>
      <c r="V1092" s="31"/>
    </row>
    <row r="1093" spans="1:22" s="168" customFormat="1" ht="20.250000" customHeight="1">
      <c r="A1093" s="34">
        <v>1091</v>
      </c>
      <c r="B1093" s="34"/>
      <c r="C1093" s="34"/>
      <c r="D1093" s="34"/>
      <c r="E1093" s="34"/>
      <c r="F1093" s="85"/>
      <c r="G1093" s="159"/>
      <c r="H1093" s="155"/>
      <c r="I1093" s="164"/>
      <c r="J1093" s="164"/>
      <c r="K1093" s="155"/>
      <c r="L1093" s="85"/>
      <c r="M1093" s="100"/>
      <c r="N1093" s="87"/>
      <c r="O1093" s="20"/>
      <c r="P1093" s="85"/>
      <c r="Q1093" s="88"/>
      <c r="R1093" s="88"/>
      <c r="S1093" s="88"/>
      <c r="T1093" s="58" t="e">
        <f>Boosters_And!U1093/C1093</f>
        <v>#DIV/0!</v>
      </c>
      <c r="U1093" s="101"/>
      <c r="V1093" s="31"/>
    </row>
    <row r="1094" spans="1:22" s="168" customFormat="1" ht="20.250000" customHeight="1">
      <c r="A1094" s="34">
        <v>1092</v>
      </c>
      <c r="B1094" s="34"/>
      <c r="C1094" s="34"/>
      <c r="D1094" s="34"/>
      <c r="E1094" s="34"/>
      <c r="F1094" s="85"/>
      <c r="G1094" s="159"/>
      <c r="H1094" s="155"/>
      <c r="I1094" s="164"/>
      <c r="J1094" s="164"/>
      <c r="K1094" s="155"/>
      <c r="L1094" s="85"/>
      <c r="M1094" s="100"/>
      <c r="N1094" s="87"/>
      <c r="O1094" s="20"/>
      <c r="P1094" s="85"/>
      <c r="Q1094" s="88"/>
      <c r="R1094" s="88"/>
      <c r="S1094" s="88"/>
      <c r="T1094" s="58" t="e">
        <f>Boosters_And!U1094/C1094</f>
        <v>#DIV/0!</v>
      </c>
      <c r="U1094" s="101"/>
      <c r="V1094" s="31"/>
    </row>
    <row r="1095" spans="1:22" s="168" customFormat="1" ht="20.250000" customHeight="1">
      <c r="A1095" s="34">
        <v>1093</v>
      </c>
      <c r="B1095" s="34"/>
      <c r="C1095" s="34"/>
      <c r="D1095" s="34"/>
      <c r="E1095" s="34"/>
      <c r="F1095" s="85"/>
      <c r="G1095" s="159"/>
      <c r="H1095" s="155"/>
      <c r="I1095" s="164"/>
      <c r="J1095" s="164"/>
      <c r="K1095" s="155"/>
      <c r="L1095" s="85"/>
      <c r="M1095" s="100"/>
      <c r="N1095" s="87"/>
      <c r="O1095" s="20"/>
      <c r="P1095" s="85"/>
      <c r="Q1095" s="88"/>
      <c r="R1095" s="88"/>
      <c r="S1095" s="88"/>
      <c r="T1095" s="58" t="e">
        <f>Boosters_And!U1095/C1095</f>
        <v>#DIV/0!</v>
      </c>
      <c r="U1095" s="101"/>
      <c r="V1095" s="31"/>
    </row>
    <row r="1096" spans="1:22" s="168" customFormat="1" ht="20.250000" customHeight="1">
      <c r="A1096" s="34">
        <v>1094</v>
      </c>
      <c r="B1096" s="34"/>
      <c r="C1096" s="34"/>
      <c r="D1096" s="34"/>
      <c r="E1096" s="34"/>
      <c r="F1096" s="85"/>
      <c r="G1096" s="159"/>
      <c r="H1096" s="155"/>
      <c r="I1096" s="164"/>
      <c r="J1096" s="164"/>
      <c r="K1096" s="155"/>
      <c r="L1096" s="85"/>
      <c r="M1096" s="100"/>
      <c r="N1096" s="87"/>
      <c r="O1096" s="20"/>
      <c r="P1096" s="85"/>
      <c r="Q1096" s="88"/>
      <c r="R1096" s="88"/>
      <c r="S1096" s="88"/>
      <c r="T1096" s="58" t="e">
        <f>Boosters_And!U1096/C1096</f>
        <v>#DIV/0!</v>
      </c>
      <c r="U1096" s="101"/>
      <c r="V1096" s="31"/>
    </row>
    <row r="1097" spans="1:22" s="168" customFormat="1" ht="20.250000" customHeight="1">
      <c r="A1097" s="34">
        <v>1095</v>
      </c>
      <c r="B1097" s="34"/>
      <c r="C1097" s="34"/>
      <c r="D1097" s="34"/>
      <c r="E1097" s="34"/>
      <c r="F1097" s="85"/>
      <c r="G1097" s="159"/>
      <c r="H1097" s="155"/>
      <c r="I1097" s="164"/>
      <c r="J1097" s="164"/>
      <c r="K1097" s="155"/>
      <c r="L1097" s="85"/>
      <c r="M1097" s="100"/>
      <c r="N1097" s="87"/>
      <c r="O1097" s="20"/>
      <c r="P1097" s="85"/>
      <c r="Q1097" s="88"/>
      <c r="R1097" s="88"/>
      <c r="S1097" s="88"/>
      <c r="T1097" s="58" t="e">
        <f>Boosters_And!U1097/C1097</f>
        <v>#DIV/0!</v>
      </c>
      <c r="U1097" s="101"/>
      <c r="V1097" s="31"/>
    </row>
    <row r="1098" spans="1:22" s="168" customFormat="1" ht="20.250000" customHeight="1">
      <c r="A1098" s="34">
        <v>1096</v>
      </c>
      <c r="B1098" s="34"/>
      <c r="C1098" s="34"/>
      <c r="D1098" s="34"/>
      <c r="E1098" s="34"/>
      <c r="F1098" s="85"/>
      <c r="G1098" s="159"/>
      <c r="H1098" s="155"/>
      <c r="I1098" s="164"/>
      <c r="J1098" s="164"/>
      <c r="K1098" s="155"/>
      <c r="L1098" s="85"/>
      <c r="M1098" s="100"/>
      <c r="N1098" s="87"/>
      <c r="O1098" s="20"/>
      <c r="P1098" s="85"/>
      <c r="Q1098" s="88"/>
      <c r="R1098" s="88"/>
      <c r="S1098" s="88"/>
      <c r="T1098" s="58" t="e">
        <f>Boosters_And!U1098/C1098</f>
        <v>#DIV/0!</v>
      </c>
      <c r="U1098" s="101"/>
      <c r="V1098" s="31"/>
    </row>
    <row r="1099" spans="1:22" s="168" customFormat="1" ht="20.250000" customHeight="1">
      <c r="A1099" s="34">
        <v>1097</v>
      </c>
      <c r="B1099" s="34"/>
      <c r="C1099" s="34"/>
      <c r="D1099" s="34"/>
      <c r="E1099" s="34"/>
      <c r="F1099" s="85"/>
      <c r="G1099" s="159"/>
      <c r="H1099" s="155"/>
      <c r="I1099" s="164"/>
      <c r="J1099" s="164"/>
      <c r="K1099" s="155"/>
      <c r="L1099" s="85"/>
      <c r="M1099" s="100"/>
      <c r="N1099" s="87"/>
      <c r="O1099" s="20"/>
      <c r="P1099" s="85"/>
      <c r="Q1099" s="88"/>
      <c r="R1099" s="88"/>
      <c r="S1099" s="88"/>
      <c r="T1099" s="58" t="e">
        <f>Boosters_And!U1099/C1099</f>
        <v>#DIV/0!</v>
      </c>
      <c r="U1099" s="101"/>
      <c r="V1099" s="31"/>
    </row>
    <row r="1100" spans="1:22" s="168" customFormat="1" ht="20.250000" customHeight="1">
      <c r="A1100" s="34">
        <v>1098</v>
      </c>
      <c r="B1100" s="34"/>
      <c r="C1100" s="34"/>
      <c r="D1100" s="34"/>
      <c r="E1100" s="34"/>
      <c r="F1100" s="85"/>
      <c r="G1100" s="159"/>
      <c r="H1100" s="155"/>
      <c r="I1100" s="164"/>
      <c r="J1100" s="164"/>
      <c r="K1100" s="155"/>
      <c r="L1100" s="85"/>
      <c r="M1100" s="100"/>
      <c r="N1100" s="87"/>
      <c r="O1100" s="20"/>
      <c r="P1100" s="85"/>
      <c r="Q1100" s="88"/>
      <c r="R1100" s="88"/>
      <c r="S1100" s="88"/>
      <c r="T1100" s="58" t="e">
        <f>Boosters_And!U1100/C1100</f>
        <v>#DIV/0!</v>
      </c>
      <c r="U1100" s="101"/>
      <c r="V1100" s="31"/>
    </row>
    <row r="1101" spans="1:22" s="168" customFormat="1" ht="20.250000" customHeight="1">
      <c r="A1101" s="34">
        <v>1099</v>
      </c>
      <c r="B1101" s="34"/>
      <c r="C1101" s="34"/>
      <c r="D1101" s="34"/>
      <c r="E1101" s="34"/>
      <c r="F1101" s="85"/>
      <c r="G1101" s="159"/>
      <c r="H1101" s="155"/>
      <c r="I1101" s="164"/>
      <c r="J1101" s="164"/>
      <c r="K1101" s="155"/>
      <c r="L1101" s="85"/>
      <c r="M1101" s="100"/>
      <c r="N1101" s="87"/>
      <c r="O1101" s="20"/>
      <c r="P1101" s="85"/>
      <c r="Q1101" s="88"/>
      <c r="R1101" s="88"/>
      <c r="S1101" s="88"/>
      <c r="T1101" s="58" t="e">
        <f>Boosters_And!U1101/C1101</f>
        <v>#DIV/0!</v>
      </c>
      <c r="U1101" s="101"/>
      <c r="V1101" s="31"/>
    </row>
    <row r="1102" spans="1:22" s="168" customFormat="1" ht="20.250000" customHeight="1">
      <c r="A1102" s="34">
        <v>1100</v>
      </c>
      <c r="B1102" s="34"/>
      <c r="C1102" s="34"/>
      <c r="D1102" s="34"/>
      <c r="E1102" s="34"/>
      <c r="F1102" s="85"/>
      <c r="G1102" s="159"/>
      <c r="H1102" s="155"/>
      <c r="I1102" s="164"/>
      <c r="J1102" s="164"/>
      <c r="K1102" s="155"/>
      <c r="L1102" s="85"/>
      <c r="M1102" s="100"/>
      <c r="N1102" s="87"/>
      <c r="O1102" s="20"/>
      <c r="P1102" s="85"/>
      <c r="Q1102" s="88"/>
      <c r="R1102" s="88"/>
      <c r="S1102" s="88"/>
      <c r="T1102" s="58" t="e">
        <f>Boosters_And!U1102/C1102</f>
        <v>#DIV/0!</v>
      </c>
      <c r="U1102" s="101"/>
      <c r="V1102" s="31"/>
    </row>
    <row r="1103" spans="1:22" s="168" customFormat="1" ht="20.250000" customHeight="1">
      <c r="A1103" s="34">
        <v>1101</v>
      </c>
      <c r="B1103" s="34"/>
      <c r="C1103" s="34"/>
      <c r="D1103" s="34"/>
      <c r="E1103" s="34"/>
      <c r="F1103" s="85"/>
      <c r="G1103" s="159"/>
      <c r="H1103" s="155"/>
      <c r="I1103" s="164"/>
      <c r="J1103" s="164"/>
      <c r="K1103" s="155"/>
      <c r="L1103" s="85"/>
      <c r="M1103" s="100"/>
      <c r="N1103" s="87"/>
      <c r="O1103" s="20"/>
      <c r="P1103" s="85"/>
      <c r="Q1103" s="88"/>
      <c r="R1103" s="88"/>
      <c r="S1103" s="88"/>
      <c r="T1103" s="58" t="e">
        <f>Boosters_And!U1103/C1103</f>
        <v>#DIV/0!</v>
      </c>
      <c r="U1103" s="101"/>
      <c r="V1103" s="31"/>
    </row>
    <row r="1104" spans="1:22" s="168" customFormat="1" ht="20.250000" customHeight="1">
      <c r="A1104" s="34">
        <v>1102</v>
      </c>
      <c r="B1104" s="34"/>
      <c r="C1104" s="34"/>
      <c r="D1104" s="34"/>
      <c r="E1104" s="34"/>
      <c r="F1104" s="85"/>
      <c r="G1104" s="159"/>
      <c r="H1104" s="155"/>
      <c r="I1104" s="164"/>
      <c r="J1104" s="164"/>
      <c r="K1104" s="155"/>
      <c r="L1104" s="85"/>
      <c r="M1104" s="100"/>
      <c r="N1104" s="87"/>
      <c r="O1104" s="20"/>
      <c r="P1104" s="85"/>
      <c r="Q1104" s="88"/>
      <c r="R1104" s="88"/>
      <c r="S1104" s="88"/>
      <c r="T1104" s="58" t="e">
        <f>Boosters_And!U1104/C1104</f>
        <v>#DIV/0!</v>
      </c>
      <c r="U1104" s="101"/>
      <c r="V1104" s="31"/>
    </row>
    <row r="1105" spans="1:22" s="168" customFormat="1" ht="20.250000" customHeight="1">
      <c r="A1105" s="34">
        <v>1103</v>
      </c>
      <c r="B1105" s="34"/>
      <c r="C1105" s="34"/>
      <c r="D1105" s="34"/>
      <c r="E1105" s="34"/>
      <c r="F1105" s="85"/>
      <c r="G1105" s="159"/>
      <c r="H1105" s="155"/>
      <c r="I1105" s="164"/>
      <c r="J1105" s="164"/>
      <c r="K1105" s="155"/>
      <c r="L1105" s="85"/>
      <c r="M1105" s="100"/>
      <c r="N1105" s="87"/>
      <c r="O1105" s="20"/>
      <c r="P1105" s="85"/>
      <c r="Q1105" s="88"/>
      <c r="R1105" s="88"/>
      <c r="S1105" s="88"/>
      <c r="T1105" s="58" t="e">
        <f>Boosters_And!U1105/C1105</f>
        <v>#DIV/0!</v>
      </c>
      <c r="U1105" s="101"/>
      <c r="V1105" s="31"/>
    </row>
    <row r="1106" spans="1:22" s="168" customFormat="1" ht="20.250000" customHeight="1">
      <c r="A1106" s="34">
        <v>1104</v>
      </c>
      <c r="B1106" s="34"/>
      <c r="C1106" s="34"/>
      <c r="D1106" s="34"/>
      <c r="E1106" s="34"/>
      <c r="F1106" s="85"/>
      <c r="G1106" s="159"/>
      <c r="H1106" s="155"/>
      <c r="I1106" s="164"/>
      <c r="J1106" s="164"/>
      <c r="K1106" s="155"/>
      <c r="L1106" s="85"/>
      <c r="M1106" s="100"/>
      <c r="N1106" s="87"/>
      <c r="O1106" s="20"/>
      <c r="P1106" s="85"/>
      <c r="Q1106" s="88"/>
      <c r="R1106" s="88"/>
      <c r="S1106" s="88"/>
      <c r="T1106" s="58" t="e">
        <f>Boosters_And!U1106/C1106</f>
        <v>#DIV/0!</v>
      </c>
      <c r="U1106" s="101"/>
      <c r="V1106" s="31"/>
    </row>
    <row r="1107" spans="1:22" s="168" customFormat="1" ht="20.250000" customHeight="1">
      <c r="A1107" s="34">
        <v>1105</v>
      </c>
      <c r="B1107" s="34"/>
      <c r="C1107" s="34"/>
      <c r="D1107" s="34"/>
      <c r="E1107" s="34"/>
      <c r="F1107" s="85"/>
      <c r="G1107" s="159"/>
      <c r="H1107" s="155"/>
      <c r="I1107" s="164"/>
      <c r="J1107" s="164"/>
      <c r="K1107" s="155"/>
      <c r="L1107" s="85"/>
      <c r="M1107" s="100"/>
      <c r="N1107" s="87"/>
      <c r="O1107" s="20"/>
      <c r="P1107" s="85"/>
      <c r="Q1107" s="88"/>
      <c r="R1107" s="88"/>
      <c r="S1107" s="88"/>
      <c r="T1107" s="58" t="e">
        <f>Boosters_And!U1107/C1107</f>
        <v>#DIV/0!</v>
      </c>
      <c r="U1107" s="101"/>
      <c r="V1107" s="31"/>
    </row>
    <row r="1108" spans="1:22" s="168" customFormat="1" ht="20.250000" customHeight="1">
      <c r="A1108" s="34">
        <v>1106</v>
      </c>
      <c r="B1108" s="34"/>
      <c r="C1108" s="34"/>
      <c r="D1108" s="34"/>
      <c r="E1108" s="34"/>
      <c r="F1108" s="85"/>
      <c r="G1108" s="159"/>
      <c r="H1108" s="155"/>
      <c r="I1108" s="164"/>
      <c r="J1108" s="164"/>
      <c r="K1108" s="155"/>
      <c r="L1108" s="85"/>
      <c r="M1108" s="100"/>
      <c r="N1108" s="87"/>
      <c r="O1108" s="20"/>
      <c r="P1108" s="85"/>
      <c r="Q1108" s="88"/>
      <c r="R1108" s="88"/>
      <c r="S1108" s="88"/>
      <c r="T1108" s="58" t="e">
        <f>Boosters_And!U1108/C1108</f>
        <v>#DIV/0!</v>
      </c>
      <c r="U1108" s="101"/>
      <c r="V1108" s="31"/>
    </row>
    <row r="1109" spans="1:22" s="168" customFormat="1" ht="20.250000" customHeight="1">
      <c r="A1109" s="34">
        <v>1107</v>
      </c>
      <c r="B1109" s="34"/>
      <c r="C1109" s="34"/>
      <c r="D1109" s="34"/>
      <c r="E1109" s="34"/>
      <c r="F1109" s="85"/>
      <c r="G1109" s="159"/>
      <c r="H1109" s="155"/>
      <c r="I1109" s="164"/>
      <c r="J1109" s="164"/>
      <c r="K1109" s="155"/>
      <c r="L1109" s="85"/>
      <c r="M1109" s="100"/>
      <c r="N1109" s="87"/>
      <c r="O1109" s="20"/>
      <c r="P1109" s="85"/>
      <c r="Q1109" s="88"/>
      <c r="R1109" s="88"/>
      <c r="S1109" s="88"/>
      <c r="T1109" s="58" t="e">
        <f>Boosters_And!U1109/C1109</f>
        <v>#DIV/0!</v>
      </c>
      <c r="U1109" s="101"/>
      <c r="V1109" s="31"/>
    </row>
    <row r="1110" spans="1:22" s="168" customFormat="1" ht="20.250000" customHeight="1">
      <c r="A1110" s="34">
        <v>1108</v>
      </c>
      <c r="B1110" s="34"/>
      <c r="C1110" s="34"/>
      <c r="D1110" s="34"/>
      <c r="E1110" s="34"/>
      <c r="F1110" s="85"/>
      <c r="G1110" s="159"/>
      <c r="H1110" s="155"/>
      <c r="I1110" s="164"/>
      <c r="J1110" s="164"/>
      <c r="K1110" s="155"/>
      <c r="L1110" s="85"/>
      <c r="M1110" s="100"/>
      <c r="N1110" s="87"/>
      <c r="O1110" s="20"/>
      <c r="P1110" s="85"/>
      <c r="Q1110" s="88"/>
      <c r="R1110" s="88"/>
      <c r="S1110" s="88"/>
      <c r="T1110" s="58" t="e">
        <f>Boosters_And!U1110/C1110</f>
        <v>#DIV/0!</v>
      </c>
      <c r="U1110" s="101"/>
      <c r="V1110" s="31"/>
    </row>
    <row r="1111" spans="1:22" s="168" customFormat="1" ht="20.250000" customHeight="1">
      <c r="A1111" s="34">
        <v>1109</v>
      </c>
      <c r="B1111" s="34"/>
      <c r="C1111" s="34"/>
      <c r="D1111" s="34"/>
      <c r="E1111" s="34"/>
      <c r="F1111" s="85"/>
      <c r="G1111" s="159"/>
      <c r="H1111" s="155"/>
      <c r="I1111" s="164"/>
      <c r="J1111" s="164"/>
      <c r="K1111" s="155"/>
      <c r="L1111" s="85"/>
      <c r="M1111" s="100"/>
      <c r="N1111" s="87"/>
      <c r="O1111" s="20"/>
      <c r="P1111" s="85"/>
      <c r="Q1111" s="88"/>
      <c r="R1111" s="88"/>
      <c r="S1111" s="88"/>
      <c r="T1111" s="58" t="e">
        <f>Boosters_And!U1111/C1111</f>
        <v>#DIV/0!</v>
      </c>
      <c r="U1111" s="101"/>
      <c r="V1111" s="31"/>
    </row>
    <row r="1112" spans="1:22" s="168" customFormat="1" ht="20.250000" customHeight="1">
      <c r="A1112" s="34">
        <v>1110</v>
      </c>
      <c r="B1112" s="34"/>
      <c r="C1112" s="34"/>
      <c r="D1112" s="34"/>
      <c r="E1112" s="34"/>
      <c r="F1112" s="85"/>
      <c r="G1112" s="159"/>
      <c r="H1112" s="155"/>
      <c r="I1112" s="164"/>
      <c r="J1112" s="164"/>
      <c r="K1112" s="155"/>
      <c r="L1112" s="85"/>
      <c r="M1112" s="100"/>
      <c r="N1112" s="87"/>
      <c r="O1112" s="20"/>
      <c r="P1112" s="85"/>
      <c r="Q1112" s="88"/>
      <c r="R1112" s="88"/>
      <c r="S1112" s="88"/>
      <c r="T1112" s="58" t="e">
        <f>Boosters_And!U1112/C1112</f>
        <v>#DIV/0!</v>
      </c>
      <c r="U1112" s="101"/>
      <c r="V1112" s="31"/>
    </row>
    <row r="1113" spans="1:22" s="168" customFormat="1" ht="20.250000" customHeight="1">
      <c r="A1113" s="34">
        <v>1111</v>
      </c>
      <c r="B1113" s="34"/>
      <c r="C1113" s="34"/>
      <c r="D1113" s="34"/>
      <c r="E1113" s="34"/>
      <c r="F1113" s="85"/>
      <c r="G1113" s="159"/>
      <c r="H1113" s="155"/>
      <c r="I1113" s="164"/>
      <c r="J1113" s="164"/>
      <c r="K1113" s="155"/>
      <c r="L1113" s="85"/>
      <c r="M1113" s="100"/>
      <c r="N1113" s="87"/>
      <c r="O1113" s="20"/>
      <c r="P1113" s="85"/>
      <c r="Q1113" s="88"/>
      <c r="R1113" s="88"/>
      <c r="S1113" s="88"/>
      <c r="T1113" s="58" t="e">
        <f>Boosters_And!U1113/C1113</f>
        <v>#DIV/0!</v>
      </c>
      <c r="U1113" s="101"/>
      <c r="V1113" s="31"/>
    </row>
    <row r="1114" spans="1:22" s="168" customFormat="1" ht="20.250000" customHeight="1">
      <c r="A1114" s="34">
        <v>1112</v>
      </c>
      <c r="B1114" s="34"/>
      <c r="C1114" s="34"/>
      <c r="D1114" s="34"/>
      <c r="E1114" s="34"/>
      <c r="F1114" s="85"/>
      <c r="G1114" s="159"/>
      <c r="H1114" s="155"/>
      <c r="I1114" s="164"/>
      <c r="J1114" s="164"/>
      <c r="K1114" s="155"/>
      <c r="L1114" s="85"/>
      <c r="M1114" s="100"/>
      <c r="N1114" s="87"/>
      <c r="O1114" s="20"/>
      <c r="P1114" s="85"/>
      <c r="Q1114" s="88"/>
      <c r="R1114" s="88"/>
      <c r="S1114" s="88"/>
      <c r="T1114" s="58" t="e">
        <f>Boosters_And!U1114/C1114</f>
        <v>#DIV/0!</v>
      </c>
      <c r="U1114" s="101"/>
      <c r="V1114" s="31"/>
    </row>
    <row r="1115" spans="1:22" s="168" customFormat="1" ht="20.250000" customHeight="1">
      <c r="A1115" s="34">
        <v>1113</v>
      </c>
      <c r="B1115" s="34"/>
      <c r="C1115" s="34"/>
      <c r="D1115" s="34"/>
      <c r="E1115" s="34"/>
      <c r="F1115" s="85"/>
      <c r="G1115" s="159"/>
      <c r="H1115" s="155"/>
      <c r="I1115" s="164"/>
      <c r="J1115" s="164"/>
      <c r="K1115" s="155"/>
      <c r="L1115" s="85"/>
      <c r="M1115" s="100"/>
      <c r="N1115" s="87"/>
      <c r="O1115" s="20"/>
      <c r="P1115" s="85"/>
      <c r="Q1115" s="88"/>
      <c r="R1115" s="88"/>
      <c r="S1115" s="88"/>
      <c r="T1115" s="58" t="e">
        <f>Boosters_And!U1115/C1115</f>
        <v>#DIV/0!</v>
      </c>
      <c r="U1115" s="101"/>
      <c r="V1115" s="31"/>
    </row>
    <row r="1116" spans="1:22" s="168" customFormat="1" ht="20.250000" customHeight="1">
      <c r="A1116" s="34">
        <v>1114</v>
      </c>
      <c r="B1116" s="34"/>
      <c r="C1116" s="34"/>
      <c r="D1116" s="34"/>
      <c r="E1116" s="34"/>
      <c r="F1116" s="85"/>
      <c r="G1116" s="159"/>
      <c r="H1116" s="155"/>
      <c r="I1116" s="164"/>
      <c r="J1116" s="164"/>
      <c r="K1116" s="155"/>
      <c r="L1116" s="85"/>
      <c r="M1116" s="100"/>
      <c r="N1116" s="87"/>
      <c r="O1116" s="20"/>
      <c r="P1116" s="85"/>
      <c r="Q1116" s="88"/>
      <c r="R1116" s="88"/>
      <c r="S1116" s="88"/>
      <c r="T1116" s="58" t="e">
        <f>Boosters_And!U1116/C1116</f>
        <v>#DIV/0!</v>
      </c>
      <c r="U1116" s="101"/>
      <c r="V1116" s="31"/>
    </row>
    <row r="1117" spans="1:22" s="168" customFormat="1" ht="20.250000" customHeight="1">
      <c r="A1117" s="34">
        <v>1115</v>
      </c>
      <c r="B1117" s="34"/>
      <c r="C1117" s="34"/>
      <c r="D1117" s="34"/>
      <c r="E1117" s="34"/>
      <c r="F1117" s="85"/>
      <c r="G1117" s="159"/>
      <c r="H1117" s="155"/>
      <c r="I1117" s="164"/>
      <c r="J1117" s="164"/>
      <c r="K1117" s="155"/>
      <c r="L1117" s="85"/>
      <c r="M1117" s="100"/>
      <c r="N1117" s="87"/>
      <c r="O1117" s="20"/>
      <c r="P1117" s="85"/>
      <c r="Q1117" s="88"/>
      <c r="R1117" s="88"/>
      <c r="S1117" s="88"/>
      <c r="T1117" s="58" t="e">
        <f>Boosters_And!U1117/C1117</f>
        <v>#DIV/0!</v>
      </c>
      <c r="U1117" s="101"/>
      <c r="V1117" s="31"/>
    </row>
    <row r="1118" spans="1:22" s="168" customFormat="1" ht="20.250000" customHeight="1">
      <c r="A1118" s="34">
        <v>1116</v>
      </c>
      <c r="B1118" s="34"/>
      <c r="C1118" s="34"/>
      <c r="D1118" s="34"/>
      <c r="E1118" s="34"/>
      <c r="F1118" s="85"/>
      <c r="G1118" s="159"/>
      <c r="H1118" s="155"/>
      <c r="I1118" s="164"/>
      <c r="J1118" s="164"/>
      <c r="K1118" s="155"/>
      <c r="L1118" s="85"/>
      <c r="M1118" s="100"/>
      <c r="N1118" s="87"/>
      <c r="O1118" s="20"/>
      <c r="P1118" s="85"/>
      <c r="Q1118" s="88"/>
      <c r="R1118" s="88"/>
      <c r="S1118" s="88"/>
      <c r="T1118" s="58" t="e">
        <f>Boosters_And!U1118/C1118</f>
        <v>#DIV/0!</v>
      </c>
      <c r="U1118" s="101"/>
      <c r="V1118" s="31"/>
    </row>
    <row r="1119" spans="1:22" s="168" customFormat="1" ht="20.250000" customHeight="1">
      <c r="A1119" s="34">
        <v>1117</v>
      </c>
      <c r="B1119" s="34"/>
      <c r="C1119" s="34"/>
      <c r="D1119" s="34"/>
      <c r="E1119" s="34"/>
      <c r="F1119" s="85"/>
      <c r="G1119" s="159"/>
      <c r="H1119" s="155"/>
      <c r="I1119" s="164"/>
      <c r="J1119" s="164"/>
      <c r="K1119" s="155"/>
      <c r="L1119" s="85"/>
      <c r="M1119" s="100"/>
      <c r="N1119" s="87"/>
      <c r="O1119" s="20"/>
      <c r="P1119" s="85"/>
      <c r="Q1119" s="88"/>
      <c r="R1119" s="88"/>
      <c r="S1119" s="88"/>
      <c r="T1119" s="58" t="e">
        <f>Boosters_And!U1119/C1119</f>
        <v>#DIV/0!</v>
      </c>
      <c r="U1119" s="101"/>
      <c r="V1119" s="31"/>
    </row>
    <row r="1120" spans="1:22" s="168" customFormat="1" ht="20.250000" customHeight="1">
      <c r="A1120" s="34">
        <v>1118</v>
      </c>
      <c r="B1120" s="34"/>
      <c r="C1120" s="34"/>
      <c r="D1120" s="34"/>
      <c r="E1120" s="34"/>
      <c r="F1120" s="85"/>
      <c r="G1120" s="159"/>
      <c r="H1120" s="155"/>
      <c r="I1120" s="164"/>
      <c r="J1120" s="164"/>
      <c r="K1120" s="155"/>
      <c r="L1120" s="85"/>
      <c r="M1120" s="100"/>
      <c r="N1120" s="87"/>
      <c r="O1120" s="20"/>
      <c r="P1120" s="85"/>
      <c r="Q1120" s="88"/>
      <c r="R1120" s="88"/>
      <c r="S1120" s="88"/>
      <c r="T1120" s="58" t="e">
        <f>Boosters_And!U1120/C1120</f>
        <v>#DIV/0!</v>
      </c>
      <c r="U1120" s="101"/>
      <c r="V1120" s="31"/>
    </row>
    <row r="1121" spans="1:22" s="168" customFormat="1" ht="20.250000" customHeight="1">
      <c r="A1121" s="34">
        <v>1119</v>
      </c>
      <c r="B1121" s="34"/>
      <c r="C1121" s="34"/>
      <c r="D1121" s="34"/>
      <c r="E1121" s="34"/>
      <c r="F1121" s="85"/>
      <c r="G1121" s="159"/>
      <c r="H1121" s="155"/>
      <c r="I1121" s="164"/>
      <c r="J1121" s="164"/>
      <c r="K1121" s="155"/>
      <c r="L1121" s="85"/>
      <c r="M1121" s="100"/>
      <c r="N1121" s="87"/>
      <c r="O1121" s="20"/>
      <c r="P1121" s="85"/>
      <c r="Q1121" s="88"/>
      <c r="R1121" s="88"/>
      <c r="S1121" s="88"/>
      <c r="T1121" s="58" t="e">
        <f>Boosters_And!U1121/C1121</f>
        <v>#DIV/0!</v>
      </c>
      <c r="U1121" s="101"/>
      <c r="V1121" s="31"/>
    </row>
    <row r="1122" spans="1:22" s="168" customFormat="1" ht="20.250000" customHeight="1">
      <c r="A1122" s="34">
        <v>1120</v>
      </c>
      <c r="B1122" s="34"/>
      <c r="C1122" s="34"/>
      <c r="D1122" s="34"/>
      <c r="E1122" s="34"/>
      <c r="F1122" s="85"/>
      <c r="G1122" s="159"/>
      <c r="H1122" s="155"/>
      <c r="I1122" s="164"/>
      <c r="J1122" s="164"/>
      <c r="K1122" s="155"/>
      <c r="L1122" s="85"/>
      <c r="M1122" s="100"/>
      <c r="N1122" s="87"/>
      <c r="O1122" s="20"/>
      <c r="P1122" s="85"/>
      <c r="Q1122" s="88"/>
      <c r="R1122" s="88"/>
      <c r="S1122" s="88"/>
      <c r="T1122" s="58" t="e">
        <f>Boosters_And!U1122/C1122</f>
        <v>#DIV/0!</v>
      </c>
      <c r="U1122" s="101"/>
      <c r="V1122" s="31"/>
    </row>
    <row r="1123" spans="1:22" s="168" customFormat="1" ht="20.250000" customHeight="1">
      <c r="A1123" s="34">
        <v>1121</v>
      </c>
      <c r="B1123" s="34"/>
      <c r="C1123" s="34"/>
      <c r="D1123" s="34"/>
      <c r="E1123" s="34"/>
      <c r="F1123" s="85"/>
      <c r="G1123" s="159"/>
      <c r="H1123" s="155"/>
      <c r="I1123" s="164"/>
      <c r="J1123" s="164"/>
      <c r="K1123" s="155"/>
      <c r="L1123" s="85"/>
      <c r="M1123" s="100"/>
      <c r="N1123" s="87"/>
      <c r="O1123" s="20"/>
      <c r="P1123" s="85"/>
      <c r="Q1123" s="88"/>
      <c r="R1123" s="88"/>
      <c r="S1123" s="88"/>
      <c r="T1123" s="58" t="e">
        <f>Boosters_And!U1123/C1123</f>
        <v>#DIV/0!</v>
      </c>
      <c r="U1123" s="101"/>
      <c r="V1123" s="31"/>
    </row>
    <row r="1124" spans="1:22" s="168" customFormat="1" ht="20.250000" customHeight="1">
      <c r="A1124" s="34">
        <v>1122</v>
      </c>
      <c r="B1124" s="34"/>
      <c r="C1124" s="34"/>
      <c r="D1124" s="34"/>
      <c r="E1124" s="34"/>
      <c r="F1124" s="85"/>
      <c r="G1124" s="159"/>
      <c r="H1124" s="155"/>
      <c r="I1124" s="164"/>
      <c r="J1124" s="164"/>
      <c r="K1124" s="155"/>
      <c r="L1124" s="85"/>
      <c r="M1124" s="100"/>
      <c r="N1124" s="87"/>
      <c r="O1124" s="20"/>
      <c r="P1124" s="85"/>
      <c r="Q1124" s="88"/>
      <c r="R1124" s="88"/>
      <c r="S1124" s="88"/>
      <c r="T1124" s="58" t="e">
        <f>Boosters_And!U1124/C1124</f>
        <v>#DIV/0!</v>
      </c>
      <c r="U1124" s="101"/>
      <c r="V1124" s="31"/>
    </row>
    <row r="1125" spans="1:22" s="168" customFormat="1" ht="20.250000" customHeight="1">
      <c r="A1125" s="34">
        <v>1123</v>
      </c>
      <c r="B1125" s="34"/>
      <c r="C1125" s="34"/>
      <c r="D1125" s="34"/>
      <c r="E1125" s="34"/>
      <c r="F1125" s="85"/>
      <c r="G1125" s="159"/>
      <c r="H1125" s="155"/>
      <c r="I1125" s="164"/>
      <c r="J1125" s="164"/>
      <c r="K1125" s="155"/>
      <c r="L1125" s="85"/>
      <c r="M1125" s="100"/>
      <c r="N1125" s="87"/>
      <c r="O1125" s="20"/>
      <c r="P1125" s="85"/>
      <c r="Q1125" s="88"/>
      <c r="R1125" s="88"/>
      <c r="S1125" s="88"/>
      <c r="T1125" s="58" t="e">
        <f>Boosters_And!U1125/C1125</f>
        <v>#DIV/0!</v>
      </c>
      <c r="U1125" s="101"/>
      <c r="V1125" s="31"/>
    </row>
    <row r="1126" spans="1:22" s="168" customFormat="1" ht="20.250000" customHeight="1">
      <c r="A1126" s="34">
        <v>1124</v>
      </c>
      <c r="B1126" s="34"/>
      <c r="C1126" s="34"/>
      <c r="D1126" s="34"/>
      <c r="E1126" s="34"/>
      <c r="F1126" s="85"/>
      <c r="G1126" s="159"/>
      <c r="H1126" s="155"/>
      <c r="I1126" s="164"/>
      <c r="J1126" s="164"/>
      <c r="K1126" s="155"/>
      <c r="L1126" s="85"/>
      <c r="M1126" s="100"/>
      <c r="N1126" s="87"/>
      <c r="O1126" s="20"/>
      <c r="P1126" s="85"/>
      <c r="Q1126" s="88"/>
      <c r="R1126" s="88"/>
      <c r="S1126" s="88"/>
      <c r="T1126" s="58" t="e">
        <f>Boosters_And!U1126/C1126</f>
        <v>#DIV/0!</v>
      </c>
      <c r="U1126" s="101"/>
      <c r="V1126" s="31"/>
    </row>
    <row r="1127" spans="1:22" s="168" customFormat="1" ht="20.250000" customHeight="1">
      <c r="A1127" s="34">
        <v>1125</v>
      </c>
      <c r="B1127" s="34"/>
      <c r="C1127" s="34"/>
      <c r="D1127" s="34"/>
      <c r="E1127" s="34"/>
      <c r="F1127" s="85"/>
      <c r="G1127" s="159"/>
      <c r="H1127" s="155"/>
      <c r="I1127" s="164"/>
      <c r="J1127" s="164"/>
      <c r="K1127" s="155"/>
      <c r="L1127" s="85"/>
      <c r="M1127" s="100"/>
      <c r="N1127" s="87"/>
      <c r="O1127" s="20"/>
      <c r="P1127" s="85"/>
      <c r="Q1127" s="88"/>
      <c r="R1127" s="88"/>
      <c r="S1127" s="88"/>
      <c r="T1127" s="58" t="e">
        <f>Boosters_And!U1127/C1127</f>
        <v>#DIV/0!</v>
      </c>
      <c r="U1127" s="101"/>
      <c r="V1127" s="31"/>
    </row>
    <row r="1128" spans="1:22" s="168" customFormat="1" ht="20.250000" customHeight="1">
      <c r="A1128" s="34">
        <v>1126</v>
      </c>
      <c r="B1128" s="34"/>
      <c r="C1128" s="34"/>
      <c r="D1128" s="34"/>
      <c r="E1128" s="34"/>
      <c r="F1128" s="85"/>
      <c r="G1128" s="159"/>
      <c r="H1128" s="155"/>
      <c r="I1128" s="164"/>
      <c r="J1128" s="164"/>
      <c r="K1128" s="155"/>
      <c r="L1128" s="85"/>
      <c r="M1128" s="100"/>
      <c r="N1128" s="87"/>
      <c r="O1128" s="20"/>
      <c r="P1128" s="85"/>
      <c r="Q1128" s="88"/>
      <c r="R1128" s="88"/>
      <c r="S1128" s="88"/>
      <c r="T1128" s="58" t="e">
        <f>Boosters_And!U1128/C1128</f>
        <v>#DIV/0!</v>
      </c>
      <c r="U1128" s="101"/>
      <c r="V1128" s="31"/>
    </row>
    <row r="1129" spans="1:22" s="168" customFormat="1" ht="20.250000" customHeight="1">
      <c r="A1129" s="34">
        <v>1127</v>
      </c>
      <c r="B1129" s="34"/>
      <c r="C1129" s="34"/>
      <c r="D1129" s="34"/>
      <c r="E1129" s="34"/>
      <c r="F1129" s="85"/>
      <c r="G1129" s="159"/>
      <c r="H1129" s="155"/>
      <c r="I1129" s="164"/>
      <c r="J1129" s="164"/>
      <c r="K1129" s="155"/>
      <c r="L1129" s="85"/>
      <c r="M1129" s="100"/>
      <c r="N1129" s="87"/>
      <c r="O1129" s="20"/>
      <c r="P1129" s="85"/>
      <c r="Q1129" s="88"/>
      <c r="R1129" s="88"/>
      <c r="S1129" s="88"/>
      <c r="T1129" s="58" t="e">
        <f>Boosters_And!U1129/C1129</f>
        <v>#DIV/0!</v>
      </c>
      <c r="U1129" s="101"/>
      <c r="V1129" s="31"/>
    </row>
    <row r="1130" spans="1:22" s="168" customFormat="1" ht="20.250000" customHeight="1">
      <c r="A1130" s="34">
        <v>1128</v>
      </c>
      <c r="B1130" s="34"/>
      <c r="C1130" s="34"/>
      <c r="D1130" s="34"/>
      <c r="E1130" s="34"/>
      <c r="F1130" s="85"/>
      <c r="G1130" s="159"/>
      <c r="H1130" s="155"/>
      <c r="I1130" s="164"/>
      <c r="J1130" s="164"/>
      <c r="K1130" s="155"/>
      <c r="L1130" s="85"/>
      <c r="M1130" s="100"/>
      <c r="N1130" s="87"/>
      <c r="O1130" s="20"/>
      <c r="P1130" s="85"/>
      <c r="Q1130" s="88"/>
      <c r="R1130" s="88"/>
      <c r="S1130" s="88"/>
      <c r="T1130" s="58" t="e">
        <f>Boosters_And!U1130/C1130</f>
        <v>#DIV/0!</v>
      </c>
      <c r="U1130" s="101"/>
      <c r="V1130" s="31"/>
    </row>
    <row r="1131" spans="1:22" s="168" customFormat="1" ht="20.250000" customHeight="1">
      <c r="A1131" s="34">
        <v>1129</v>
      </c>
      <c r="B1131" s="34"/>
      <c r="C1131" s="34"/>
      <c r="D1131" s="34"/>
      <c r="E1131" s="34"/>
      <c r="F1131" s="85"/>
      <c r="G1131" s="159"/>
      <c r="H1131" s="155"/>
      <c r="I1131" s="164"/>
      <c r="J1131" s="164"/>
      <c r="K1131" s="155"/>
      <c r="L1131" s="85"/>
      <c r="M1131" s="100"/>
      <c r="N1131" s="87"/>
      <c r="O1131" s="20"/>
      <c r="P1131" s="85"/>
      <c r="Q1131" s="88"/>
      <c r="R1131" s="88"/>
      <c r="S1131" s="88"/>
      <c r="T1131" s="58" t="e">
        <f>Boosters_And!U1131/C1131</f>
        <v>#DIV/0!</v>
      </c>
      <c r="U1131" s="101"/>
      <c r="V1131" s="31"/>
    </row>
    <row r="1132" spans="1:22" s="168" customFormat="1" ht="20.250000" customHeight="1">
      <c r="A1132" s="34">
        <v>1130</v>
      </c>
      <c r="B1132" s="34"/>
      <c r="C1132" s="34"/>
      <c r="D1132" s="34"/>
      <c r="E1132" s="34"/>
      <c r="F1132" s="85"/>
      <c r="G1132" s="159"/>
      <c r="H1132" s="155"/>
      <c r="I1132" s="164"/>
      <c r="J1132" s="164"/>
      <c r="K1132" s="155"/>
      <c r="L1132" s="85"/>
      <c r="M1132" s="100"/>
      <c r="N1132" s="87"/>
      <c r="O1132" s="20"/>
      <c r="P1132" s="85"/>
      <c r="Q1132" s="88"/>
      <c r="R1132" s="88"/>
      <c r="S1132" s="88"/>
      <c r="T1132" s="58" t="e">
        <f>Boosters_And!U1132/C1132</f>
        <v>#DIV/0!</v>
      </c>
      <c r="U1132" s="101"/>
      <c r="V1132" s="31"/>
    </row>
    <row r="1133" spans="1:22" s="168" customFormat="1" ht="20.250000" customHeight="1">
      <c r="A1133" s="34">
        <v>1131</v>
      </c>
      <c r="B1133" s="34"/>
      <c r="C1133" s="34"/>
      <c r="D1133" s="34"/>
      <c r="E1133" s="34"/>
      <c r="F1133" s="85"/>
      <c r="G1133" s="159"/>
      <c r="H1133" s="155"/>
      <c r="I1133" s="164"/>
      <c r="J1133" s="164"/>
      <c r="K1133" s="155"/>
      <c r="L1133" s="85"/>
      <c r="M1133" s="100"/>
      <c r="N1133" s="87"/>
      <c r="O1133" s="20"/>
      <c r="P1133" s="85"/>
      <c r="Q1133" s="88"/>
      <c r="R1133" s="88"/>
      <c r="S1133" s="88"/>
      <c r="T1133" s="58" t="e">
        <f>Boosters_And!U1133/C1133</f>
        <v>#DIV/0!</v>
      </c>
      <c r="U1133" s="101"/>
      <c r="V1133" s="31"/>
    </row>
    <row r="1134" spans="1:22" s="168" customFormat="1" ht="20.250000" customHeight="1">
      <c r="A1134" s="34">
        <v>1132</v>
      </c>
      <c r="B1134" s="34"/>
      <c r="C1134" s="34"/>
      <c r="D1134" s="34"/>
      <c r="E1134" s="34"/>
      <c r="F1134" s="85"/>
      <c r="G1134" s="159"/>
      <c r="H1134" s="155"/>
      <c r="I1134" s="164"/>
      <c r="J1134" s="164"/>
      <c r="K1134" s="155"/>
      <c r="L1134" s="85"/>
      <c r="M1134" s="100"/>
      <c r="N1134" s="87"/>
      <c r="O1134" s="20"/>
      <c r="P1134" s="85"/>
      <c r="Q1134" s="88"/>
      <c r="R1134" s="88"/>
      <c r="S1134" s="88"/>
      <c r="T1134" s="58" t="e">
        <f>Boosters_And!U1134/C1134</f>
        <v>#DIV/0!</v>
      </c>
      <c r="U1134" s="101"/>
      <c r="V1134" s="31"/>
    </row>
    <row r="1135" spans="1:22" s="168" customFormat="1" ht="20.250000" customHeight="1">
      <c r="A1135" s="34">
        <v>1133</v>
      </c>
      <c r="B1135" s="34"/>
      <c r="C1135" s="34"/>
      <c r="D1135" s="34"/>
      <c r="E1135" s="34"/>
      <c r="F1135" s="85"/>
      <c r="G1135" s="159"/>
      <c r="H1135" s="155"/>
      <c r="I1135" s="164"/>
      <c r="J1135" s="164"/>
      <c r="K1135" s="155"/>
      <c r="L1135" s="85"/>
      <c r="M1135" s="100"/>
      <c r="N1135" s="87"/>
      <c r="O1135" s="20"/>
      <c r="P1135" s="85"/>
      <c r="Q1135" s="88"/>
      <c r="R1135" s="88"/>
      <c r="S1135" s="88"/>
      <c r="T1135" s="58" t="e">
        <f>Boosters_And!U1135/C1135</f>
        <v>#DIV/0!</v>
      </c>
      <c r="U1135" s="101"/>
      <c r="V1135" s="31"/>
    </row>
    <row r="1136" spans="1:22" s="168" customFormat="1" ht="20.250000" customHeight="1">
      <c r="A1136" s="34">
        <v>1134</v>
      </c>
      <c r="B1136" s="34"/>
      <c r="C1136" s="34"/>
      <c r="D1136" s="34"/>
      <c r="E1136" s="34"/>
      <c r="F1136" s="85"/>
      <c r="G1136" s="159"/>
      <c r="H1136" s="155"/>
      <c r="I1136" s="164"/>
      <c r="J1136" s="164"/>
      <c r="K1136" s="155"/>
      <c r="L1136" s="85"/>
      <c r="M1136" s="100"/>
      <c r="N1136" s="87"/>
      <c r="O1136" s="20"/>
      <c r="P1136" s="85"/>
      <c r="Q1136" s="88"/>
      <c r="R1136" s="88"/>
      <c r="S1136" s="88"/>
      <c r="T1136" s="58" t="e">
        <f>Boosters_And!U1136/C1136</f>
        <v>#DIV/0!</v>
      </c>
      <c r="U1136" s="101"/>
      <c r="V1136" s="31"/>
    </row>
    <row r="1137" spans="1:22" s="168" customFormat="1" ht="20.250000" customHeight="1">
      <c r="A1137" s="34">
        <v>1135</v>
      </c>
      <c r="B1137" s="34"/>
      <c r="C1137" s="34"/>
      <c r="D1137" s="34"/>
      <c r="E1137" s="34"/>
      <c r="F1137" s="85"/>
      <c r="G1137" s="159"/>
      <c r="H1137" s="155"/>
      <c r="I1137" s="164"/>
      <c r="J1137" s="164"/>
      <c r="K1137" s="155"/>
      <c r="L1137" s="85"/>
      <c r="M1137" s="100"/>
      <c r="N1137" s="87"/>
      <c r="O1137" s="20"/>
      <c r="P1137" s="85"/>
      <c r="Q1137" s="88"/>
      <c r="R1137" s="88"/>
      <c r="S1137" s="88"/>
      <c r="T1137" s="58" t="e">
        <f>Boosters_And!U1137/C1137</f>
        <v>#DIV/0!</v>
      </c>
      <c r="U1137" s="101"/>
      <c r="V1137" s="31"/>
    </row>
    <row r="1138" spans="1:22" s="168" customFormat="1" ht="20.250000" customHeight="1">
      <c r="A1138" s="34">
        <v>1136</v>
      </c>
      <c r="B1138" s="34"/>
      <c r="C1138" s="34"/>
      <c r="D1138" s="34"/>
      <c r="E1138" s="34"/>
      <c r="F1138" s="85"/>
      <c r="G1138" s="159"/>
      <c r="H1138" s="155"/>
      <c r="I1138" s="164"/>
      <c r="J1138" s="164"/>
      <c r="K1138" s="155"/>
      <c r="L1138" s="85"/>
      <c r="M1138" s="100"/>
      <c r="N1138" s="87"/>
      <c r="O1138" s="20"/>
      <c r="P1138" s="85"/>
      <c r="Q1138" s="88"/>
      <c r="R1138" s="88"/>
      <c r="S1138" s="88"/>
      <c r="T1138" s="58" t="e">
        <f>Boosters_And!U1138/C1138</f>
        <v>#DIV/0!</v>
      </c>
      <c r="U1138" s="101"/>
      <c r="V1138" s="31"/>
    </row>
    <row r="1139" spans="1:22" s="168" customFormat="1" ht="20.250000" customHeight="1">
      <c r="A1139" s="34">
        <v>1137</v>
      </c>
      <c r="B1139" s="34"/>
      <c r="C1139" s="34"/>
      <c r="D1139" s="34"/>
      <c r="E1139" s="34"/>
      <c r="F1139" s="85"/>
      <c r="G1139" s="159"/>
      <c r="H1139" s="155"/>
      <c r="I1139" s="164"/>
      <c r="J1139" s="164"/>
      <c r="K1139" s="155"/>
      <c r="L1139" s="85"/>
      <c r="M1139" s="100"/>
      <c r="N1139" s="87"/>
      <c r="O1139" s="20"/>
      <c r="P1139" s="85"/>
      <c r="Q1139" s="88"/>
      <c r="R1139" s="88"/>
      <c r="S1139" s="88"/>
      <c r="T1139" s="58" t="e">
        <f>Boosters_And!U1139/C1139</f>
        <v>#DIV/0!</v>
      </c>
      <c r="U1139" s="101"/>
      <c r="V1139" s="31"/>
    </row>
    <row r="1140" spans="1:22" s="168" customFormat="1" ht="20.250000" customHeight="1">
      <c r="A1140" s="34">
        <v>1138</v>
      </c>
      <c r="B1140" s="34"/>
      <c r="C1140" s="34"/>
      <c r="D1140" s="34"/>
      <c r="E1140" s="34"/>
      <c r="F1140" s="85"/>
      <c r="G1140" s="159"/>
      <c r="H1140" s="155"/>
      <c r="I1140" s="164"/>
      <c r="J1140" s="164"/>
      <c r="K1140" s="155"/>
      <c r="L1140" s="85"/>
      <c r="M1140" s="100"/>
      <c r="N1140" s="87"/>
      <c r="O1140" s="20"/>
      <c r="P1140" s="85"/>
      <c r="Q1140" s="88"/>
      <c r="R1140" s="88"/>
      <c r="S1140" s="88"/>
      <c r="T1140" s="58" t="e">
        <f>Boosters_And!U1140/C1140</f>
        <v>#DIV/0!</v>
      </c>
      <c r="U1140" s="101"/>
      <c r="V1140" s="31"/>
    </row>
    <row r="1141" spans="1:22" s="168" customFormat="1" ht="20.250000" customHeight="1">
      <c r="A1141" s="34">
        <v>1139</v>
      </c>
      <c r="B1141" s="34"/>
      <c r="C1141" s="34"/>
      <c r="D1141" s="34"/>
      <c r="E1141" s="34"/>
      <c r="F1141" s="85"/>
      <c r="G1141" s="159"/>
      <c r="H1141" s="155"/>
      <c r="I1141" s="164"/>
      <c r="J1141" s="164"/>
      <c r="K1141" s="155"/>
      <c r="L1141" s="85"/>
      <c r="M1141" s="100"/>
      <c r="N1141" s="87"/>
      <c r="O1141" s="20"/>
      <c r="P1141" s="85"/>
      <c r="Q1141" s="88"/>
      <c r="R1141" s="88"/>
      <c r="S1141" s="88"/>
      <c r="T1141" s="58" t="e">
        <f>Boosters_And!U1141/C1141</f>
        <v>#DIV/0!</v>
      </c>
      <c r="U1141" s="101"/>
      <c r="V1141" s="31"/>
    </row>
    <row r="1142" spans="1:22" s="168" customFormat="1" ht="20.250000" customHeight="1">
      <c r="A1142" s="34">
        <v>1140</v>
      </c>
      <c r="B1142" s="34"/>
      <c r="C1142" s="34"/>
      <c r="D1142" s="34"/>
      <c r="E1142" s="34"/>
      <c r="F1142" s="85"/>
      <c r="G1142" s="159"/>
      <c r="H1142" s="155"/>
      <c r="I1142" s="164"/>
      <c r="J1142" s="164"/>
      <c r="K1142" s="155"/>
      <c r="L1142" s="85"/>
      <c r="M1142" s="100"/>
      <c r="N1142" s="87"/>
      <c r="O1142" s="20"/>
      <c r="P1142" s="85"/>
      <c r="Q1142" s="88"/>
      <c r="R1142" s="88"/>
      <c r="S1142" s="88"/>
      <c r="T1142" s="58" t="e">
        <f>Boosters_And!U1142/C1142</f>
        <v>#DIV/0!</v>
      </c>
      <c r="U1142" s="101"/>
      <c r="V1142" s="31"/>
    </row>
    <row r="1143" spans="1:22" s="168" customFormat="1" ht="20.250000" customHeight="1">
      <c r="A1143" s="34">
        <v>1141</v>
      </c>
      <c r="B1143" s="34"/>
      <c r="C1143" s="34"/>
      <c r="D1143" s="34"/>
      <c r="E1143" s="34"/>
      <c r="F1143" s="85"/>
      <c r="G1143" s="159"/>
      <c r="H1143" s="155"/>
      <c r="I1143" s="164"/>
      <c r="J1143" s="164"/>
      <c r="K1143" s="155"/>
      <c r="L1143" s="85"/>
      <c r="M1143" s="100"/>
      <c r="N1143" s="87"/>
      <c r="O1143" s="20"/>
      <c r="P1143" s="85"/>
      <c r="Q1143" s="88"/>
      <c r="R1143" s="88"/>
      <c r="S1143" s="88"/>
      <c r="T1143" s="58" t="e">
        <f>Boosters_And!U1143/C1143</f>
        <v>#DIV/0!</v>
      </c>
      <c r="U1143" s="101"/>
      <c r="V1143" s="31"/>
    </row>
    <row r="1144" spans="1:22" s="168" customFormat="1" ht="20.250000" customHeight="1">
      <c r="A1144" s="34">
        <v>1142</v>
      </c>
      <c r="B1144" s="34"/>
      <c r="C1144" s="34"/>
      <c r="D1144" s="34"/>
      <c r="E1144" s="34"/>
      <c r="F1144" s="85"/>
      <c r="G1144" s="159"/>
      <c r="H1144" s="155"/>
      <c r="I1144" s="164"/>
      <c r="J1144" s="164"/>
      <c r="K1144" s="155"/>
      <c r="L1144" s="85"/>
      <c r="M1144" s="100"/>
      <c r="N1144" s="87"/>
      <c r="O1144" s="20"/>
      <c r="P1144" s="85"/>
      <c r="Q1144" s="88"/>
      <c r="R1144" s="88"/>
      <c r="S1144" s="88"/>
      <c r="T1144" s="58" t="e">
        <f>Boosters_And!U1144/C1144</f>
        <v>#DIV/0!</v>
      </c>
      <c r="U1144" s="101"/>
      <c r="V1144" s="31"/>
    </row>
    <row r="1145" spans="1:22" s="168" customFormat="1" ht="20.250000" customHeight="1">
      <c r="A1145" s="34">
        <v>1143</v>
      </c>
      <c r="B1145" s="34"/>
      <c r="C1145" s="34"/>
      <c r="D1145" s="34"/>
      <c r="E1145" s="34"/>
      <c r="F1145" s="85"/>
      <c r="G1145" s="159"/>
      <c r="H1145" s="155"/>
      <c r="I1145" s="164"/>
      <c r="J1145" s="164"/>
      <c r="K1145" s="155"/>
      <c r="L1145" s="85"/>
      <c r="M1145" s="100"/>
      <c r="N1145" s="87"/>
      <c r="O1145" s="20"/>
      <c r="P1145" s="85"/>
      <c r="Q1145" s="88"/>
      <c r="R1145" s="88"/>
      <c r="S1145" s="88"/>
      <c r="T1145" s="58" t="e">
        <f>Boosters_And!U1145/C1145</f>
        <v>#DIV/0!</v>
      </c>
      <c r="U1145" s="101"/>
      <c r="V1145" s="31"/>
    </row>
    <row r="1146" spans="1:22" s="168" customFormat="1" ht="20.250000" customHeight="1">
      <c r="A1146" s="34">
        <v>1144</v>
      </c>
      <c r="B1146" s="34"/>
      <c r="C1146" s="34"/>
      <c r="D1146" s="34"/>
      <c r="E1146" s="34"/>
      <c r="F1146" s="85"/>
      <c r="G1146" s="159"/>
      <c r="H1146" s="155"/>
      <c r="I1146" s="164"/>
      <c r="J1146" s="164"/>
      <c r="K1146" s="155"/>
      <c r="L1146" s="85"/>
      <c r="M1146" s="100"/>
      <c r="N1146" s="87"/>
      <c r="O1146" s="20"/>
      <c r="P1146" s="85"/>
      <c r="Q1146" s="88"/>
      <c r="R1146" s="88"/>
      <c r="S1146" s="88"/>
      <c r="T1146" s="58" t="e">
        <f>Boosters_And!U1146/C1146</f>
        <v>#DIV/0!</v>
      </c>
      <c r="U1146" s="101"/>
      <c r="V1146" s="31"/>
    </row>
    <row r="1147" spans="1:22" s="168" customFormat="1" ht="20.250000" customHeight="1">
      <c r="A1147" s="34">
        <v>1145</v>
      </c>
      <c r="B1147" s="34"/>
      <c r="C1147" s="34"/>
      <c r="D1147" s="34"/>
      <c r="E1147" s="34"/>
      <c r="F1147" s="85"/>
      <c r="G1147" s="159"/>
      <c r="H1147" s="155"/>
      <c r="I1147" s="164"/>
      <c r="J1147" s="164"/>
      <c r="K1147" s="155"/>
      <c r="L1147" s="85"/>
      <c r="M1147" s="100"/>
      <c r="N1147" s="87"/>
      <c r="O1147" s="20"/>
      <c r="P1147" s="85"/>
      <c r="Q1147" s="88"/>
      <c r="R1147" s="88"/>
      <c r="S1147" s="88"/>
      <c r="T1147" s="58" t="e">
        <f>Boosters_And!U1147/C1147</f>
        <v>#DIV/0!</v>
      </c>
      <c r="U1147" s="101"/>
      <c r="V1147" s="31"/>
    </row>
    <row r="1148" spans="1:22" s="168" customFormat="1" ht="20.250000" customHeight="1">
      <c r="A1148" s="34">
        <v>1146</v>
      </c>
      <c r="B1148" s="34"/>
      <c r="C1148" s="34"/>
      <c r="D1148" s="34"/>
      <c r="E1148" s="34"/>
      <c r="F1148" s="85"/>
      <c r="G1148" s="159"/>
      <c r="H1148" s="155"/>
      <c r="I1148" s="164"/>
      <c r="J1148" s="164"/>
      <c r="K1148" s="155"/>
      <c r="L1148" s="85"/>
      <c r="M1148" s="100"/>
      <c r="N1148" s="87"/>
      <c r="O1148" s="20"/>
      <c r="P1148" s="85"/>
      <c r="Q1148" s="88"/>
      <c r="R1148" s="88"/>
      <c r="S1148" s="88"/>
      <c r="T1148" s="58" t="e">
        <f>Boosters_And!U1148/C1148</f>
        <v>#DIV/0!</v>
      </c>
      <c r="U1148" s="101"/>
      <c r="V1148" s="31"/>
    </row>
    <row r="1149" spans="1:22" s="168" customFormat="1" ht="20.250000" customHeight="1">
      <c r="A1149" s="34">
        <v>1147</v>
      </c>
      <c r="B1149" s="34"/>
      <c r="C1149" s="34"/>
      <c r="D1149" s="34"/>
      <c r="E1149" s="34"/>
      <c r="F1149" s="85"/>
      <c r="G1149" s="159"/>
      <c r="H1149" s="155"/>
      <c r="I1149" s="164"/>
      <c r="J1149" s="164"/>
      <c r="K1149" s="155"/>
      <c r="L1149" s="85"/>
      <c r="M1149" s="100"/>
      <c r="N1149" s="87"/>
      <c r="O1149" s="20"/>
      <c r="P1149" s="85"/>
      <c r="Q1149" s="88"/>
      <c r="R1149" s="88"/>
      <c r="S1149" s="88"/>
      <c r="T1149" s="58" t="e">
        <f>Boosters_And!U1149/C1149</f>
        <v>#DIV/0!</v>
      </c>
      <c r="U1149" s="101"/>
      <c r="V1149" s="31"/>
    </row>
    <row r="1150" spans="1:22" s="168" customFormat="1" ht="20.250000" customHeight="1">
      <c r="A1150" s="34">
        <v>1148</v>
      </c>
      <c r="B1150" s="34"/>
      <c r="C1150" s="34"/>
      <c r="D1150" s="34"/>
      <c r="E1150" s="34"/>
      <c r="F1150" s="85"/>
      <c r="G1150" s="159"/>
      <c r="H1150" s="155"/>
      <c r="I1150" s="164"/>
      <c r="J1150" s="164"/>
      <c r="K1150" s="155"/>
      <c r="L1150" s="85"/>
      <c r="M1150" s="100"/>
      <c r="N1150" s="87"/>
      <c r="O1150" s="20"/>
      <c r="P1150" s="85"/>
      <c r="Q1150" s="88"/>
      <c r="R1150" s="88"/>
      <c r="S1150" s="88"/>
      <c r="T1150" s="58" t="e">
        <f>Boosters_And!U1150/C1150</f>
        <v>#DIV/0!</v>
      </c>
      <c r="U1150" s="101"/>
      <c r="V1150" s="31"/>
    </row>
    <row r="1151" spans="1:22" s="168" customFormat="1" ht="20.250000" customHeight="1">
      <c r="A1151" s="34">
        <v>1149</v>
      </c>
      <c r="B1151" s="34"/>
      <c r="C1151" s="34"/>
      <c r="D1151" s="34"/>
      <c r="E1151" s="34"/>
      <c r="F1151" s="85"/>
      <c r="G1151" s="159"/>
      <c r="H1151" s="155"/>
      <c r="I1151" s="164"/>
      <c r="J1151" s="164"/>
      <c r="K1151" s="155"/>
      <c r="L1151" s="85"/>
      <c r="M1151" s="100"/>
      <c r="N1151" s="87"/>
      <c r="O1151" s="20"/>
      <c r="P1151" s="85"/>
      <c r="Q1151" s="88"/>
      <c r="R1151" s="88"/>
      <c r="S1151" s="88"/>
      <c r="T1151" s="58" t="e">
        <f>Boosters_And!U1151/C1151</f>
        <v>#DIV/0!</v>
      </c>
      <c r="U1151" s="101"/>
      <c r="V1151" s="31"/>
    </row>
    <row r="1152" spans="1:22" s="168" customFormat="1" ht="20.250000" customHeight="1">
      <c r="A1152" s="34">
        <v>1150</v>
      </c>
      <c r="B1152" s="34"/>
      <c r="C1152" s="34"/>
      <c r="D1152" s="34"/>
      <c r="E1152" s="34"/>
      <c r="F1152" s="85"/>
      <c r="G1152" s="159"/>
      <c r="H1152" s="155"/>
      <c r="I1152" s="164"/>
      <c r="J1152" s="164"/>
      <c r="K1152" s="155"/>
      <c r="L1152" s="85"/>
      <c r="M1152" s="100"/>
      <c r="N1152" s="87"/>
      <c r="O1152" s="20"/>
      <c r="P1152" s="85"/>
      <c r="Q1152" s="88"/>
      <c r="R1152" s="88"/>
      <c r="S1152" s="88"/>
      <c r="T1152" s="58" t="e">
        <f>Boosters_And!U1152/C1152</f>
        <v>#DIV/0!</v>
      </c>
      <c r="U1152" s="101"/>
      <c r="V1152" s="31"/>
    </row>
    <row r="1153" spans="1:22" s="168" customFormat="1" ht="20.250000" customHeight="1">
      <c r="A1153" s="34">
        <v>1151</v>
      </c>
      <c r="B1153" s="34"/>
      <c r="C1153" s="34"/>
      <c r="D1153" s="34"/>
      <c r="E1153" s="34"/>
      <c r="F1153" s="85"/>
      <c r="G1153" s="159"/>
      <c r="H1153" s="155"/>
      <c r="I1153" s="164"/>
      <c r="J1153" s="164"/>
      <c r="K1153" s="155"/>
      <c r="L1153" s="85"/>
      <c r="M1153" s="100"/>
      <c r="N1153" s="87"/>
      <c r="O1153" s="20"/>
      <c r="P1153" s="85"/>
      <c r="Q1153" s="88"/>
      <c r="R1153" s="88"/>
      <c r="S1153" s="88"/>
      <c r="T1153" s="58" t="e">
        <f>Boosters_And!U1153/C1153</f>
        <v>#DIV/0!</v>
      </c>
      <c r="U1153" s="101"/>
      <c r="V1153" s="31"/>
    </row>
    <row r="1154" spans="1:22" s="168" customFormat="1" ht="20.250000" customHeight="1">
      <c r="A1154" s="34">
        <v>1152</v>
      </c>
      <c r="B1154" s="34"/>
      <c r="C1154" s="34"/>
      <c r="D1154" s="34"/>
      <c r="E1154" s="34"/>
      <c r="F1154" s="85"/>
      <c r="G1154" s="159"/>
      <c r="H1154" s="155"/>
      <c r="I1154" s="164"/>
      <c r="J1154" s="164"/>
      <c r="K1154" s="155"/>
      <c r="L1154" s="85"/>
      <c r="M1154" s="100"/>
      <c r="N1154" s="87"/>
      <c r="O1154" s="20"/>
      <c r="P1154" s="85"/>
      <c r="Q1154" s="88"/>
      <c r="R1154" s="88"/>
      <c r="S1154" s="88"/>
      <c r="T1154" s="58" t="e">
        <f>Boosters_And!U1154/C1154</f>
        <v>#DIV/0!</v>
      </c>
      <c r="U1154" s="101"/>
      <c r="V1154" s="31"/>
    </row>
    <row r="1155" spans="1:22" s="168" customFormat="1" ht="20.250000" customHeight="1">
      <c r="A1155" s="34">
        <v>1153</v>
      </c>
      <c r="B1155" s="34"/>
      <c r="C1155" s="34"/>
      <c r="D1155" s="34"/>
      <c r="E1155" s="34"/>
      <c r="F1155" s="85"/>
      <c r="G1155" s="159"/>
      <c r="H1155" s="155"/>
      <c r="I1155" s="164"/>
      <c r="J1155" s="164"/>
      <c r="K1155" s="155"/>
      <c r="L1155" s="85"/>
      <c r="M1155" s="100"/>
      <c r="N1155" s="87"/>
      <c r="O1155" s="20"/>
      <c r="P1155" s="85"/>
      <c r="Q1155" s="88"/>
      <c r="R1155" s="88"/>
      <c r="S1155" s="88"/>
      <c r="T1155" s="58" t="e">
        <f>Boosters_And!U1155/C1155</f>
        <v>#DIV/0!</v>
      </c>
      <c r="U1155" s="101"/>
      <c r="V1155" s="31"/>
    </row>
    <row r="1156" spans="1:22" s="168" customFormat="1" ht="20.250000" customHeight="1">
      <c r="A1156" s="34">
        <v>1154</v>
      </c>
      <c r="B1156" s="34"/>
      <c r="C1156" s="34"/>
      <c r="D1156" s="34"/>
      <c r="E1156" s="34"/>
      <c r="F1156" s="85"/>
      <c r="G1156" s="159"/>
      <c r="H1156" s="155"/>
      <c r="I1156" s="164"/>
      <c r="J1156" s="164"/>
      <c r="K1156" s="155"/>
      <c r="L1156" s="85"/>
      <c r="M1156" s="100"/>
      <c r="N1156" s="87"/>
      <c r="O1156" s="20"/>
      <c r="P1156" s="85"/>
      <c r="Q1156" s="88"/>
      <c r="R1156" s="88"/>
      <c r="S1156" s="88"/>
      <c r="T1156" s="58" t="e">
        <f>Boosters_And!U1156/C1156</f>
        <v>#DIV/0!</v>
      </c>
      <c r="U1156" s="101"/>
      <c r="V1156" s="31"/>
    </row>
    <row r="1157" spans="1:22" s="168" customFormat="1" ht="20.250000" customHeight="1">
      <c r="A1157" s="34">
        <v>1155</v>
      </c>
      <c r="B1157" s="34"/>
      <c r="C1157" s="34"/>
      <c r="D1157" s="34"/>
      <c r="E1157" s="34"/>
      <c r="F1157" s="85"/>
      <c r="G1157" s="159"/>
      <c r="H1157" s="155"/>
      <c r="I1157" s="164"/>
      <c r="J1157" s="164"/>
      <c r="K1157" s="155"/>
      <c r="L1157" s="85"/>
      <c r="M1157" s="100"/>
      <c r="N1157" s="87"/>
      <c r="O1157" s="20"/>
      <c r="P1157" s="85"/>
      <c r="Q1157" s="88"/>
      <c r="R1157" s="88"/>
      <c r="S1157" s="88"/>
      <c r="T1157" s="58" t="e">
        <f>Boosters_And!U1157/C1157</f>
        <v>#DIV/0!</v>
      </c>
      <c r="U1157" s="101"/>
      <c r="V1157" s="31"/>
    </row>
    <row r="1158" spans="1:22" s="168" customFormat="1" ht="20.250000" customHeight="1">
      <c r="A1158" s="34">
        <v>1156</v>
      </c>
      <c r="B1158" s="34"/>
      <c r="C1158" s="34"/>
      <c r="D1158" s="34"/>
      <c r="E1158" s="34"/>
      <c r="F1158" s="85"/>
      <c r="G1158" s="159"/>
      <c r="H1158" s="155"/>
      <c r="I1158" s="164"/>
      <c r="J1158" s="164"/>
      <c r="K1158" s="155"/>
      <c r="L1158" s="85"/>
      <c r="M1158" s="100"/>
      <c r="N1158" s="87"/>
      <c r="O1158" s="20"/>
      <c r="P1158" s="85"/>
      <c r="Q1158" s="88"/>
      <c r="R1158" s="88"/>
      <c r="S1158" s="88"/>
      <c r="T1158" s="58" t="e">
        <f>Boosters_And!U1158/C1158</f>
        <v>#DIV/0!</v>
      </c>
      <c r="U1158" s="101"/>
      <c r="V1158" s="31"/>
    </row>
    <row r="1159" spans="1:22" s="168" customFormat="1" ht="20.250000" customHeight="1">
      <c r="A1159" s="34">
        <v>1157</v>
      </c>
      <c r="B1159" s="34"/>
      <c r="C1159" s="34"/>
      <c r="D1159" s="34"/>
      <c r="E1159" s="34"/>
      <c r="F1159" s="85"/>
      <c r="G1159" s="159"/>
      <c r="H1159" s="155"/>
      <c r="I1159" s="164"/>
      <c r="J1159" s="164"/>
      <c r="K1159" s="155"/>
      <c r="L1159" s="85"/>
      <c r="M1159" s="100"/>
      <c r="N1159" s="87"/>
      <c r="O1159" s="20"/>
      <c r="P1159" s="85"/>
      <c r="Q1159" s="88"/>
      <c r="R1159" s="88"/>
      <c r="S1159" s="88"/>
      <c r="T1159" s="58" t="e">
        <f>Boosters_And!U1159/C1159</f>
        <v>#DIV/0!</v>
      </c>
      <c r="U1159" s="101"/>
      <c r="V1159" s="31"/>
    </row>
    <row r="1160" spans="1:22" s="168" customFormat="1" ht="20.250000" customHeight="1">
      <c r="A1160" s="34">
        <v>1158</v>
      </c>
      <c r="B1160" s="34"/>
      <c r="C1160" s="34"/>
      <c r="D1160" s="34"/>
      <c r="E1160" s="34"/>
      <c r="F1160" s="85"/>
      <c r="G1160" s="159"/>
      <c r="H1160" s="155"/>
      <c r="I1160" s="164"/>
      <c r="J1160" s="164"/>
      <c r="K1160" s="155"/>
      <c r="L1160" s="85"/>
      <c r="M1160" s="100"/>
      <c r="N1160" s="87"/>
      <c r="O1160" s="20"/>
      <c r="P1160" s="85"/>
      <c r="Q1160" s="88"/>
      <c r="R1160" s="88"/>
      <c r="S1160" s="88"/>
      <c r="T1160" s="58" t="e">
        <f>Boosters_And!U1160/C1160</f>
        <v>#DIV/0!</v>
      </c>
      <c r="U1160" s="101"/>
      <c r="V1160" s="31"/>
    </row>
    <row r="1161" spans="1:22" s="168" customFormat="1" ht="20.250000" customHeight="1">
      <c r="A1161" s="34">
        <v>1159</v>
      </c>
      <c r="B1161" s="34"/>
      <c r="C1161" s="34"/>
      <c r="D1161" s="34"/>
      <c r="E1161" s="34"/>
      <c r="F1161" s="85"/>
      <c r="G1161" s="159"/>
      <c r="H1161" s="155"/>
      <c r="I1161" s="164"/>
      <c r="J1161" s="164"/>
      <c r="K1161" s="155"/>
      <c r="L1161" s="85"/>
      <c r="M1161" s="100"/>
      <c r="N1161" s="87"/>
      <c r="O1161" s="20"/>
      <c r="P1161" s="85"/>
      <c r="Q1161" s="88"/>
      <c r="R1161" s="88"/>
      <c r="S1161" s="88"/>
      <c r="T1161" s="58" t="e">
        <f>Boosters_And!U1161/C1161</f>
        <v>#DIV/0!</v>
      </c>
      <c r="U1161" s="101"/>
      <c r="V1161" s="31"/>
    </row>
    <row r="1162" spans="1:22" s="168" customFormat="1" ht="20.250000" customHeight="1">
      <c r="A1162" s="34">
        <v>1160</v>
      </c>
      <c r="B1162" s="34"/>
      <c r="C1162" s="34"/>
      <c r="D1162" s="34"/>
      <c r="E1162" s="34"/>
      <c r="F1162" s="85"/>
      <c r="G1162" s="159"/>
      <c r="H1162" s="155"/>
      <c r="I1162" s="164"/>
      <c r="J1162" s="164"/>
      <c r="K1162" s="155"/>
      <c r="L1162" s="85"/>
      <c r="M1162" s="100"/>
      <c r="N1162" s="87"/>
      <c r="O1162" s="20"/>
      <c r="P1162" s="85"/>
      <c r="Q1162" s="88"/>
      <c r="R1162" s="88"/>
      <c r="S1162" s="88"/>
      <c r="T1162" s="58" t="e">
        <f>Boosters_And!U1162/C1162</f>
        <v>#DIV/0!</v>
      </c>
      <c r="U1162" s="101"/>
      <c r="V1162" s="31"/>
    </row>
    <row r="1163" spans="1:22" s="168" customFormat="1" ht="20.250000" customHeight="1">
      <c r="A1163" s="34">
        <v>1161</v>
      </c>
      <c r="B1163" s="34"/>
      <c r="C1163" s="34"/>
      <c r="D1163" s="34"/>
      <c r="E1163" s="34"/>
      <c r="F1163" s="85"/>
      <c r="G1163" s="159"/>
      <c r="H1163" s="155"/>
      <c r="I1163" s="164"/>
      <c r="J1163" s="164"/>
      <c r="K1163" s="155"/>
      <c r="L1163" s="85"/>
      <c r="M1163" s="100"/>
      <c r="N1163" s="87"/>
      <c r="O1163" s="20"/>
      <c r="P1163" s="85"/>
      <c r="Q1163" s="88"/>
      <c r="R1163" s="88"/>
      <c r="S1163" s="88"/>
      <c r="T1163" s="58" t="e">
        <f>Boosters_And!U1163/C1163</f>
        <v>#DIV/0!</v>
      </c>
      <c r="U1163" s="101"/>
      <c r="V1163" s="31"/>
    </row>
    <row r="1164" spans="1:22" s="168" customFormat="1" ht="20.250000" customHeight="1">
      <c r="A1164" s="34">
        <v>1162</v>
      </c>
      <c r="B1164" s="34"/>
      <c r="C1164" s="34"/>
      <c r="D1164" s="34"/>
      <c r="E1164" s="34"/>
      <c r="F1164" s="85"/>
      <c r="G1164" s="159"/>
      <c r="H1164" s="155"/>
      <c r="I1164" s="164"/>
      <c r="J1164" s="164"/>
      <c r="K1164" s="155"/>
      <c r="L1164" s="85"/>
      <c r="M1164" s="100"/>
      <c r="N1164" s="87"/>
      <c r="O1164" s="20"/>
      <c r="P1164" s="85"/>
      <c r="Q1164" s="88"/>
      <c r="R1164" s="88"/>
      <c r="S1164" s="88"/>
      <c r="T1164" s="58" t="e">
        <f>Boosters_And!U1164/C1164</f>
        <v>#DIV/0!</v>
      </c>
      <c r="U1164" s="101"/>
      <c r="V1164" s="31"/>
    </row>
    <row r="1165" spans="1:22" s="168" customFormat="1" ht="20.250000" customHeight="1">
      <c r="A1165" s="34">
        <v>1163</v>
      </c>
      <c r="B1165" s="34"/>
      <c r="C1165" s="34"/>
      <c r="D1165" s="34"/>
      <c r="E1165" s="34"/>
      <c r="F1165" s="85"/>
      <c r="G1165" s="159"/>
      <c r="H1165" s="155"/>
      <c r="I1165" s="164"/>
      <c r="J1165" s="164"/>
      <c r="K1165" s="155"/>
      <c r="L1165" s="85"/>
      <c r="M1165" s="100"/>
      <c r="N1165" s="87"/>
      <c r="O1165" s="20"/>
      <c r="P1165" s="85"/>
      <c r="Q1165" s="88"/>
      <c r="R1165" s="88"/>
      <c r="S1165" s="88"/>
      <c r="T1165" s="58" t="e">
        <f>Boosters_And!U1165/C1165</f>
        <v>#DIV/0!</v>
      </c>
      <c r="U1165" s="101"/>
      <c r="V1165" s="31"/>
    </row>
    <row r="1166" spans="1:22" s="168" customFormat="1" ht="20.250000" customHeight="1">
      <c r="A1166" s="34">
        <v>1164</v>
      </c>
      <c r="B1166" s="34"/>
      <c r="C1166" s="34"/>
      <c r="D1166" s="34"/>
      <c r="E1166" s="34"/>
      <c r="F1166" s="85"/>
      <c r="G1166" s="159"/>
      <c r="H1166" s="155"/>
      <c r="I1166" s="164"/>
      <c r="J1166" s="164"/>
      <c r="K1166" s="155"/>
      <c r="L1166" s="85"/>
      <c r="M1166" s="100"/>
      <c r="N1166" s="87"/>
      <c r="O1166" s="20"/>
      <c r="P1166" s="85"/>
      <c r="Q1166" s="88"/>
      <c r="R1166" s="88"/>
      <c r="S1166" s="88"/>
      <c r="T1166" s="58" t="e">
        <f>Boosters_And!U1166/C1166</f>
        <v>#DIV/0!</v>
      </c>
      <c r="U1166" s="101"/>
      <c r="V1166" s="31"/>
    </row>
    <row r="1167" spans="1:22" s="168" customFormat="1" ht="20.250000" customHeight="1">
      <c r="A1167" s="34">
        <v>1165</v>
      </c>
      <c r="B1167" s="34"/>
      <c r="C1167" s="34"/>
      <c r="D1167" s="34"/>
      <c r="E1167" s="34"/>
      <c r="F1167" s="85"/>
      <c r="G1167" s="159"/>
      <c r="H1167" s="155"/>
      <c r="I1167" s="164"/>
      <c r="J1167" s="164"/>
      <c r="K1167" s="155"/>
      <c r="L1167" s="85"/>
      <c r="M1167" s="100"/>
      <c r="N1167" s="87"/>
      <c r="O1167" s="20"/>
      <c r="P1167" s="85"/>
      <c r="Q1167" s="88"/>
      <c r="R1167" s="88"/>
      <c r="S1167" s="88"/>
      <c r="T1167" s="58" t="e">
        <f>Boosters_And!U1167/C1167</f>
        <v>#DIV/0!</v>
      </c>
      <c r="U1167" s="101"/>
      <c r="V1167" s="31"/>
    </row>
    <row r="1168" spans="1:22" s="168" customFormat="1" ht="20.250000" customHeight="1">
      <c r="A1168" s="34">
        <v>1166</v>
      </c>
      <c r="B1168" s="34"/>
      <c r="C1168" s="34"/>
      <c r="D1168" s="34"/>
      <c r="E1168" s="34"/>
      <c r="F1168" s="85"/>
      <c r="G1168" s="159"/>
      <c r="H1168" s="155"/>
      <c r="I1168" s="164"/>
      <c r="J1168" s="164"/>
      <c r="K1168" s="155"/>
      <c r="L1168" s="85"/>
      <c r="M1168" s="100"/>
      <c r="N1168" s="87"/>
      <c r="O1168" s="20"/>
      <c r="P1168" s="85"/>
      <c r="Q1168" s="88"/>
      <c r="R1168" s="88"/>
      <c r="S1168" s="88"/>
      <c r="T1168" s="58" t="e">
        <f>Boosters_And!U1168/C1168</f>
        <v>#DIV/0!</v>
      </c>
      <c r="U1168" s="101"/>
      <c r="V1168" s="31"/>
    </row>
    <row r="1169" spans="1:22" s="168" customFormat="1" ht="20.250000" customHeight="1">
      <c r="A1169" s="34">
        <v>1167</v>
      </c>
      <c r="B1169" s="34"/>
      <c r="C1169" s="34"/>
      <c r="D1169" s="34"/>
      <c r="E1169" s="34"/>
      <c r="F1169" s="85"/>
      <c r="G1169" s="159"/>
      <c r="H1169" s="155"/>
      <c r="I1169" s="164"/>
      <c r="J1169" s="164"/>
      <c r="K1169" s="155"/>
      <c r="L1169" s="85"/>
      <c r="M1169" s="100"/>
      <c r="N1169" s="87"/>
      <c r="O1169" s="20"/>
      <c r="P1169" s="85"/>
      <c r="Q1169" s="88"/>
      <c r="R1169" s="88"/>
      <c r="S1169" s="88"/>
      <c r="T1169" s="58" t="e">
        <f>Boosters_And!U1169/C1169</f>
        <v>#DIV/0!</v>
      </c>
      <c r="U1169" s="101"/>
      <c r="V1169" s="31"/>
    </row>
    <row r="1170" spans="1:22" s="168" customFormat="1" ht="20.250000" customHeight="1">
      <c r="A1170" s="34">
        <v>1168</v>
      </c>
      <c r="B1170" s="34"/>
      <c r="C1170" s="34"/>
      <c r="D1170" s="34"/>
      <c r="E1170" s="34"/>
      <c r="F1170" s="85"/>
      <c r="G1170" s="159"/>
      <c r="H1170" s="155"/>
      <c r="I1170" s="164"/>
      <c r="J1170" s="164"/>
      <c r="K1170" s="155"/>
      <c r="L1170" s="85"/>
      <c r="M1170" s="100"/>
      <c r="N1170" s="87"/>
      <c r="O1170" s="20"/>
      <c r="P1170" s="85"/>
      <c r="Q1170" s="88"/>
      <c r="R1170" s="88"/>
      <c r="S1170" s="88"/>
      <c r="T1170" s="58" t="e">
        <f>Boosters_And!U1170/C1170</f>
        <v>#DIV/0!</v>
      </c>
      <c r="U1170" s="101"/>
      <c r="V1170" s="31"/>
    </row>
    <row r="1171" spans="1:22" s="168" customFormat="1" ht="20.250000" customHeight="1">
      <c r="A1171" s="34">
        <v>1169</v>
      </c>
      <c r="B1171" s="34"/>
      <c r="C1171" s="34"/>
      <c r="D1171" s="34"/>
      <c r="E1171" s="34"/>
      <c r="F1171" s="85"/>
      <c r="G1171" s="159"/>
      <c r="H1171" s="155"/>
      <c r="I1171" s="164"/>
      <c r="J1171" s="164"/>
      <c r="K1171" s="155"/>
      <c r="L1171" s="85"/>
      <c r="M1171" s="100"/>
      <c r="N1171" s="87"/>
      <c r="O1171" s="20"/>
      <c r="P1171" s="85"/>
      <c r="Q1171" s="88"/>
      <c r="R1171" s="88"/>
      <c r="S1171" s="88"/>
      <c r="T1171" s="58" t="e">
        <f>Boosters_And!U1171/C1171</f>
        <v>#DIV/0!</v>
      </c>
      <c r="U1171" s="101"/>
      <c r="V1171" s="31"/>
    </row>
    <row r="1172" spans="1:22" s="168" customFormat="1" ht="20.250000" customHeight="1">
      <c r="A1172" s="34">
        <v>1170</v>
      </c>
      <c r="B1172" s="34"/>
      <c r="C1172" s="34"/>
      <c r="D1172" s="34"/>
      <c r="E1172" s="34"/>
      <c r="F1172" s="85"/>
      <c r="G1172" s="159"/>
      <c r="H1172" s="155"/>
      <c r="I1172" s="164"/>
      <c r="J1172" s="164"/>
      <c r="K1172" s="155"/>
      <c r="L1172" s="85"/>
      <c r="M1172" s="100"/>
      <c r="N1172" s="87"/>
      <c r="O1172" s="20"/>
      <c r="P1172" s="85"/>
      <c r="Q1172" s="88"/>
      <c r="R1172" s="88"/>
      <c r="S1172" s="88"/>
      <c r="T1172" s="58" t="e">
        <f>Boosters_And!U1172/C1172</f>
        <v>#DIV/0!</v>
      </c>
      <c r="U1172" s="101"/>
      <c r="V1172" s="31"/>
    </row>
    <row r="1173" spans="1:22" s="168" customFormat="1" ht="20.250000" customHeight="1">
      <c r="A1173" s="34">
        <v>1171</v>
      </c>
      <c r="B1173" s="34"/>
      <c r="C1173" s="34"/>
      <c r="D1173" s="34"/>
      <c r="E1173" s="34"/>
      <c r="F1173" s="85"/>
      <c r="G1173" s="159"/>
      <c r="H1173" s="155"/>
      <c r="I1173" s="164"/>
      <c r="J1173" s="164"/>
      <c r="K1173" s="155"/>
      <c r="L1173" s="85"/>
      <c r="M1173" s="100"/>
      <c r="N1173" s="87"/>
      <c r="O1173" s="20"/>
      <c r="P1173" s="85"/>
      <c r="Q1173" s="88"/>
      <c r="R1173" s="88"/>
      <c r="S1173" s="88"/>
      <c r="T1173" s="58" t="e">
        <f>Boosters_And!U1173/C1173</f>
        <v>#DIV/0!</v>
      </c>
      <c r="U1173" s="101"/>
      <c r="V1173" s="31"/>
    </row>
    <row r="1174" spans="1:22" s="168" customFormat="1" ht="20.250000" customHeight="1">
      <c r="A1174" s="34">
        <v>1172</v>
      </c>
      <c r="B1174" s="34"/>
      <c r="C1174" s="34"/>
      <c r="D1174" s="34"/>
      <c r="E1174" s="34"/>
      <c r="F1174" s="85"/>
      <c r="G1174" s="159"/>
      <c r="H1174" s="155"/>
      <c r="I1174" s="164"/>
      <c r="J1174" s="164"/>
      <c r="K1174" s="155"/>
      <c r="L1174" s="85"/>
      <c r="M1174" s="100"/>
      <c r="N1174" s="87"/>
      <c r="O1174" s="20"/>
      <c r="P1174" s="85"/>
      <c r="Q1174" s="88"/>
      <c r="R1174" s="88"/>
      <c r="S1174" s="88"/>
      <c r="T1174" s="58" t="e">
        <f>Boosters_And!U1174/C1174</f>
        <v>#DIV/0!</v>
      </c>
      <c r="U1174" s="101"/>
      <c r="V1174" s="31"/>
    </row>
    <row r="1175" spans="1:22" s="168" customFormat="1" ht="20.250000" customHeight="1">
      <c r="A1175" s="34">
        <v>1173</v>
      </c>
      <c r="B1175" s="34"/>
      <c r="C1175" s="34"/>
      <c r="D1175" s="34"/>
      <c r="E1175" s="34"/>
      <c r="F1175" s="85"/>
      <c r="G1175" s="159"/>
      <c r="H1175" s="155"/>
      <c r="I1175" s="164"/>
      <c r="J1175" s="164"/>
      <c r="K1175" s="155"/>
      <c r="L1175" s="85"/>
      <c r="M1175" s="100"/>
      <c r="N1175" s="87"/>
      <c r="O1175" s="20"/>
      <c r="P1175" s="85"/>
      <c r="Q1175" s="88"/>
      <c r="R1175" s="88"/>
      <c r="S1175" s="88"/>
      <c r="T1175" s="58" t="e">
        <f>Boosters_And!U1175/C1175</f>
        <v>#DIV/0!</v>
      </c>
      <c r="U1175" s="101"/>
      <c r="V1175" s="31"/>
    </row>
    <row r="1176" spans="1:22" s="168" customFormat="1" ht="20.250000" customHeight="1">
      <c r="A1176" s="34">
        <v>1174</v>
      </c>
      <c r="B1176" s="34"/>
      <c r="C1176" s="34"/>
      <c r="D1176" s="34"/>
      <c r="E1176" s="34"/>
      <c r="F1176" s="85"/>
      <c r="G1176" s="159"/>
      <c r="H1176" s="155"/>
      <c r="I1176" s="164"/>
      <c r="J1176" s="164"/>
      <c r="K1176" s="155"/>
      <c r="L1176" s="85"/>
      <c r="M1176" s="100"/>
      <c r="N1176" s="87"/>
      <c r="O1176" s="20"/>
      <c r="P1176" s="85"/>
      <c r="Q1176" s="88"/>
      <c r="R1176" s="88"/>
      <c r="S1176" s="88"/>
      <c r="T1176" s="58" t="e">
        <f>Boosters_And!U1176/C1176</f>
        <v>#DIV/0!</v>
      </c>
      <c r="U1176" s="101"/>
      <c r="V1176" s="31"/>
    </row>
    <row r="1177" spans="1:22" s="168" customFormat="1" ht="20.250000" customHeight="1">
      <c r="A1177" s="34">
        <v>1175</v>
      </c>
      <c r="B1177" s="34"/>
      <c r="C1177" s="34"/>
      <c r="D1177" s="34"/>
      <c r="E1177" s="34"/>
      <c r="F1177" s="85"/>
      <c r="G1177" s="159"/>
      <c r="H1177" s="155"/>
      <c r="I1177" s="164"/>
      <c r="J1177" s="164"/>
      <c r="K1177" s="155"/>
      <c r="L1177" s="85"/>
      <c r="M1177" s="100"/>
      <c r="N1177" s="87"/>
      <c r="O1177" s="20"/>
      <c r="P1177" s="85"/>
      <c r="Q1177" s="88"/>
      <c r="R1177" s="88"/>
      <c r="S1177" s="88"/>
      <c r="T1177" s="58" t="e">
        <f>Boosters_And!U1177/C1177</f>
        <v>#DIV/0!</v>
      </c>
      <c r="U1177" s="101"/>
      <c r="V1177" s="31"/>
    </row>
    <row r="1178" spans="1:22" s="168" customFormat="1" ht="20.250000" customHeight="1">
      <c r="A1178" s="34">
        <v>1176</v>
      </c>
      <c r="B1178" s="34"/>
      <c r="C1178" s="34"/>
      <c r="D1178" s="34"/>
      <c r="E1178" s="34"/>
      <c r="F1178" s="85"/>
      <c r="G1178" s="159"/>
      <c r="H1178" s="155"/>
      <c r="I1178" s="164"/>
      <c r="J1178" s="164"/>
      <c r="K1178" s="155"/>
      <c r="L1178" s="85"/>
      <c r="M1178" s="100"/>
      <c r="N1178" s="87"/>
      <c r="O1178" s="20"/>
      <c r="P1178" s="85"/>
      <c r="Q1178" s="88"/>
      <c r="R1178" s="88"/>
      <c r="S1178" s="88"/>
      <c r="T1178" s="58" t="e">
        <f>Boosters_And!U1178/C1178</f>
        <v>#DIV/0!</v>
      </c>
      <c r="U1178" s="101"/>
      <c r="V1178" s="31"/>
    </row>
    <row r="1179" spans="1:22" s="168" customFormat="1" ht="20.250000" customHeight="1">
      <c r="A1179" s="34">
        <v>1177</v>
      </c>
      <c r="B1179" s="34"/>
      <c r="C1179" s="34"/>
      <c r="D1179" s="34"/>
      <c r="E1179" s="34"/>
      <c r="F1179" s="85"/>
      <c r="G1179" s="159"/>
      <c r="H1179" s="155"/>
      <c r="I1179" s="164"/>
      <c r="J1179" s="164"/>
      <c r="K1179" s="155"/>
      <c r="L1179" s="85"/>
      <c r="M1179" s="100"/>
      <c r="N1179" s="87"/>
      <c r="O1179" s="20"/>
      <c r="P1179" s="85"/>
      <c r="Q1179" s="88"/>
      <c r="R1179" s="88"/>
      <c r="S1179" s="88"/>
      <c r="T1179" s="58" t="e">
        <f>Boosters_And!U1179/C1179</f>
        <v>#DIV/0!</v>
      </c>
      <c r="U1179" s="101"/>
      <c r="V1179" s="31"/>
    </row>
    <row r="1180" spans="1:22" s="168" customFormat="1" ht="20.250000" customHeight="1">
      <c r="A1180" s="34">
        <v>1178</v>
      </c>
      <c r="B1180" s="34"/>
      <c r="C1180" s="34"/>
      <c r="D1180" s="34"/>
      <c r="E1180" s="34"/>
      <c r="F1180" s="85"/>
      <c r="G1180" s="159"/>
      <c r="H1180" s="155"/>
      <c r="I1180" s="164"/>
      <c r="J1180" s="164"/>
      <c r="K1180" s="155"/>
      <c r="L1180" s="85"/>
      <c r="M1180" s="100"/>
      <c r="N1180" s="87"/>
      <c r="O1180" s="20"/>
      <c r="P1180" s="85"/>
      <c r="Q1180" s="88"/>
      <c r="R1180" s="88"/>
      <c r="S1180" s="88"/>
      <c r="T1180" s="58" t="e">
        <f>Boosters_And!U1180/C1180</f>
        <v>#DIV/0!</v>
      </c>
      <c r="U1180" s="101"/>
      <c r="V1180" s="31"/>
    </row>
    <row r="1181" spans="1:22" s="168" customFormat="1" ht="20.250000" customHeight="1">
      <c r="A1181" s="34">
        <v>1179</v>
      </c>
      <c r="B1181" s="34"/>
      <c r="C1181" s="34"/>
      <c r="D1181" s="34"/>
      <c r="E1181" s="34"/>
      <c r="F1181" s="85"/>
      <c r="G1181" s="159"/>
      <c r="H1181" s="155"/>
      <c r="I1181" s="164"/>
      <c r="J1181" s="164"/>
      <c r="K1181" s="155"/>
      <c r="L1181" s="85"/>
      <c r="M1181" s="100"/>
      <c r="N1181" s="87"/>
      <c r="O1181" s="20"/>
      <c r="P1181" s="85"/>
      <c r="Q1181" s="88"/>
      <c r="R1181" s="88"/>
      <c r="S1181" s="88"/>
      <c r="T1181" s="58" t="e">
        <f>Boosters_And!U1181/C1181</f>
        <v>#DIV/0!</v>
      </c>
      <c r="U1181" s="101"/>
      <c r="V1181" s="31"/>
    </row>
    <row r="1182" spans="1:22" s="168" customFormat="1" ht="20.250000" customHeight="1">
      <c r="A1182" s="34">
        <v>1180</v>
      </c>
      <c r="B1182" s="34"/>
      <c r="C1182" s="34"/>
      <c r="D1182" s="34"/>
      <c r="E1182" s="34"/>
      <c r="F1182" s="85"/>
      <c r="G1182" s="159"/>
      <c r="H1182" s="155"/>
      <c r="I1182" s="164"/>
      <c r="J1182" s="164"/>
      <c r="K1182" s="155"/>
      <c r="L1182" s="85"/>
      <c r="M1182" s="100"/>
      <c r="N1182" s="87"/>
      <c r="O1182" s="20"/>
      <c r="P1182" s="85"/>
      <c r="Q1182" s="88"/>
      <c r="R1182" s="88"/>
      <c r="S1182" s="88"/>
      <c r="T1182" s="58" t="e">
        <f>Boosters_And!U1182/C1182</f>
        <v>#DIV/0!</v>
      </c>
      <c r="U1182" s="101"/>
      <c r="V1182" s="31"/>
    </row>
    <row r="1183" spans="1:22" s="168" customFormat="1" ht="20.250000" customHeight="1">
      <c r="A1183" s="34">
        <v>1181</v>
      </c>
      <c r="B1183" s="34"/>
      <c r="C1183" s="34"/>
      <c r="D1183" s="34"/>
      <c r="E1183" s="34"/>
      <c r="F1183" s="85"/>
      <c r="G1183" s="159"/>
      <c r="H1183" s="155"/>
      <c r="I1183" s="164"/>
      <c r="J1183" s="164"/>
      <c r="K1183" s="155"/>
      <c r="L1183" s="85"/>
      <c r="M1183" s="100"/>
      <c r="N1183" s="87"/>
      <c r="O1183" s="20"/>
      <c r="P1183" s="85"/>
      <c r="Q1183" s="88"/>
      <c r="R1183" s="88"/>
      <c r="S1183" s="88"/>
      <c r="T1183" s="58" t="e">
        <f>Boosters_And!U1183/C1183</f>
        <v>#DIV/0!</v>
      </c>
      <c r="U1183" s="101"/>
      <c r="V1183" s="31"/>
    </row>
    <row r="1184" spans="1:22" s="168" customFormat="1" ht="20.250000" customHeight="1">
      <c r="A1184" s="34">
        <v>1182</v>
      </c>
      <c r="B1184" s="34"/>
      <c r="C1184" s="34"/>
      <c r="D1184" s="34"/>
      <c r="E1184" s="34"/>
      <c r="F1184" s="85"/>
      <c r="G1184" s="159"/>
      <c r="H1184" s="155"/>
      <c r="I1184" s="164"/>
      <c r="J1184" s="164"/>
      <c r="K1184" s="155"/>
      <c r="L1184" s="85"/>
      <c r="M1184" s="100"/>
      <c r="N1184" s="87"/>
      <c r="O1184" s="20"/>
      <c r="P1184" s="85"/>
      <c r="Q1184" s="88"/>
      <c r="R1184" s="88"/>
      <c r="S1184" s="88"/>
      <c r="T1184" s="58" t="e">
        <f>Boosters_And!U1184/C1184</f>
        <v>#DIV/0!</v>
      </c>
      <c r="U1184" s="101"/>
      <c r="V1184" s="31"/>
    </row>
    <row r="1185" spans="1:22" s="168" customFormat="1" ht="20.250000" customHeight="1">
      <c r="A1185" s="34">
        <v>1183</v>
      </c>
      <c r="B1185" s="34"/>
      <c r="C1185" s="34"/>
      <c r="D1185" s="34"/>
      <c r="E1185" s="34"/>
      <c r="F1185" s="85"/>
      <c r="G1185" s="159"/>
      <c r="H1185" s="155"/>
      <c r="I1185" s="164"/>
      <c r="J1185" s="164"/>
      <c r="K1185" s="155"/>
      <c r="L1185" s="85"/>
      <c r="M1185" s="100"/>
      <c r="N1185" s="87"/>
      <c r="O1185" s="20"/>
      <c r="P1185" s="85"/>
      <c r="Q1185" s="88"/>
      <c r="R1185" s="88"/>
      <c r="S1185" s="88"/>
      <c r="T1185" s="58" t="e">
        <f>Boosters_And!U1185/C1185</f>
        <v>#DIV/0!</v>
      </c>
      <c r="U1185" s="101"/>
      <c r="V1185" s="31"/>
    </row>
    <row r="1186" spans="1:22" s="168" customFormat="1" ht="20.250000" customHeight="1">
      <c r="A1186" s="34">
        <v>1184</v>
      </c>
      <c r="B1186" s="34"/>
      <c r="C1186" s="34"/>
      <c r="D1186" s="34"/>
      <c r="E1186" s="34"/>
      <c r="F1186" s="85"/>
      <c r="G1186" s="159"/>
      <c r="H1186" s="155"/>
      <c r="I1186" s="164"/>
      <c r="J1186" s="164"/>
      <c r="K1186" s="155"/>
      <c r="L1186" s="85"/>
      <c r="M1186" s="100"/>
      <c r="N1186" s="87"/>
      <c r="O1186" s="20"/>
      <c r="P1186" s="85"/>
      <c r="Q1186" s="88"/>
      <c r="R1186" s="88"/>
      <c r="S1186" s="88"/>
      <c r="T1186" s="58" t="e">
        <f>Boosters_And!U1186/C1186</f>
        <v>#DIV/0!</v>
      </c>
      <c r="U1186" s="101"/>
      <c r="V1186" s="31"/>
    </row>
    <row r="1187" spans="1:22" s="168" customFormat="1" ht="20.250000" customHeight="1">
      <c r="A1187" s="34">
        <v>1185</v>
      </c>
      <c r="B1187" s="34"/>
      <c r="C1187" s="34"/>
      <c r="D1187" s="34"/>
      <c r="E1187" s="34"/>
      <c r="F1187" s="85"/>
      <c r="G1187" s="159"/>
      <c r="H1187" s="155"/>
      <c r="I1187" s="164"/>
      <c r="J1187" s="164"/>
      <c r="K1187" s="155"/>
      <c r="L1187" s="85"/>
      <c r="M1187" s="100"/>
      <c r="N1187" s="87"/>
      <c r="O1187" s="20"/>
      <c r="P1187" s="85"/>
      <c r="Q1187" s="88"/>
      <c r="R1187" s="88"/>
      <c r="S1187" s="88"/>
      <c r="T1187" s="58" t="e">
        <f>Boosters_And!U1187/C1187</f>
        <v>#DIV/0!</v>
      </c>
      <c r="U1187" s="101"/>
      <c r="V1187" s="31"/>
    </row>
    <row r="1188" spans="1:22" s="168" customFormat="1" ht="20.250000" customHeight="1">
      <c r="A1188" s="34">
        <v>1186</v>
      </c>
      <c r="B1188" s="34"/>
      <c r="C1188" s="34"/>
      <c r="D1188" s="34"/>
      <c r="E1188" s="34"/>
      <c r="F1188" s="85"/>
      <c r="G1188" s="159"/>
      <c r="H1188" s="155"/>
      <c r="I1188" s="164"/>
      <c r="J1188" s="164"/>
      <c r="K1188" s="155"/>
      <c r="L1188" s="85"/>
      <c r="M1188" s="100"/>
      <c r="N1188" s="87"/>
      <c r="O1188" s="20"/>
      <c r="P1188" s="85"/>
      <c r="Q1188" s="88"/>
      <c r="R1188" s="88"/>
      <c r="S1188" s="88"/>
      <c r="T1188" s="58" t="e">
        <f>Boosters_And!U1188/C1188</f>
        <v>#DIV/0!</v>
      </c>
      <c r="U1188" s="101"/>
      <c r="V1188" s="31"/>
    </row>
    <row r="1189" spans="1:22" s="168" customFormat="1" ht="20.250000" customHeight="1">
      <c r="A1189" s="34">
        <v>1187</v>
      </c>
      <c r="B1189" s="34"/>
      <c r="C1189" s="34"/>
      <c r="D1189" s="34"/>
      <c r="E1189" s="34"/>
      <c r="F1189" s="85"/>
      <c r="G1189" s="159"/>
      <c r="H1189" s="155"/>
      <c r="I1189" s="164"/>
      <c r="J1189" s="164"/>
      <c r="K1189" s="155"/>
      <c r="L1189" s="85"/>
      <c r="M1189" s="100"/>
      <c r="N1189" s="87"/>
      <c r="O1189" s="20"/>
      <c r="P1189" s="85"/>
      <c r="Q1189" s="88"/>
      <c r="R1189" s="88"/>
      <c r="S1189" s="88"/>
      <c r="T1189" s="58" t="e">
        <f>Boosters_And!U1189/C1189</f>
        <v>#DIV/0!</v>
      </c>
      <c r="U1189" s="101"/>
      <c r="V1189" s="31"/>
    </row>
    <row r="1190" spans="1:22" s="168" customFormat="1" ht="20.250000" customHeight="1">
      <c r="A1190" s="34">
        <v>1188</v>
      </c>
      <c r="B1190" s="34"/>
      <c r="C1190" s="34"/>
      <c r="D1190" s="34"/>
      <c r="E1190" s="34"/>
      <c r="F1190" s="85"/>
      <c r="G1190" s="159"/>
      <c r="H1190" s="155"/>
      <c r="I1190" s="164"/>
      <c r="J1190" s="164"/>
      <c r="K1190" s="155"/>
      <c r="L1190" s="85"/>
      <c r="M1190" s="100"/>
      <c r="N1190" s="87"/>
      <c r="O1190" s="20"/>
      <c r="P1190" s="85"/>
      <c r="Q1190" s="88"/>
      <c r="R1190" s="88"/>
      <c r="S1190" s="88"/>
      <c r="T1190" s="58" t="e">
        <f>Boosters_And!U1190/C1190</f>
        <v>#DIV/0!</v>
      </c>
      <c r="U1190" s="101"/>
      <c r="V1190" s="31"/>
    </row>
    <row r="1191" spans="1:22" s="168" customFormat="1" ht="20.250000" customHeight="1">
      <c r="A1191" s="34">
        <v>1189</v>
      </c>
      <c r="B1191" s="34"/>
      <c r="C1191" s="34"/>
      <c r="D1191" s="34"/>
      <c r="E1191" s="34"/>
      <c r="F1191" s="85"/>
      <c r="G1191" s="159"/>
      <c r="H1191" s="155"/>
      <c r="I1191" s="164"/>
      <c r="J1191" s="164"/>
      <c r="K1191" s="155"/>
      <c r="L1191" s="85"/>
      <c r="M1191" s="100"/>
      <c r="N1191" s="87"/>
      <c r="O1191" s="20"/>
      <c r="P1191" s="85"/>
      <c r="Q1191" s="88"/>
      <c r="R1191" s="88"/>
      <c r="S1191" s="88"/>
      <c r="T1191" s="58" t="e">
        <f>Boosters_And!U1191/C1191</f>
        <v>#DIV/0!</v>
      </c>
      <c r="U1191" s="101"/>
      <c r="V1191" s="31"/>
    </row>
    <row r="1192" spans="1:22" s="168" customFormat="1" ht="20.250000" customHeight="1">
      <c r="A1192" s="34">
        <v>1190</v>
      </c>
      <c r="B1192" s="34"/>
      <c r="C1192" s="34"/>
      <c r="D1192" s="34"/>
      <c r="E1192" s="34"/>
      <c r="F1192" s="85"/>
      <c r="G1192" s="159"/>
      <c r="H1192" s="155"/>
      <c r="I1192" s="164"/>
      <c r="J1192" s="164"/>
      <c r="K1192" s="155"/>
      <c r="L1192" s="85"/>
      <c r="M1192" s="100"/>
      <c r="N1192" s="87"/>
      <c r="O1192" s="20"/>
      <c r="P1192" s="85"/>
      <c r="Q1192" s="88"/>
      <c r="R1192" s="88"/>
      <c r="S1192" s="88"/>
      <c r="T1192" s="58" t="e">
        <f>Boosters_And!U1192/C1192</f>
        <v>#DIV/0!</v>
      </c>
      <c r="U1192" s="101"/>
      <c r="V1192" s="31"/>
    </row>
    <row r="1193" spans="1:22" s="168" customFormat="1" ht="20.250000" customHeight="1">
      <c r="A1193" s="34">
        <v>1191</v>
      </c>
      <c r="B1193" s="34"/>
      <c r="C1193" s="34"/>
      <c r="D1193" s="34"/>
      <c r="E1193" s="34"/>
      <c r="F1193" s="85"/>
      <c r="G1193" s="159"/>
      <c r="H1193" s="155"/>
      <c r="I1193" s="164"/>
      <c r="J1193" s="164"/>
      <c r="K1193" s="155"/>
      <c r="L1193" s="85"/>
      <c r="M1193" s="100"/>
      <c r="N1193" s="87"/>
      <c r="O1193" s="20"/>
      <c r="P1193" s="85"/>
      <c r="Q1193" s="88"/>
      <c r="R1193" s="88"/>
      <c r="S1193" s="88"/>
      <c r="T1193" s="58" t="e">
        <f>Boosters_And!U1193/C1193</f>
        <v>#DIV/0!</v>
      </c>
      <c r="U1193" s="101"/>
      <c r="V1193" s="31"/>
    </row>
    <row r="1194" spans="1:22" s="168" customFormat="1" ht="20.250000" customHeight="1">
      <c r="A1194" s="34">
        <v>1192</v>
      </c>
      <c r="B1194" s="34"/>
      <c r="C1194" s="34"/>
      <c r="D1194" s="34"/>
      <c r="E1194" s="34"/>
      <c r="F1194" s="85"/>
      <c r="G1194" s="159"/>
      <c r="H1194" s="155"/>
      <c r="I1194" s="164"/>
      <c r="J1194" s="164"/>
      <c r="K1194" s="155"/>
      <c r="L1194" s="85"/>
      <c r="M1194" s="100"/>
      <c r="N1194" s="87"/>
      <c r="O1194" s="20"/>
      <c r="P1194" s="85"/>
      <c r="Q1194" s="88"/>
      <c r="R1194" s="88"/>
      <c r="S1194" s="88"/>
      <c r="T1194" s="58" t="e">
        <f>Boosters_And!U1194/C1194</f>
        <v>#DIV/0!</v>
      </c>
      <c r="U1194" s="101"/>
      <c r="V1194" s="31"/>
    </row>
    <row r="1195" spans="1:22" s="168" customFormat="1" ht="20.250000" customHeight="1">
      <c r="A1195" s="34">
        <v>1193</v>
      </c>
      <c r="B1195" s="34"/>
      <c r="C1195" s="34"/>
      <c r="D1195" s="34"/>
      <c r="E1195" s="34"/>
      <c r="F1195" s="85"/>
      <c r="G1195" s="159"/>
      <c r="H1195" s="155"/>
      <c r="I1195" s="164"/>
      <c r="J1195" s="164"/>
      <c r="K1195" s="155"/>
      <c r="L1195" s="85"/>
      <c r="M1195" s="100"/>
      <c r="N1195" s="87"/>
      <c r="O1195" s="20"/>
      <c r="P1195" s="85"/>
      <c r="Q1195" s="88"/>
      <c r="R1195" s="88"/>
      <c r="S1195" s="88"/>
      <c r="T1195" s="58" t="e">
        <f>Boosters_And!U1195/C1195</f>
        <v>#DIV/0!</v>
      </c>
      <c r="U1195" s="101"/>
      <c r="V1195" s="31"/>
    </row>
    <row r="1196" spans="1:22" s="168" customFormat="1" ht="20.250000" customHeight="1">
      <c r="A1196" s="34">
        <v>1194</v>
      </c>
      <c r="B1196" s="34"/>
      <c r="C1196" s="34"/>
      <c r="D1196" s="34"/>
      <c r="E1196" s="34"/>
      <c r="F1196" s="85"/>
      <c r="G1196" s="159"/>
      <c r="H1196" s="155"/>
      <c r="I1196" s="164"/>
      <c r="J1196" s="164"/>
      <c r="K1196" s="155"/>
      <c r="L1196" s="85"/>
      <c r="M1196" s="100"/>
      <c r="N1196" s="87"/>
      <c r="O1196" s="20"/>
      <c r="P1196" s="85"/>
      <c r="Q1196" s="88"/>
      <c r="R1196" s="88"/>
      <c r="S1196" s="88"/>
      <c r="T1196" s="58" t="e">
        <f>Boosters_And!U1196/C1196</f>
        <v>#DIV/0!</v>
      </c>
      <c r="U1196" s="101"/>
      <c r="V1196" s="31"/>
    </row>
    <row r="1197" spans="1:22" s="168" customFormat="1" ht="20.250000" customHeight="1">
      <c r="A1197" s="34">
        <v>1195</v>
      </c>
      <c r="B1197" s="34"/>
      <c r="C1197" s="34"/>
      <c r="D1197" s="34"/>
      <c r="E1197" s="34"/>
      <c r="F1197" s="85"/>
      <c r="G1197" s="159"/>
      <c r="H1197" s="155"/>
      <c r="I1197" s="164"/>
      <c r="J1197" s="164"/>
      <c r="K1197" s="155"/>
      <c r="L1197" s="85"/>
      <c r="M1197" s="100"/>
      <c r="N1197" s="87"/>
      <c r="O1197" s="20"/>
      <c r="P1197" s="85"/>
      <c r="Q1197" s="88"/>
      <c r="R1197" s="88"/>
      <c r="S1197" s="88"/>
      <c r="T1197" s="58" t="e">
        <f>Boosters_And!U1197/C1197</f>
        <v>#DIV/0!</v>
      </c>
      <c r="U1197" s="101"/>
      <c r="V1197" s="31"/>
    </row>
    <row r="1198" spans="1:22" s="168" customFormat="1" ht="20.250000" customHeight="1">
      <c r="A1198" s="34">
        <v>1196</v>
      </c>
      <c r="B1198" s="34"/>
      <c r="C1198" s="34"/>
      <c r="D1198" s="34"/>
      <c r="E1198" s="34"/>
      <c r="F1198" s="85"/>
      <c r="G1198" s="159"/>
      <c r="H1198" s="155"/>
      <c r="I1198" s="164"/>
      <c r="J1198" s="164"/>
      <c r="K1198" s="155"/>
      <c r="L1198" s="85"/>
      <c r="M1198" s="100"/>
      <c r="N1198" s="87"/>
      <c r="O1198" s="20"/>
      <c r="P1198" s="85"/>
      <c r="Q1198" s="88"/>
      <c r="R1198" s="88"/>
      <c r="S1198" s="88"/>
      <c r="T1198" s="58" t="e">
        <f>Boosters_And!U1198/C1198</f>
        <v>#DIV/0!</v>
      </c>
      <c r="U1198" s="101"/>
      <c r="V1198" s="31"/>
    </row>
    <row r="1199" spans="1:22" s="168" customFormat="1" ht="20.250000" customHeight="1">
      <c r="A1199" s="34">
        <v>1197</v>
      </c>
      <c r="B1199" s="34"/>
      <c r="C1199" s="34"/>
      <c r="D1199" s="34"/>
      <c r="E1199" s="34"/>
      <c r="F1199" s="85"/>
      <c r="G1199" s="159"/>
      <c r="H1199" s="155"/>
      <c r="I1199" s="164"/>
      <c r="J1199" s="164"/>
      <c r="K1199" s="155"/>
      <c r="L1199" s="85"/>
      <c r="M1199" s="100"/>
      <c r="N1199" s="87"/>
      <c r="O1199" s="20"/>
      <c r="P1199" s="85"/>
      <c r="Q1199" s="88"/>
      <c r="R1199" s="88"/>
      <c r="S1199" s="88"/>
      <c r="T1199" s="58" t="e">
        <f>Boosters_And!U1199/C1199</f>
        <v>#DIV/0!</v>
      </c>
      <c r="U1199" s="101"/>
      <c r="V1199" s="31"/>
    </row>
    <row r="1200" spans="1:22" s="168" customFormat="1" ht="20.250000" customHeight="1">
      <c r="A1200" s="34">
        <v>1198</v>
      </c>
      <c r="B1200" s="34"/>
      <c r="C1200" s="34"/>
      <c r="D1200" s="34"/>
      <c r="E1200" s="34"/>
      <c r="F1200" s="85"/>
      <c r="G1200" s="159"/>
      <c r="H1200" s="155"/>
      <c r="I1200" s="164"/>
      <c r="J1200" s="164"/>
      <c r="K1200" s="155"/>
      <c r="L1200" s="85"/>
      <c r="M1200" s="100"/>
      <c r="N1200" s="87"/>
      <c r="O1200" s="20"/>
      <c r="P1200" s="85"/>
      <c r="Q1200" s="88"/>
      <c r="R1200" s="88"/>
      <c r="S1200" s="88"/>
      <c r="T1200" s="58" t="e">
        <f>Boosters_And!U1200/C1200</f>
        <v>#DIV/0!</v>
      </c>
      <c r="U1200" s="101"/>
      <c r="V1200" s="31"/>
    </row>
    <row r="1201" spans="1:22" s="168" customFormat="1" ht="20.250000" customHeight="1">
      <c r="A1201" s="34">
        <v>1199</v>
      </c>
      <c r="B1201" s="34"/>
      <c r="C1201" s="34"/>
      <c r="D1201" s="34"/>
      <c r="E1201" s="34"/>
      <c r="F1201" s="85"/>
      <c r="G1201" s="159"/>
      <c r="H1201" s="155"/>
      <c r="I1201" s="164"/>
      <c r="J1201" s="164"/>
      <c r="K1201" s="155"/>
      <c r="L1201" s="85"/>
      <c r="M1201" s="100"/>
      <c r="N1201" s="87"/>
      <c r="O1201" s="20"/>
      <c r="P1201" s="85"/>
      <c r="Q1201" s="88"/>
      <c r="R1201" s="88"/>
      <c r="S1201" s="88"/>
      <c r="T1201" s="58" t="e">
        <f>Boosters_And!U1201/C1201</f>
        <v>#DIV/0!</v>
      </c>
      <c r="U1201" s="101"/>
      <c r="V1201" s="31"/>
    </row>
    <row r="1202" spans="1:22" s="168" customFormat="1" ht="20.250000" customHeight="1">
      <c r="A1202" s="34">
        <v>1200</v>
      </c>
      <c r="B1202" s="34"/>
      <c r="C1202" s="34"/>
      <c r="D1202" s="34"/>
      <c r="E1202" s="34"/>
      <c r="F1202" s="85"/>
      <c r="G1202" s="159"/>
      <c r="H1202" s="155"/>
      <c r="I1202" s="164"/>
      <c r="J1202" s="164"/>
      <c r="K1202" s="155"/>
      <c r="L1202" s="85"/>
      <c r="M1202" s="100"/>
      <c r="N1202" s="87"/>
      <c r="O1202" s="20"/>
      <c r="P1202" s="85"/>
      <c r="Q1202" s="88"/>
      <c r="R1202" s="88"/>
      <c r="S1202" s="88"/>
      <c r="T1202" s="58" t="e">
        <f>Boosters_And!U1202/C1202</f>
        <v>#DIV/0!</v>
      </c>
      <c r="U1202" s="101"/>
      <c r="V1202" s="31"/>
    </row>
    <row r="1203" spans="1:22" s="168" customFormat="1" ht="20.250000" customHeight="1">
      <c r="A1203" s="34">
        <v>1201</v>
      </c>
      <c r="B1203" s="34"/>
      <c r="C1203" s="34"/>
      <c r="D1203" s="34"/>
      <c r="E1203" s="34"/>
      <c r="F1203" s="85"/>
      <c r="G1203" s="159"/>
      <c r="H1203" s="155"/>
      <c r="I1203" s="164"/>
      <c r="J1203" s="164"/>
      <c r="K1203" s="155"/>
      <c r="L1203" s="85"/>
      <c r="M1203" s="100"/>
      <c r="N1203" s="87"/>
      <c r="O1203" s="20"/>
      <c r="P1203" s="85"/>
      <c r="Q1203" s="88"/>
      <c r="R1203" s="88"/>
      <c r="S1203" s="88"/>
      <c r="T1203" s="58" t="e">
        <f>Boosters_And!U1203/C1203</f>
        <v>#DIV/0!</v>
      </c>
      <c r="U1203" s="101"/>
      <c r="V1203" s="31"/>
    </row>
    <row r="1204" spans="1:22" s="168" customFormat="1" ht="20.250000" customHeight="1">
      <c r="A1204" s="34">
        <v>1202</v>
      </c>
      <c r="B1204" s="34"/>
      <c r="C1204" s="34"/>
      <c r="D1204" s="34"/>
      <c r="E1204" s="34"/>
      <c r="F1204" s="85"/>
      <c r="G1204" s="159"/>
      <c r="H1204" s="155"/>
      <c r="I1204" s="164"/>
      <c r="J1204" s="164"/>
      <c r="K1204" s="155"/>
      <c r="L1204" s="85"/>
      <c r="M1204" s="100"/>
      <c r="N1204" s="87"/>
      <c r="O1204" s="20"/>
      <c r="P1204" s="85"/>
      <c r="Q1204" s="88"/>
      <c r="R1204" s="88"/>
      <c r="S1204" s="88"/>
      <c r="T1204" s="58" t="e">
        <f>Boosters_And!U1204/C1204</f>
        <v>#DIV/0!</v>
      </c>
      <c r="U1204" s="101"/>
      <c r="V1204" s="31"/>
    </row>
    <row r="1205" spans="1:22" s="168" customFormat="1" ht="20.250000" customHeight="1">
      <c r="A1205" s="34">
        <v>1203</v>
      </c>
      <c r="B1205" s="34"/>
      <c r="C1205" s="34"/>
      <c r="D1205" s="34"/>
      <c r="E1205" s="34"/>
      <c r="F1205" s="85"/>
      <c r="G1205" s="159"/>
      <c r="H1205" s="155"/>
      <c r="I1205" s="164"/>
      <c r="J1205" s="164"/>
      <c r="K1205" s="155"/>
      <c r="L1205" s="85"/>
      <c r="M1205" s="100"/>
      <c r="N1205" s="87"/>
      <c r="O1205" s="20"/>
      <c r="P1205" s="85"/>
      <c r="Q1205" s="88"/>
      <c r="R1205" s="88"/>
      <c r="S1205" s="88"/>
      <c r="T1205" s="58" t="e">
        <f>Boosters_And!U1205/C1205</f>
        <v>#DIV/0!</v>
      </c>
      <c r="U1205" s="101"/>
      <c r="V1205" s="31"/>
    </row>
    <row r="1206" spans="1:22" s="168" customFormat="1" ht="20.250000" customHeight="1">
      <c r="A1206" s="34">
        <v>1204</v>
      </c>
      <c r="B1206" s="34"/>
      <c r="C1206" s="34"/>
      <c r="D1206" s="34"/>
      <c r="E1206" s="34"/>
      <c r="F1206" s="85"/>
      <c r="G1206" s="159"/>
      <c r="H1206" s="155"/>
      <c r="I1206" s="164"/>
      <c r="J1206" s="164"/>
      <c r="K1206" s="155"/>
      <c r="L1206" s="85"/>
      <c r="M1206" s="100"/>
      <c r="N1206" s="87"/>
      <c r="O1206" s="20"/>
      <c r="P1206" s="85"/>
      <c r="Q1206" s="88"/>
      <c r="R1206" s="88"/>
      <c r="S1206" s="88"/>
      <c r="T1206" s="58" t="e">
        <f>Boosters_And!U1206/C1206</f>
        <v>#DIV/0!</v>
      </c>
      <c r="U1206" s="101"/>
      <c r="V1206" s="31"/>
    </row>
    <row r="1207" spans="1:22" s="168" customFormat="1" ht="20.250000" customHeight="1">
      <c r="A1207" s="34">
        <v>1205</v>
      </c>
      <c r="B1207" s="34"/>
      <c r="C1207" s="34"/>
      <c r="D1207" s="34"/>
      <c r="E1207" s="34"/>
      <c r="F1207" s="85"/>
      <c r="G1207" s="159"/>
      <c r="H1207" s="155"/>
      <c r="I1207" s="164"/>
      <c r="J1207" s="164"/>
      <c r="K1207" s="155"/>
      <c r="L1207" s="85"/>
      <c r="M1207" s="100"/>
      <c r="N1207" s="87"/>
      <c r="O1207" s="20"/>
      <c r="P1207" s="85"/>
      <c r="Q1207" s="88"/>
      <c r="R1207" s="88"/>
      <c r="S1207" s="88"/>
      <c r="T1207" s="58" t="e">
        <f>Boosters_And!U1207/C1207</f>
        <v>#DIV/0!</v>
      </c>
      <c r="U1207" s="101"/>
      <c r="V1207" s="31"/>
    </row>
    <row r="1208" spans="1:22" s="168" customFormat="1" ht="20.250000" customHeight="1">
      <c r="A1208" s="34">
        <v>1206</v>
      </c>
      <c r="B1208" s="34"/>
      <c r="C1208" s="34"/>
      <c r="D1208" s="34"/>
      <c r="E1208" s="34"/>
      <c r="F1208" s="85"/>
      <c r="G1208" s="159"/>
      <c r="H1208" s="155"/>
      <c r="I1208" s="164"/>
      <c r="J1208" s="164"/>
      <c r="K1208" s="155"/>
      <c r="L1208" s="85"/>
      <c r="M1208" s="100"/>
      <c r="N1208" s="87"/>
      <c r="O1208" s="20"/>
      <c r="P1208" s="85"/>
      <c r="Q1208" s="88"/>
      <c r="R1208" s="88"/>
      <c r="S1208" s="88"/>
      <c r="T1208" s="58" t="e">
        <f>Boosters_And!U1208/C1208</f>
        <v>#DIV/0!</v>
      </c>
      <c r="U1208" s="101"/>
      <c r="V1208" s="31"/>
    </row>
    <row r="1209" spans="1:22" s="168" customFormat="1" ht="20.250000" customHeight="1">
      <c r="A1209" s="34">
        <v>1207</v>
      </c>
      <c r="B1209" s="34"/>
      <c r="C1209" s="34"/>
      <c r="D1209" s="34"/>
      <c r="E1209" s="34"/>
      <c r="F1209" s="85"/>
      <c r="G1209" s="159"/>
      <c r="H1209" s="155"/>
      <c r="I1209" s="164"/>
      <c r="J1209" s="164"/>
      <c r="K1209" s="155"/>
      <c r="L1209" s="85"/>
      <c r="M1209" s="100"/>
      <c r="N1209" s="87"/>
      <c r="O1209" s="20"/>
      <c r="P1209" s="85"/>
      <c r="Q1209" s="88"/>
      <c r="R1209" s="88"/>
      <c r="S1209" s="88"/>
      <c r="T1209" s="58" t="e">
        <f>Boosters_And!U1209/C1209</f>
        <v>#DIV/0!</v>
      </c>
      <c r="U1209" s="101"/>
      <c r="V1209" s="31"/>
    </row>
    <row r="1210" spans="1:22" s="168" customFormat="1" ht="20.250000" customHeight="1">
      <c r="A1210" s="34">
        <v>1208</v>
      </c>
      <c r="B1210" s="34"/>
      <c r="C1210" s="34"/>
      <c r="D1210" s="34"/>
      <c r="E1210" s="34"/>
      <c r="F1210" s="85"/>
      <c r="G1210" s="159"/>
      <c r="H1210" s="155"/>
      <c r="I1210" s="164"/>
      <c r="J1210" s="164"/>
      <c r="K1210" s="155"/>
      <c r="L1210" s="85"/>
      <c r="M1210" s="100"/>
      <c r="N1210" s="87"/>
      <c r="O1210" s="20"/>
      <c r="P1210" s="85"/>
      <c r="Q1210" s="88"/>
      <c r="R1210" s="88"/>
      <c r="S1210" s="88"/>
      <c r="T1210" s="58" t="e">
        <f>Boosters_And!U1210/C1210</f>
        <v>#DIV/0!</v>
      </c>
      <c r="U1210" s="101"/>
      <c r="V1210" s="31"/>
    </row>
    <row r="1211" spans="1:22" s="168" customFormat="1" ht="20.250000" customHeight="1">
      <c r="A1211" s="34">
        <v>1209</v>
      </c>
      <c r="B1211" s="34"/>
      <c r="C1211" s="34"/>
      <c r="D1211" s="34"/>
      <c r="E1211" s="34"/>
      <c r="F1211" s="85"/>
      <c r="G1211" s="159"/>
      <c r="H1211" s="155"/>
      <c r="I1211" s="164"/>
      <c r="J1211" s="164"/>
      <c r="K1211" s="155"/>
      <c r="L1211" s="85"/>
      <c r="M1211" s="100"/>
      <c r="N1211" s="87"/>
      <c r="O1211" s="20"/>
      <c r="P1211" s="85"/>
      <c r="Q1211" s="88"/>
      <c r="R1211" s="88"/>
      <c r="S1211" s="88"/>
      <c r="T1211" s="58" t="e">
        <f>Boosters_And!U1211/C1211</f>
        <v>#DIV/0!</v>
      </c>
      <c r="U1211" s="101"/>
      <c r="V1211" s="31"/>
    </row>
    <row r="1212" spans="1:22" s="168" customFormat="1" ht="20.250000" customHeight="1">
      <c r="A1212" s="34">
        <v>1210</v>
      </c>
      <c r="B1212" s="34"/>
      <c r="C1212" s="34"/>
      <c r="D1212" s="34"/>
      <c r="E1212" s="34"/>
      <c r="F1212" s="85"/>
      <c r="G1212" s="159"/>
      <c r="H1212" s="155"/>
      <c r="I1212" s="164"/>
      <c r="J1212" s="164"/>
      <c r="K1212" s="155"/>
      <c r="L1212" s="85"/>
      <c r="M1212" s="100"/>
      <c r="N1212" s="87"/>
      <c r="O1212" s="20"/>
      <c r="P1212" s="85"/>
      <c r="Q1212" s="88"/>
      <c r="R1212" s="88"/>
      <c r="S1212" s="88"/>
      <c r="T1212" s="58" t="e">
        <f>Boosters_And!U1212/C1212</f>
        <v>#DIV/0!</v>
      </c>
      <c r="U1212" s="101"/>
      <c r="V1212" s="31"/>
    </row>
    <row r="1213" spans="1:22" s="168" customFormat="1" ht="20.250000" customHeight="1">
      <c r="A1213" s="34">
        <v>1211</v>
      </c>
      <c r="B1213" s="34"/>
      <c r="C1213" s="34"/>
      <c r="D1213" s="34"/>
      <c r="E1213" s="34"/>
      <c r="F1213" s="85"/>
      <c r="G1213" s="159"/>
      <c r="H1213" s="155"/>
      <c r="I1213" s="164"/>
      <c r="J1213" s="164"/>
      <c r="K1213" s="155"/>
      <c r="L1213" s="85"/>
      <c r="M1213" s="100"/>
      <c r="N1213" s="87"/>
      <c r="O1213" s="20"/>
      <c r="P1213" s="85"/>
      <c r="Q1213" s="88"/>
      <c r="R1213" s="88"/>
      <c r="S1213" s="88"/>
      <c r="T1213" s="58" t="e">
        <f>Boosters_And!U1213/C1213</f>
        <v>#DIV/0!</v>
      </c>
      <c r="U1213" s="101"/>
      <c r="V1213" s="31"/>
    </row>
    <row r="1214" spans="1:22" s="168" customFormat="1" ht="20.250000" customHeight="1">
      <c r="A1214" s="34">
        <v>1212</v>
      </c>
      <c r="B1214" s="34"/>
      <c r="C1214" s="34"/>
      <c r="D1214" s="34"/>
      <c r="E1214" s="34"/>
      <c r="F1214" s="85"/>
      <c r="G1214" s="159"/>
      <c r="H1214" s="155"/>
      <c r="I1214" s="164"/>
      <c r="J1214" s="164"/>
      <c r="K1214" s="155"/>
      <c r="L1214" s="85"/>
      <c r="M1214" s="100"/>
      <c r="N1214" s="87"/>
      <c r="O1214" s="20"/>
      <c r="P1214" s="85"/>
      <c r="Q1214" s="88"/>
      <c r="R1214" s="88"/>
      <c r="S1214" s="88"/>
      <c r="T1214" s="58" t="e">
        <f>Boosters_And!U1214/C1214</f>
        <v>#DIV/0!</v>
      </c>
      <c r="U1214" s="101"/>
      <c r="V1214" s="31"/>
    </row>
    <row r="1215" spans="1:22" s="168" customFormat="1" ht="20.250000" customHeight="1">
      <c r="A1215" s="34">
        <v>1213</v>
      </c>
      <c r="B1215" s="34"/>
      <c r="C1215" s="34"/>
      <c r="D1215" s="34"/>
      <c r="E1215" s="34"/>
      <c r="F1215" s="85"/>
      <c r="G1215" s="159"/>
      <c r="H1215" s="155"/>
      <c r="I1215" s="164"/>
      <c r="J1215" s="164"/>
      <c r="K1215" s="155"/>
      <c r="L1215" s="85"/>
      <c r="M1215" s="100"/>
      <c r="N1215" s="87"/>
      <c r="O1215" s="20"/>
      <c r="P1215" s="85"/>
      <c r="Q1215" s="88"/>
      <c r="R1215" s="88"/>
      <c r="S1215" s="88"/>
      <c r="T1215" s="58" t="e">
        <f>Boosters_And!U1215/C1215</f>
        <v>#DIV/0!</v>
      </c>
      <c r="U1215" s="101"/>
      <c r="V1215" s="31"/>
    </row>
    <row r="1216" spans="1:22">
      <c r="A1216" s="34"/>
      <c r="B1216" s="34"/>
      <c r="C1216" s="34"/>
      <c r="D1216" s="34"/>
      <c r="E1216" s="34"/>
      <c r="F1216" s="85"/>
      <c r="G1216" s="159"/>
      <c r="H1216" s="155"/>
      <c r="I1216" s="164"/>
      <c r="J1216" s="164"/>
      <c r="K1216" s="155"/>
      <c r="L1216" s="85"/>
      <c r="M1216" s="100"/>
      <c r="N1216" s="36"/>
      <c r="O1216" s="2"/>
      <c r="P1216" s="78"/>
      <c r="Q1216" s="78"/>
      <c r="R1216" s="78"/>
      <c r="S1216" s="78"/>
      <c r="T1216" s="78"/>
      <c r="U1216" s="101"/>
      <c r="V1216" s="31"/>
    </row>
    <row r="1217" spans="1:22">
      <c r="A1217" s="34"/>
      <c r="B1217" s="34"/>
      <c r="C1217" s="34"/>
      <c r="D1217" s="34"/>
      <c r="E1217" s="34"/>
      <c r="F1217" s="85"/>
      <c r="G1217" s="159"/>
      <c r="H1217" s="155"/>
      <c r="I1217" s="164"/>
      <c r="J1217" s="164"/>
      <c r="K1217" s="155"/>
      <c r="L1217" s="85"/>
      <c r="N1217" s="36"/>
      <c r="O1217" s="2"/>
      <c r="P1217" s="78"/>
      <c r="Q1217" s="78"/>
      <c r="R1217" s="78"/>
      <c r="S1217" s="78"/>
      <c r="T1217" s="78"/>
      <c r="U1217" s="78"/>
      <c r="V1217" s="78"/>
    </row>
  </sheetData>
  <phoneticPr fontId="1" type="noConversion"/>
  <conditionalFormatting sqref="H3:H402">
    <cfRule type="expression" dxfId="7" priority="1" stopIfTrue="1" operator="" text="">
      <formula>AND(ISNUMBER(H3),H3&gt;10)</formula>
    </cfRule>
    <cfRule type="expression" dxfId="8" priority="2" stopIfTrue="1" operator="" text="">
      <formula>AND(ISNUMBER(H3),H3&gt;=8.5,H3&lt;=10)</formula>
    </cfRule>
  </conditionalFormatting>
  <conditionalFormatting sqref="K3:K402">
    <cfRule type="expression" dxfId="9" priority="3" stopIfTrue="1" operator="" text="">
      <formula>AND(ISNUMBER($A3),ISNUMBER(K3),K3&gt;(IF($A3&lt;=20,50,IF($A3&lt;=30,50-2*($A3-20),IF($A3&lt;=50,30-0.75*($A3-30),IF($A3&lt;=100,15-0.16*($A3-50),7))))))</formula>
    </cfRule>
    <cfRule type="expression" dxfId="8" priority="4" stopIfTrue="1" operator="" text="">
      <formula>AND(ISNUMBER($A3),ISNUMBER(K3),K3&gt;=(IF($A3&lt;=20,45,IF($A3&lt;=30,45-2*($A3-20),IF($A3&lt;=50,25-0.65*($A3-30),IF($A3&lt;=100,12-0.14*($A3-50),5))))),K3&lt;=(IF($A3&lt;=20,50,IF($A3&lt;=30,50-2*($A3-20),IF($A3&lt;=50,30-0.75*($A3-30),IF($A3&lt;=100,15-0.16*($A3-50),7))))))</formula>
    </cfRule>
    <cfRule type="expression" dxfId="7" priority="5" stopIfTrue="1" operator="" text="">
      <formula>AND(ISNUMBER($A3),ISNUMBER(K3),K3&lt;(IF($A3&lt;=20,45,IF($A3&lt;=30,45-2*($A3-20),IF($A3&lt;=50,25-0.65*($A3-30),IF($A3&lt;=100,12-0.14*($A3-50),5))))))</formula>
    </cfRule>
  </conditionalFormatting>
  <dataValidations count="2">
    <dataValidation type="list" allowBlank="1" showInputMessage="1" showErrorMessage="1" sqref="M3:M1002">
      <formula1>"Normal,Hard,Very Hard"</formula1>
    </dataValidation>
    <dataValidation type="custom" allowBlank="1" showInputMessage="1" showErrorMessage="1" sqref="V3:V1002">
      <formula1>AND(ISNUMBER(U3),(NOT(OR(NOT(ISERROR(DATEVALUE(U3))), AND(ISNUMBER(U3), LEFT(CELL("format", U3))="D")))))</formula1>
    </dataValidation>
  </dataValidations>
  <pageMargins left="0.70" right="0.70" top="0.75" bottom="0.75" header="0.30" footer="0.30"/>
  <pageSetup paperSize="9" orientation="portrait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X1626"/>
  <sheetViews>
    <sheetView workbookViewId="0">
      <pane xSplit="1" topLeftCell="B1" activePane="topRight" state="frozen"/>
      <selection pane="topRight" activeCell="C2" sqref="C2"/>
    </sheetView>
  </sheetViews>
  <sheetFormatPr defaultColWidth="12.63000000" defaultRowHeight="15.750000" customHeight="1"/>
  <cols>
    <col min="2" max="2" style="168" width="17.29071508" customWidth="1" outlineLevel="0"/>
    <col min="3" max="4" style="168" width="13.43357168" customWidth="1" outlineLevel="0"/>
    <col min="5" max="5" style="168" width="13.57642828" customWidth="1" outlineLevel="0"/>
    <col min="6" max="7" style="168" width="13.43357168" customWidth="1" outlineLevel="0"/>
    <col min="8" max="8" style="168" width="13.57642828" customWidth="1" outlineLevel="0"/>
    <col min="9" max="9" style="168" width="14.71928583" customWidth="1" outlineLevel="0"/>
    <col min="10" max="10" style="168" width="12.57642828" customWidth="1" outlineLevel="0"/>
    <col min="11" max="12" style="168" width="15.86214243" customWidth="1" outlineLevel="0"/>
    <col min="13" max="13" style="168" width="21.57642828" customWidth="1" outlineLevel="0"/>
    <col min="14" max="14" style="168" width="19.29071508" customWidth="1" outlineLevel="0"/>
    <col min="15" max="20" style="168" width="15.00499998" customWidth="1" outlineLevel="0"/>
    <col min="22" max="22" style="168" width="16.57642828" customWidth="1" outlineLevel="0"/>
    <col min="23" max="24" style="168" width="15.86214243" customWidth="1" outlineLevel="0"/>
  </cols>
  <sheetData>
    <row r="1" spans="1:24" s="168" customFormat="1" ht="22.500000" customHeight="1">
      <c r="A1" s="32" t="s">
        <v>5</v>
      </c>
      <c r="B1" s="34"/>
      <c r="C1" s="34" t="s">
        <v>7</v>
      </c>
      <c r="D1" s="48" t="s">
        <v>7</v>
      </c>
      <c r="E1" s="48" t="s">
        <v>7</v>
      </c>
      <c r="F1" s="102" t="s">
        <v>8</v>
      </c>
      <c r="G1" s="102" t="s">
        <v>8</v>
      </c>
      <c r="H1" s="102" t="s">
        <v>8</v>
      </c>
      <c r="I1" s="78"/>
      <c r="J1" s="103" t="s">
        <v>7</v>
      </c>
      <c r="K1" s="103" t="s">
        <v>31</v>
      </c>
      <c r="L1" s="103" t="s">
        <v>32</v>
      </c>
      <c r="M1" s="103" t="s">
        <v>33</v>
      </c>
      <c r="N1" s="34"/>
      <c r="O1" s="34" t="s">
        <v>7</v>
      </c>
      <c r="P1" s="48" t="s">
        <v>7</v>
      </c>
      <c r="Q1" s="48" t="s">
        <v>7</v>
      </c>
      <c r="R1" s="102" t="s">
        <v>8</v>
      </c>
      <c r="S1" s="102" t="s">
        <v>8</v>
      </c>
      <c r="T1" s="102" t="s">
        <v>8</v>
      </c>
      <c r="V1" s="103" t="s">
        <v>7</v>
      </c>
      <c r="W1" s="103" t="s">
        <v>31</v>
      </c>
      <c r="X1" s="103" t="s">
        <v>32</v>
      </c>
    </row>
    <row r="2" spans="1:24" s="168" customFormat="1" ht="22.500000" customHeight="1">
      <c r="A2" s="40" t="s">
        <v>0</v>
      </c>
      <c r="B2" s="104" t="s">
        <v>34</v>
      </c>
      <c r="C2" s="104" t="s">
        <v>35</v>
      </c>
      <c r="D2" s="104" t="s">
        <v>36</v>
      </c>
      <c r="E2" s="104" t="s">
        <v>37</v>
      </c>
      <c r="F2" s="104" t="s">
        <v>35</v>
      </c>
      <c r="G2" s="104" t="s">
        <v>36</v>
      </c>
      <c r="H2" s="104" t="s">
        <v>37</v>
      </c>
      <c r="I2" s="105" t="s">
        <v>21</v>
      </c>
      <c r="J2" s="106" t="s">
        <v>38</v>
      </c>
      <c r="K2" s="106" t="s">
        <v>39</v>
      </c>
      <c r="L2" s="106" t="s">
        <v>40</v>
      </c>
      <c r="M2" s="106" t="s">
        <v>41</v>
      </c>
      <c r="N2" s="104" t="s">
        <v>42</v>
      </c>
      <c r="O2" s="104" t="s">
        <v>43</v>
      </c>
      <c r="P2" s="104" t="s">
        <v>44</v>
      </c>
      <c r="Q2" s="104" t="s">
        <v>45</v>
      </c>
      <c r="R2" s="104" t="s">
        <v>43</v>
      </c>
      <c r="S2" s="104" t="s">
        <v>44</v>
      </c>
      <c r="T2" s="104" t="s">
        <v>45</v>
      </c>
      <c r="U2" s="107" t="s">
        <v>46</v>
      </c>
      <c r="V2" s="106" t="s">
        <v>47</v>
      </c>
      <c r="W2" s="106" t="s">
        <v>48</v>
      </c>
      <c r="X2" s="106" t="s">
        <v>49</v>
      </c>
    </row>
    <row r="3" spans="1:24" s="168" customFormat="1" ht="22.500000" customHeight="1">
      <c r="A3" s="34">
        <v>1</v>
      </c>
      <c r="B3" s="108">
        <f>C3+D3+E3+F3+G3+H3</f>
        <v>0</v>
      </c>
      <c r="C3" s="109">
        <v>0</v>
      </c>
      <c r="D3" s="109">
        <v>0</v>
      </c>
      <c r="E3" s="109">
        <v>0</v>
      </c>
      <c r="F3" s="109">
        <v>0</v>
      </c>
      <c r="G3" s="109">
        <v>0</v>
      </c>
      <c r="H3" s="109">
        <v>0</v>
      </c>
      <c r="I3" s="78" t="e">
        <f>(100*B3)/N3</f>
        <v>#DIV/0!</v>
      </c>
      <c r="J3" s="110" t="e">
        <f>((C3+F3)*100)/B3</f>
        <v>#DIV/0!</v>
      </c>
      <c r="K3" s="110" t="e">
        <f>((D3+G3)*100)/B3</f>
        <v>#DIV/0!</v>
      </c>
      <c r="L3" s="110" t="e">
        <f>((E3+H3)*100)/B3</f>
        <v>#DIV/0!</v>
      </c>
      <c r="M3" s="111"/>
      <c r="N3" s="108">
        <f>O3+P3+Q3+R3+S3+T3</f>
        <v>0</v>
      </c>
      <c r="O3" s="109">
        <v>0</v>
      </c>
      <c r="P3" s="109">
        <v>0</v>
      </c>
      <c r="Q3" s="109">
        <v>0</v>
      </c>
      <c r="R3" s="109">
        <v>0</v>
      </c>
      <c r="S3" s="109">
        <v>0</v>
      </c>
      <c r="T3" s="109">
        <v>0</v>
      </c>
      <c r="U3" s="49">
        <v>3</v>
      </c>
      <c r="V3" s="110" t="e">
        <f>((O3+R3)*100)/N3</f>
        <v>#DIV/0!</v>
      </c>
      <c r="W3" s="110" t="e">
        <f>((P3+S3)*100)/N3</f>
        <v>#DIV/0!</v>
      </c>
      <c r="X3" s="110" t="e">
        <f>((Q3+T3)*100)/N3</f>
        <v>#DIV/0!</v>
      </c>
    </row>
    <row r="4" spans="1:24" s="168" customFormat="1" ht="22.500000" customHeight="1">
      <c r="A4" s="34">
        <v>2</v>
      </c>
      <c r="B4" s="108">
        <f>C4+D4+E4+F4+G4+H4</f>
        <v>0</v>
      </c>
      <c r="C4" s="109">
        <v>0</v>
      </c>
      <c r="D4" s="109">
        <v>0</v>
      </c>
      <c r="E4" s="109">
        <v>0</v>
      </c>
      <c r="F4" s="109">
        <v>0</v>
      </c>
      <c r="G4" s="109">
        <v>0</v>
      </c>
      <c r="H4" s="109">
        <v>0</v>
      </c>
      <c r="I4" s="78" t="e">
        <f>(100*B4)/N4</f>
        <v>#DIV/0!</v>
      </c>
      <c r="J4" s="110" t="e">
        <f>((C4+F4)*100)/B4</f>
        <v>#DIV/0!</v>
      </c>
      <c r="K4" s="110" t="e">
        <f>((D4+G4)*100)/B4</f>
        <v>#DIV/0!</v>
      </c>
      <c r="L4" s="110" t="e">
        <f>((E4+H4)*100)/B4</f>
        <v>#DIV/0!</v>
      </c>
      <c r="M4" s="112">
        <f>N4-B3</f>
        <v>0</v>
      </c>
      <c r="N4" s="108">
        <f>O4+P4+Q4+R4+S4+T4</f>
        <v>0</v>
      </c>
      <c r="O4" s="109">
        <v>0</v>
      </c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49">
        <v>1</v>
      </c>
      <c r="V4" s="110" t="e">
        <f>((O4+R4)*100)/N4</f>
        <v>#DIV/0!</v>
      </c>
      <c r="W4" s="110" t="e">
        <f>((P4+S4)*100)/N4</f>
        <v>#DIV/0!</v>
      </c>
      <c r="X4" s="110" t="e">
        <f>((Q4+T4)*100)/N4</f>
        <v>#DIV/0!</v>
      </c>
    </row>
    <row r="5" spans="1:24" s="168" customFormat="1" ht="22.500000" customHeight="1">
      <c r="A5" s="34">
        <v>3</v>
      </c>
      <c r="B5" s="108">
        <f>C5+D5+E5+F5+G5+H5</f>
        <v>0</v>
      </c>
      <c r="C5" s="109">
        <v>0</v>
      </c>
      <c r="D5" s="109">
        <v>0</v>
      </c>
      <c r="E5" s="109">
        <v>0</v>
      </c>
      <c r="F5" s="109">
        <v>0</v>
      </c>
      <c r="G5" s="109">
        <v>0</v>
      </c>
      <c r="H5" s="109">
        <v>0</v>
      </c>
      <c r="I5" s="78" t="e">
        <f>(100*B5)/N5</f>
        <v>#DIV/0!</v>
      </c>
      <c r="J5" s="110" t="e">
        <f>((C5+F5)*100)/B5</f>
        <v>#DIV/0!</v>
      </c>
      <c r="K5" s="110" t="e">
        <f>((D5+G5)*100)/B5</f>
        <v>#DIV/0!</v>
      </c>
      <c r="L5" s="110" t="e">
        <f>((E5+H5)*100)/B5</f>
        <v>#DIV/0!</v>
      </c>
      <c r="M5" s="112">
        <f>N5-B4</f>
        <v>0</v>
      </c>
      <c r="N5" s="108">
        <f>O5+P5+Q5+R5+S5+T5</f>
        <v>0</v>
      </c>
      <c r="O5" s="109">
        <v>0</v>
      </c>
      <c r="P5" s="109">
        <v>0</v>
      </c>
      <c r="Q5" s="109">
        <v>0</v>
      </c>
      <c r="R5" s="109">
        <v>0</v>
      </c>
      <c r="S5" s="109">
        <v>0</v>
      </c>
      <c r="T5" s="109">
        <v>0</v>
      </c>
      <c r="U5" s="49">
        <v>3</v>
      </c>
      <c r="V5" s="110" t="e">
        <f>((O5+R5)*100)/N5</f>
        <v>#DIV/0!</v>
      </c>
      <c r="W5" s="110" t="e">
        <f>((P5+S5)*100)/N5</f>
        <v>#DIV/0!</v>
      </c>
      <c r="X5" s="110" t="e">
        <f>((Q5+T5)*100)/N5</f>
        <v>#DIV/0!</v>
      </c>
    </row>
    <row r="6" spans="1:24" s="168" customFormat="1" ht="22.500000" customHeight="1">
      <c r="A6" s="34">
        <v>4</v>
      </c>
      <c r="B6" s="108">
        <f>C6+D6+E6+F6+G6+H6</f>
        <v>0</v>
      </c>
      <c r="C6" s="109">
        <v>0</v>
      </c>
      <c r="D6" s="109">
        <v>0</v>
      </c>
      <c r="E6" s="109">
        <v>0</v>
      </c>
      <c r="F6" s="109">
        <v>0</v>
      </c>
      <c r="G6" s="109">
        <v>0</v>
      </c>
      <c r="H6" s="109">
        <v>0</v>
      </c>
      <c r="I6" s="78" t="e">
        <f>(100*B6)/N6</f>
        <v>#DIV/0!</v>
      </c>
      <c r="J6" s="110" t="e">
        <f>((C6+F6)*100)/B6</f>
        <v>#DIV/0!</v>
      </c>
      <c r="K6" s="110" t="e">
        <f>((D6+G6)*100)/B6</f>
        <v>#DIV/0!</v>
      </c>
      <c r="L6" s="110" t="e">
        <f>((E6+H6)*100)/B6</f>
        <v>#DIV/0!</v>
      </c>
      <c r="M6" s="112">
        <f>N6-B5</f>
        <v>0</v>
      </c>
      <c r="N6" s="108">
        <f>O6+P6+Q6+R6+S6+T6</f>
        <v>0</v>
      </c>
      <c r="O6" s="109">
        <v>0</v>
      </c>
      <c r="P6" s="109">
        <v>0</v>
      </c>
      <c r="Q6" s="109">
        <v>0</v>
      </c>
      <c r="R6" s="109">
        <v>0</v>
      </c>
      <c r="S6" s="109">
        <v>0</v>
      </c>
      <c r="T6" s="109">
        <v>0</v>
      </c>
      <c r="U6" s="49">
        <v>3</v>
      </c>
      <c r="V6" s="110" t="e">
        <f>((O6+R6)*100)/N6</f>
        <v>#DIV/0!</v>
      </c>
      <c r="W6" s="110" t="e">
        <f>((P6+S6)*100)/N6</f>
        <v>#DIV/0!</v>
      </c>
      <c r="X6" s="110" t="e">
        <f>((Q6+T6)*100)/N6</f>
        <v>#DIV/0!</v>
      </c>
    </row>
    <row r="7" spans="1:24" s="168" customFormat="1" ht="22.500000" customHeight="1">
      <c r="A7" s="34">
        <v>5</v>
      </c>
      <c r="B7" s="108">
        <f>C7+D7+E7+F7+G7+H7</f>
        <v>0</v>
      </c>
      <c r="C7" s="109">
        <v>0</v>
      </c>
      <c r="D7" s="109">
        <v>0</v>
      </c>
      <c r="E7" s="109">
        <v>0</v>
      </c>
      <c r="F7" s="109">
        <v>0</v>
      </c>
      <c r="G7" s="109">
        <v>0</v>
      </c>
      <c r="H7" s="109">
        <v>0</v>
      </c>
      <c r="I7" s="78" t="e">
        <f>(100*B7)/N7</f>
        <v>#DIV/0!</v>
      </c>
      <c r="J7" s="110" t="e">
        <f>((C7+F7)*100)/B7</f>
        <v>#DIV/0!</v>
      </c>
      <c r="K7" s="110" t="e">
        <f>((D7+G7)*100)/B7</f>
        <v>#DIV/0!</v>
      </c>
      <c r="L7" s="110" t="e">
        <f>((E7+H7)*100)/B7</f>
        <v>#DIV/0!</v>
      </c>
      <c r="M7" s="112">
        <f>N7-B6</f>
        <v>0</v>
      </c>
      <c r="N7" s="108">
        <f>O7+P7+Q7+R7+S7+T7</f>
        <v>0</v>
      </c>
      <c r="O7" s="109">
        <v>0</v>
      </c>
      <c r="P7" s="109">
        <v>0</v>
      </c>
      <c r="Q7" s="109">
        <v>0</v>
      </c>
      <c r="R7" s="109">
        <v>0</v>
      </c>
      <c r="S7" s="109">
        <v>0</v>
      </c>
      <c r="T7" s="109">
        <v>0</v>
      </c>
      <c r="U7" s="49">
        <v>5</v>
      </c>
      <c r="V7" s="110" t="e">
        <f>((O7+R7)*100)/N7</f>
        <v>#DIV/0!</v>
      </c>
      <c r="W7" s="110" t="e">
        <f>((P7+S7)*100)/N7</f>
        <v>#DIV/0!</v>
      </c>
      <c r="X7" s="110" t="e">
        <f>((Q7+T7)*100)/N7</f>
        <v>#DIV/0!</v>
      </c>
    </row>
    <row r="8" spans="1:24" s="168" customFormat="1" ht="22.500000" customHeight="1">
      <c r="A8" s="34">
        <v>6</v>
      </c>
      <c r="B8" s="108">
        <f>C8+D8+E8+F8+G8+H8</f>
        <v>0</v>
      </c>
      <c r="C8" s="109">
        <v>0</v>
      </c>
      <c r="D8" s="109">
        <v>0</v>
      </c>
      <c r="E8" s="109">
        <v>0</v>
      </c>
      <c r="F8" s="109">
        <v>0</v>
      </c>
      <c r="G8" s="109">
        <v>0</v>
      </c>
      <c r="H8" s="109">
        <v>0</v>
      </c>
      <c r="I8" s="78" t="e">
        <f>(100*B8)/N8</f>
        <v>#DIV/0!</v>
      </c>
      <c r="J8" s="110" t="e">
        <f>((C8+F8)*100)/B8</f>
        <v>#DIV/0!</v>
      </c>
      <c r="K8" s="110" t="e">
        <f>((D8+G8)*100)/B8</f>
        <v>#DIV/0!</v>
      </c>
      <c r="L8" s="110" t="e">
        <f>((E8+H8)*100)/B8</f>
        <v>#DIV/0!</v>
      </c>
      <c r="M8" s="112">
        <f>N8-B7</f>
        <v>0</v>
      </c>
      <c r="N8" s="108">
        <f>O8+P8+Q8+R8+S8+T8</f>
        <v>0</v>
      </c>
      <c r="O8" s="109">
        <v>0</v>
      </c>
      <c r="P8" s="109">
        <v>0</v>
      </c>
      <c r="Q8" s="109">
        <v>0</v>
      </c>
      <c r="R8" s="109">
        <v>0</v>
      </c>
      <c r="S8" s="109">
        <v>0</v>
      </c>
      <c r="T8" s="109">
        <v>0</v>
      </c>
      <c r="U8" s="49">
        <v>7</v>
      </c>
      <c r="V8" s="110" t="e">
        <f>((O8+R8)*100)/N8</f>
        <v>#DIV/0!</v>
      </c>
      <c r="W8" s="110" t="e">
        <f>((P8+S8)*100)/N8</f>
        <v>#DIV/0!</v>
      </c>
      <c r="X8" s="110" t="e">
        <f>((Q8+T8)*100)/N8</f>
        <v>#DIV/0!</v>
      </c>
    </row>
    <row r="9" spans="1:24" s="168" customFormat="1" ht="22.500000" customHeight="1">
      <c r="A9" s="34">
        <v>7</v>
      </c>
      <c r="B9" s="108">
        <f>C9+D9+E9+F9+G9+H9</f>
        <v>0</v>
      </c>
      <c r="C9" s="109">
        <v>0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78" t="e">
        <f>(100*B9)/N9</f>
        <v>#DIV/0!</v>
      </c>
      <c r="J9" s="110" t="e">
        <f>((C9+F9)*100)/B9</f>
        <v>#DIV/0!</v>
      </c>
      <c r="K9" s="110" t="e">
        <f>((D9+G9)*100)/B9</f>
        <v>#DIV/0!</v>
      </c>
      <c r="L9" s="110" t="e">
        <f>((E9+H9)*100)/B9</f>
        <v>#DIV/0!</v>
      </c>
      <c r="M9" s="112">
        <f>N9-B8</f>
        <v>0</v>
      </c>
      <c r="N9" s="108">
        <f>O9+P9+Q9+R9+S9+T9</f>
        <v>0</v>
      </c>
      <c r="O9" s="109">
        <v>0</v>
      </c>
      <c r="P9" s="109">
        <v>0</v>
      </c>
      <c r="Q9" s="109">
        <v>0</v>
      </c>
      <c r="R9" s="109">
        <v>0</v>
      </c>
      <c r="S9" s="109">
        <v>0</v>
      </c>
      <c r="T9" s="109">
        <v>0</v>
      </c>
      <c r="U9" s="49">
        <v>3</v>
      </c>
      <c r="V9" s="110" t="e">
        <f>((O9+R9)*100)/N9</f>
        <v>#DIV/0!</v>
      </c>
      <c r="W9" s="110" t="e">
        <f>((P9+S9)*100)/N9</f>
        <v>#DIV/0!</v>
      </c>
      <c r="X9" s="110" t="e">
        <f>((Q9+T9)*100)/N9</f>
        <v>#DIV/0!</v>
      </c>
    </row>
    <row r="10" spans="1:24" s="168" customFormat="1" ht="22.500000" customHeight="1">
      <c r="A10" s="34">
        <v>8</v>
      </c>
      <c r="B10" s="108">
        <f>C10+D10+E10+F10+G10+H10</f>
        <v>4284.13039752276</v>
      </c>
      <c r="C10" s="109">
        <v>4283</v>
      </c>
      <c r="D10" s="109">
        <v>0</v>
      </c>
      <c r="E10" s="109">
        <v>0</v>
      </c>
      <c r="F10" s="109">
        <v>1.13039752276235</v>
      </c>
      <c r="G10" s="109">
        <v>0</v>
      </c>
      <c r="H10" s="109">
        <v>0</v>
      </c>
      <c r="I10" s="78">
        <f>(100*B10)/N10</f>
        <v>95.9287042128084</v>
      </c>
      <c r="J10" s="110">
        <f>((C10+F10)*100)/B10</f>
        <v>100</v>
      </c>
      <c r="K10" s="110">
        <f>((D10+G10)*100)/B10</f>
        <v>0</v>
      </c>
      <c r="L10" s="110">
        <f>((E10+H10)*100)/B10</f>
        <v>0</v>
      </c>
      <c r="M10" s="112">
        <f>N10-B9</f>
        <v>4465.95253493557</v>
      </c>
      <c r="N10" s="108">
        <f>O10+P10+Q10+R10+S10+T10</f>
        <v>4465.95253493557</v>
      </c>
      <c r="O10" s="109">
        <v>4345</v>
      </c>
      <c r="P10" s="109">
        <v>0</v>
      </c>
      <c r="Q10" s="109">
        <v>0</v>
      </c>
      <c r="R10" s="109">
        <v>120.952534935572</v>
      </c>
      <c r="S10" s="109">
        <v>0</v>
      </c>
      <c r="T10" s="109">
        <v>0</v>
      </c>
      <c r="U10" s="49">
        <v>0</v>
      </c>
      <c r="V10" s="110">
        <f>((O10+R10)*100)/N10</f>
        <v>100</v>
      </c>
      <c r="W10" s="110">
        <f>((P10+S10)*100)/N10</f>
        <v>0</v>
      </c>
      <c r="X10" s="110">
        <f>((Q10+T10)*100)/N10</f>
        <v>0</v>
      </c>
    </row>
    <row r="11" spans="1:24" s="168" customFormat="1" ht="22.500000" customHeight="1">
      <c r="A11" s="34">
        <v>9</v>
      </c>
      <c r="B11" s="108">
        <f>C11+D11+E11+F11+G11+H11</f>
        <v>98.5215900910494</v>
      </c>
      <c r="C11" s="109">
        <v>94</v>
      </c>
      <c r="D11" s="109">
        <v>0</v>
      </c>
      <c r="E11" s="109">
        <v>0</v>
      </c>
      <c r="F11" s="109">
        <v>4.52159009104942</v>
      </c>
      <c r="G11" s="109">
        <v>0</v>
      </c>
      <c r="H11" s="109">
        <v>0</v>
      </c>
      <c r="I11" s="78">
        <f>(100*B11)/N11</f>
        <v>2.22209193915152</v>
      </c>
      <c r="J11" s="110">
        <f>((C11+F11)*100)/B11</f>
        <v>100</v>
      </c>
      <c r="K11" s="110">
        <f>((D11+G11)*100)/B11</f>
        <v>0</v>
      </c>
      <c r="L11" s="110">
        <f>((E11+H11)*100)/B11</f>
        <v>0</v>
      </c>
      <c r="M11" s="112">
        <f>N11-B10</f>
        <v>149.601094643521</v>
      </c>
      <c r="N11" s="108">
        <f>O11+P11+Q11+R11+S11+T11</f>
        <v>4433.73149216628</v>
      </c>
      <c r="O11" s="109">
        <v>4202</v>
      </c>
      <c r="P11" s="109">
        <v>0</v>
      </c>
      <c r="Q11" s="109">
        <v>0</v>
      </c>
      <c r="R11" s="109">
        <v>231.731492166283</v>
      </c>
      <c r="S11" s="109">
        <v>0</v>
      </c>
      <c r="T11" s="109">
        <v>0</v>
      </c>
      <c r="U11" s="49">
        <v>26</v>
      </c>
      <c r="V11" s="110">
        <f>((O11+R11)*100)/N11</f>
        <v>100</v>
      </c>
      <c r="W11" s="110">
        <f>((P11+S11)*100)/N11</f>
        <v>0</v>
      </c>
      <c r="X11" s="110">
        <f>((Q11+T11)*100)/N11</f>
        <v>0</v>
      </c>
    </row>
    <row r="12" spans="1:24" s="168" customFormat="1" ht="22.500000" customHeight="1">
      <c r="A12" s="34">
        <v>10</v>
      </c>
      <c r="B12" s="108">
        <f>C12+D12+E12+F12+G12+H12</f>
        <v>58</v>
      </c>
      <c r="C12" s="109">
        <v>58</v>
      </c>
      <c r="D12" s="109">
        <v>0</v>
      </c>
      <c r="E12" s="109">
        <v>0</v>
      </c>
      <c r="F12" s="109">
        <v>0</v>
      </c>
      <c r="G12" s="109">
        <v>0</v>
      </c>
      <c r="H12" s="109">
        <v>0</v>
      </c>
      <c r="I12" s="78">
        <f>(100*B12)/N12</f>
        <v>1.40988078677922</v>
      </c>
      <c r="J12" s="110">
        <f>((C12+F12)*100)/B12</f>
        <v>100</v>
      </c>
      <c r="K12" s="110">
        <f>((D12+G12)*100)/B12</f>
        <v>0</v>
      </c>
      <c r="L12" s="110">
        <f>((E12+H12)*100)/B12</f>
        <v>0</v>
      </c>
      <c r="M12" s="112">
        <f>N12-B11</f>
        <v>4015.30140429823</v>
      </c>
      <c r="N12" s="108">
        <f>O12+P12+Q12+R12+S12+T12</f>
        <v>4113.82299438928</v>
      </c>
      <c r="O12" s="109">
        <v>4020</v>
      </c>
      <c r="P12" s="109">
        <v>0</v>
      </c>
      <c r="Q12" s="109">
        <v>0</v>
      </c>
      <c r="R12" s="109">
        <v>93.8229943892756</v>
      </c>
      <c r="S12" s="109">
        <v>0</v>
      </c>
      <c r="T12" s="109">
        <v>0</v>
      </c>
      <c r="U12" s="49">
        <v>8</v>
      </c>
      <c r="V12" s="110">
        <f>((O12+R12)*100)/N12</f>
        <v>100</v>
      </c>
      <c r="W12" s="110">
        <f>((P12+S12)*100)/N12</f>
        <v>0</v>
      </c>
      <c r="X12" s="110">
        <f>((Q12+T12)*100)/N12</f>
        <v>0</v>
      </c>
    </row>
    <row r="13" spans="1:24" s="168" customFormat="1" ht="22.500000" customHeight="1">
      <c r="A13" s="34">
        <v>11</v>
      </c>
      <c r="B13" s="108">
        <f>C13+D13+E13+F13+G13+H13</f>
        <v>299.259081092593</v>
      </c>
      <c r="C13" s="109">
        <v>245</v>
      </c>
      <c r="D13" s="109">
        <v>0</v>
      </c>
      <c r="E13" s="109">
        <v>0</v>
      </c>
      <c r="F13" s="109">
        <v>54.2590810925931</v>
      </c>
      <c r="G13" s="109">
        <v>0</v>
      </c>
      <c r="H13" s="109">
        <v>0</v>
      </c>
      <c r="I13" s="78">
        <f>(100*B13)/N13</f>
        <v>5.82769448604447</v>
      </c>
      <c r="J13" s="110">
        <f>((C13+F13)*100)/B13</f>
        <v>100</v>
      </c>
      <c r="K13" s="110">
        <f>((D13+G13)*100)/B13</f>
        <v>0</v>
      </c>
      <c r="L13" s="110">
        <f>((E13+H13)*100)/B13</f>
        <v>0</v>
      </c>
      <c r="M13" s="112">
        <f>N13-B12</f>
        <v>5077.11958818751</v>
      </c>
      <c r="N13" s="108">
        <f>O13+P13+Q13+R13+S13+T13</f>
        <v>5135.11958818751</v>
      </c>
      <c r="O13" s="109">
        <v>3487</v>
      </c>
      <c r="P13" s="109">
        <v>0</v>
      </c>
      <c r="Q13" s="109">
        <v>0</v>
      </c>
      <c r="R13" s="109">
        <v>1648.11958818751</v>
      </c>
      <c r="S13" s="109">
        <v>0</v>
      </c>
      <c r="T13" s="109">
        <v>0</v>
      </c>
      <c r="U13" s="49">
        <v>760</v>
      </c>
      <c r="V13" s="110">
        <f>((O13+R13)*100)/N13</f>
        <v>100</v>
      </c>
      <c r="W13" s="110">
        <f>((P13+S13)*100)/N13</f>
        <v>0</v>
      </c>
      <c r="X13" s="110">
        <f>((Q13+T13)*100)/N13</f>
        <v>0</v>
      </c>
    </row>
    <row r="14" spans="1:24" s="168" customFormat="1" ht="22.500000" customHeight="1">
      <c r="A14" s="34">
        <v>12</v>
      </c>
      <c r="B14" s="108">
        <f>C14+D14+E14+F14+G14+H14</f>
        <v>3743.13039752276</v>
      </c>
      <c r="C14" s="109">
        <v>23</v>
      </c>
      <c r="D14" s="109">
        <v>3719</v>
      </c>
      <c r="E14" s="109">
        <v>0</v>
      </c>
      <c r="F14" s="109">
        <v>0</v>
      </c>
      <c r="G14" s="109">
        <v>1.13039752276235</v>
      </c>
      <c r="H14" s="109">
        <v>0</v>
      </c>
      <c r="I14" s="78">
        <f>(100*B14)/N14</f>
        <v>53.3024747888967</v>
      </c>
      <c r="J14" s="110">
        <f>((C14+F14)*100)/B14</f>
        <v>0.61445895700619</v>
      </c>
      <c r="K14" s="110">
        <f>((D14+G14)*100)/B14</f>
        <v>99.3855410429938</v>
      </c>
      <c r="L14" s="110">
        <f>((E14+H14)*100)/B14</f>
        <v>0</v>
      </c>
      <c r="M14" s="112">
        <f>N14-B13</f>
        <v>6723.17357770486</v>
      </c>
      <c r="N14" s="108">
        <f>O14+P14+Q14+R14+S14+T14</f>
        <v>7022.43265879745</v>
      </c>
      <c r="O14" s="109">
        <v>3307</v>
      </c>
      <c r="P14" s="109">
        <v>3651</v>
      </c>
      <c r="Q14" s="109">
        <v>0</v>
      </c>
      <c r="R14" s="109">
        <v>25.9991430235342</v>
      </c>
      <c r="S14" s="109">
        <v>38.4335157739201</v>
      </c>
      <c r="T14" s="109">
        <v>0</v>
      </c>
      <c r="U14" s="49">
        <v>479</v>
      </c>
      <c r="V14" s="110">
        <f>((O14+R14)*100)/N14</f>
        <v>47.4621730811199</v>
      </c>
      <c r="W14" s="110">
        <f>((P14+S14)*100)/N14</f>
        <v>52.5378269188802</v>
      </c>
      <c r="X14" s="110">
        <f>((Q14+T14)*100)/N14</f>
        <v>0</v>
      </c>
    </row>
    <row r="15" spans="1:24" s="168" customFormat="1" ht="22.500000" customHeight="1">
      <c r="A15" s="34">
        <v>13</v>
      </c>
      <c r="B15" s="108">
        <f>C15+D15+E15+F15+G15+H15</f>
        <v>41</v>
      </c>
      <c r="C15" s="109">
        <v>9</v>
      </c>
      <c r="D15" s="109">
        <v>32</v>
      </c>
      <c r="E15" s="109">
        <v>0</v>
      </c>
      <c r="F15" s="109">
        <v>0</v>
      </c>
      <c r="G15" s="109">
        <v>0</v>
      </c>
      <c r="H15" s="109">
        <v>0</v>
      </c>
      <c r="I15" s="78">
        <f>(100*B15)/N15</f>
        <v>0.604700431624218</v>
      </c>
      <c r="J15" s="110">
        <f>((C15+F15)*100)/B15</f>
        <v>21.9512195121951</v>
      </c>
      <c r="K15" s="110">
        <f>((D15+G15)*100)/B15</f>
        <v>78.0487804878049</v>
      </c>
      <c r="L15" s="110">
        <f>((E15+H15)*100)/B15</f>
        <v>0</v>
      </c>
      <c r="M15" s="112">
        <f>N15-B14</f>
        <v>3037.0863603642</v>
      </c>
      <c r="N15" s="108">
        <f>O15+P15+Q15+R15+S15+T15</f>
        <v>6780.21675788696</v>
      </c>
      <c r="O15" s="109">
        <v>3226</v>
      </c>
      <c r="P15" s="109">
        <v>3535</v>
      </c>
      <c r="Q15" s="109">
        <v>0</v>
      </c>
      <c r="R15" s="109">
        <v>9.04318018209885</v>
      </c>
      <c r="S15" s="109">
        <v>10.1735777048612</v>
      </c>
      <c r="T15" s="109">
        <v>0</v>
      </c>
      <c r="U15" s="49">
        <v>486</v>
      </c>
      <c r="V15" s="110">
        <f>((O15+R15)*100)/N15</f>
        <v>47.7129757897341</v>
      </c>
      <c r="W15" s="110">
        <f>((P15+S15)*100)/N15</f>
        <v>52.2870242102659</v>
      </c>
      <c r="X15" s="110">
        <f>((Q15+T15)*100)/N15</f>
        <v>0</v>
      </c>
    </row>
    <row r="16" spans="1:24" s="168" customFormat="1" ht="22.500000" customHeight="1">
      <c r="A16" s="34">
        <v>14</v>
      </c>
      <c r="B16" s="108">
        <f>C16+D16+E16+F16+G16+H16</f>
        <v>222.736634025078</v>
      </c>
      <c r="C16" s="109">
        <v>93</v>
      </c>
      <c r="D16" s="109">
        <v>54</v>
      </c>
      <c r="E16" s="109">
        <v>0</v>
      </c>
      <c r="F16" s="109">
        <v>10.1735777048612</v>
      </c>
      <c r="G16" s="109">
        <v>65.5630563202166</v>
      </c>
      <c r="H16" s="109">
        <v>0</v>
      </c>
      <c r="I16" s="78">
        <f>(100*B16)/N16</f>
        <v>2.24667454371829</v>
      </c>
      <c r="J16" s="110">
        <f>((C16+F16)*100)/B16</f>
        <v>46.3208839248441</v>
      </c>
      <c r="K16" s="110">
        <f>((D16+G16)*100)/B16</f>
        <v>53.6791160751558</v>
      </c>
      <c r="L16" s="110">
        <f>((E16+H16)*100)/B16</f>
        <v>0</v>
      </c>
      <c r="M16" s="112">
        <f>N16-B15</f>
        <v>9873.05874285843</v>
      </c>
      <c r="N16" s="108">
        <f>O16+P16+Q16+R16+S16+T16</f>
        <v>9914.05874285843</v>
      </c>
      <c r="O16" s="109">
        <v>3079</v>
      </c>
      <c r="P16" s="109">
        <v>3341</v>
      </c>
      <c r="Q16" s="109">
        <v>0</v>
      </c>
      <c r="R16" s="109">
        <v>1715.94343955325</v>
      </c>
      <c r="S16" s="109">
        <v>1778.11530330518</v>
      </c>
      <c r="T16" s="109">
        <v>0</v>
      </c>
      <c r="U16" s="49">
        <v>539</v>
      </c>
      <c r="V16" s="110">
        <f>((O16+R16)*100)/N16</f>
        <v>48.3650900596819</v>
      </c>
      <c r="W16" s="110">
        <f>((P16+S16)*100)/N16</f>
        <v>51.6349099403181</v>
      </c>
      <c r="X16" s="110">
        <f>((Q16+T16)*100)/N16</f>
        <v>0</v>
      </c>
    </row>
    <row r="17" spans="1:24" s="168" customFormat="1" ht="22.500000" customHeight="1">
      <c r="A17" s="34">
        <v>15</v>
      </c>
      <c r="B17" s="108">
        <f>C17+D17+E17+F17+G17+H17</f>
        <v>83.6519876138118</v>
      </c>
      <c r="C17" s="109">
        <v>25</v>
      </c>
      <c r="D17" s="109">
        <v>53</v>
      </c>
      <c r="E17" s="109">
        <v>0</v>
      </c>
      <c r="F17" s="109">
        <v>0</v>
      </c>
      <c r="G17" s="109">
        <v>5.65198761381178</v>
      </c>
      <c r="H17" s="109">
        <v>0</v>
      </c>
      <c r="I17" s="78">
        <f>(100*B17)/N17</f>
        <v>1.28867924420346</v>
      </c>
      <c r="J17" s="110">
        <f>((C17+F17)*100)/B17</f>
        <v>29.8857214432431</v>
      </c>
      <c r="K17" s="110">
        <f>((D17+G17)*100)/B17</f>
        <v>70.1142785567569</v>
      </c>
      <c r="L17" s="110">
        <f>((E17+H17)*100)/B17</f>
        <v>0</v>
      </c>
      <c r="M17" s="112">
        <f>N17-B16</f>
        <v>6268.55962841435</v>
      </c>
      <c r="N17" s="108">
        <f>O17+P17+Q17+R17+S17+T17</f>
        <v>6491.29626243943</v>
      </c>
      <c r="O17" s="109">
        <v>3008</v>
      </c>
      <c r="P17" s="109">
        <v>3238</v>
      </c>
      <c r="Q17" s="109">
        <v>0</v>
      </c>
      <c r="R17" s="109">
        <v>117.561342367285</v>
      </c>
      <c r="S17" s="109">
        <v>127.734920072146</v>
      </c>
      <c r="T17" s="109">
        <v>0</v>
      </c>
      <c r="U17" s="49">
        <v>462</v>
      </c>
      <c r="V17" s="110">
        <f>((O17+R17)*100)/N17</f>
        <v>48.1500337683355</v>
      </c>
      <c r="W17" s="110">
        <f>((P17+S17)*100)/N17</f>
        <v>51.8499662316645</v>
      </c>
      <c r="X17" s="110">
        <f>((Q17+T17)*100)/N17</f>
        <v>0</v>
      </c>
    </row>
    <row r="18" spans="1:24" s="168" customFormat="1" ht="22.500000" customHeight="1">
      <c r="A18" s="34">
        <v>16</v>
      </c>
      <c r="B18" s="108">
        <f>C18+D18+E18+F18+G18+H18</f>
        <v>3406.21247300463</v>
      </c>
      <c r="C18" s="109">
        <v>21</v>
      </c>
      <c r="D18" s="109">
        <v>36</v>
      </c>
      <c r="E18" s="109">
        <v>3200</v>
      </c>
      <c r="F18" s="109">
        <v>4.52159009104942</v>
      </c>
      <c r="G18" s="109">
        <v>7.91278265933649</v>
      </c>
      <c r="H18" s="109">
        <v>136.778100254245</v>
      </c>
      <c r="I18" s="78">
        <f>(100*B18)/N18</f>
        <v>32.8854962391284</v>
      </c>
      <c r="J18" s="110">
        <f>((C18+F18)*100)/B18</f>
        <v>0.749265945483922</v>
      </c>
      <c r="K18" s="110">
        <f>((D18+G18)*100)/B18</f>
        <v>1.289196813392</v>
      </c>
      <c r="L18" s="110">
        <f>((E18+H18)*100)/B18</f>
        <v>97.9615372411241</v>
      </c>
      <c r="M18" s="112">
        <f>N18-B17</f>
        <v>10274.1435835286</v>
      </c>
      <c r="N18" s="108">
        <f>O18+P18+Q18+R18+S18+T18</f>
        <v>10357.7955711424</v>
      </c>
      <c r="O18" s="109">
        <v>2936</v>
      </c>
      <c r="P18" s="109">
        <v>3133</v>
      </c>
      <c r="Q18" s="109">
        <v>3363</v>
      </c>
      <c r="R18" s="109">
        <v>256.600237667055</v>
      </c>
      <c r="S18" s="109">
        <v>265.643417849153</v>
      </c>
      <c r="T18" s="109">
        <v>403.551915626161</v>
      </c>
      <c r="U18" s="49">
        <v>450</v>
      </c>
      <c r="V18" s="110">
        <f>((O18+R18)*100)/N18</f>
        <v>30.8231632468388</v>
      </c>
      <c r="W18" s="110">
        <f>((P18+S18)*100)/N18</f>
        <v>32.8124203118861</v>
      </c>
      <c r="X18" s="110">
        <f>((Q18+T18)*100)/N18</f>
        <v>36.3644164412751</v>
      </c>
    </row>
    <row r="19" spans="1:24" s="168" customFormat="1" ht="22.500000" customHeight="1">
      <c r="A19" s="34">
        <v>17</v>
      </c>
      <c r="B19" s="108">
        <f>C19+D19+E19+F19+G19+H19</f>
        <v>75.3911925682871</v>
      </c>
      <c r="C19" s="109">
        <v>15</v>
      </c>
      <c r="D19" s="109">
        <v>32</v>
      </c>
      <c r="E19" s="109">
        <v>25</v>
      </c>
      <c r="F19" s="109">
        <v>0</v>
      </c>
      <c r="G19" s="109">
        <v>1.13039752276235</v>
      </c>
      <c r="H19" s="109">
        <v>2.26079504552471</v>
      </c>
      <c r="I19" s="78">
        <f>(100*B19)/N19</f>
        <v>0.778245183202621</v>
      </c>
      <c r="J19" s="110">
        <f>((C19+F19)*100)/B19</f>
        <v>19.8962232709258</v>
      </c>
      <c r="K19" s="110">
        <f>((D19+G19)*100)/B19</f>
        <v>43.9446524111604</v>
      </c>
      <c r="L19" s="110">
        <f>((E19+H19)*100)/B19</f>
        <v>36.1591243179138</v>
      </c>
      <c r="M19" s="112">
        <f>N19-B18</f>
        <v>6281.11925682871</v>
      </c>
      <c r="N19" s="108">
        <f>O19+P19+Q19+R19+S19+T19</f>
        <v>9687.33172983334</v>
      </c>
      <c r="O19" s="109">
        <v>2884</v>
      </c>
      <c r="P19" s="109">
        <v>3041</v>
      </c>
      <c r="Q19" s="109">
        <v>3274</v>
      </c>
      <c r="R19" s="109">
        <v>154.864460618442</v>
      </c>
      <c r="S19" s="109">
        <v>153.73406309568</v>
      </c>
      <c r="T19" s="109">
        <v>179.733206119214</v>
      </c>
      <c r="U19" s="49">
        <v>427</v>
      </c>
      <c r="V19" s="110">
        <f>((O19+R19)*100)/N19</f>
        <v>31.3694683465818</v>
      </c>
      <c r="W19" s="110">
        <f>((P19+S19)*100)/N19</f>
        <v>32.9784728364066</v>
      </c>
      <c r="X19" s="110">
        <f>((Q19+T19)*100)/N19</f>
        <v>35.6520588170117</v>
      </c>
    </row>
    <row r="20" spans="1:24" s="168" customFormat="1" ht="22.500000" customHeight="1">
      <c r="A20" s="34">
        <v>18</v>
      </c>
      <c r="B20" s="108">
        <f>C20+D20+E20+F20+G20+H20</f>
        <v>26</v>
      </c>
      <c r="C20" s="109">
        <v>5</v>
      </c>
      <c r="D20" s="109">
        <v>14</v>
      </c>
      <c r="E20" s="109">
        <v>7</v>
      </c>
      <c r="F20" s="109">
        <v>0</v>
      </c>
      <c r="G20" s="109">
        <v>0</v>
      </c>
      <c r="H20" s="109">
        <v>0</v>
      </c>
      <c r="I20" s="78">
        <f>(100*B20)/N20</f>
        <v>0.283121197383527</v>
      </c>
      <c r="J20" s="110">
        <f>((C20+F20)*100)/B20</f>
        <v>19.2307692307692</v>
      </c>
      <c r="K20" s="110">
        <f>((D20+G20)*100)/B20</f>
        <v>53.8461538461538</v>
      </c>
      <c r="L20" s="110">
        <f>((E20+H20)*100)/B20</f>
        <v>26.9230769230769</v>
      </c>
      <c r="M20" s="112">
        <f>N20-B19</f>
        <v>9107.95510586497</v>
      </c>
      <c r="N20" s="108">
        <f>O20+P20+Q20+R20+S20+T20</f>
        <v>9183.34629843326</v>
      </c>
      <c r="O20" s="109">
        <v>2880</v>
      </c>
      <c r="P20" s="109">
        <v>3017</v>
      </c>
      <c r="Q20" s="109">
        <v>3240</v>
      </c>
      <c r="R20" s="109">
        <v>14.6951677959106</v>
      </c>
      <c r="S20" s="109">
        <v>15.8255653186729</v>
      </c>
      <c r="T20" s="109">
        <v>15.8255653186729</v>
      </c>
      <c r="U20" s="49">
        <v>416</v>
      </c>
      <c r="V20" s="110">
        <f>((O20+R20)*100)/N20</f>
        <v>31.5211369987187</v>
      </c>
      <c r="W20" s="110">
        <f>((P20+S20)*100)/N20</f>
        <v>33.0252771349382</v>
      </c>
      <c r="X20" s="110">
        <f>((Q20+T20)*100)/N20</f>
        <v>35.4535858663431</v>
      </c>
    </row>
    <row r="21" spans="1:24" s="168" customFormat="1" ht="22.500000" customHeight="1">
      <c r="A21" s="34">
        <v>19</v>
      </c>
      <c r="B21" s="108">
        <f>C21+D21+E21+F21+G21+H21</f>
        <v>47</v>
      </c>
      <c r="C21" s="109">
        <v>6</v>
      </c>
      <c r="D21" s="109">
        <v>32</v>
      </c>
      <c r="E21" s="109">
        <v>9</v>
      </c>
      <c r="F21" s="109">
        <v>0</v>
      </c>
      <c r="G21" s="109">
        <v>0</v>
      </c>
      <c r="H21" s="109">
        <v>0</v>
      </c>
      <c r="I21" s="78">
        <f>(100*B21)/N21</f>
        <v>0.515555028977589</v>
      </c>
      <c r="J21" s="110">
        <f>((C21+F21)*100)/B21</f>
        <v>12.7659574468085</v>
      </c>
      <c r="K21" s="110">
        <f>((D21+G21)*100)/B21</f>
        <v>68.0851063829787</v>
      </c>
      <c r="L21" s="110">
        <f>((E21+H21)*100)/B21</f>
        <v>19.1489361702128</v>
      </c>
      <c r="M21" s="112">
        <f>N21-B20</f>
        <v>9090.38862163889</v>
      </c>
      <c r="N21" s="108">
        <f>O21+P21+Q21+R21+S21+T21</f>
        <v>9116.38862163889</v>
      </c>
      <c r="O21" s="109">
        <v>2858</v>
      </c>
      <c r="P21" s="109">
        <v>2971</v>
      </c>
      <c r="Q21" s="109">
        <v>3206</v>
      </c>
      <c r="R21" s="109">
        <v>25.9991430235342</v>
      </c>
      <c r="S21" s="109">
        <v>27.1295405462965</v>
      </c>
      <c r="T21" s="109">
        <v>28.2599380690589</v>
      </c>
      <c r="U21" s="49">
        <v>810</v>
      </c>
      <c r="V21" s="110">
        <f>((O21+R21)*100)/N21</f>
        <v>31.6353247181455</v>
      </c>
      <c r="W21" s="110">
        <f>((P21+S21)*100)/N21</f>
        <v>32.8872502586151</v>
      </c>
      <c r="X21" s="110">
        <f>((Q21+T21)*100)/N21</f>
        <v>35.4774250232393</v>
      </c>
    </row>
    <row r="22" spans="1:24" s="168" customFormat="1" ht="22.500000" customHeight="1">
      <c r="A22" s="34">
        <v>20</v>
      </c>
      <c r="B22" s="108">
        <f>C22+D22+E22+F22+G22+H22</f>
        <v>608.864460618443</v>
      </c>
      <c r="C22" s="109">
        <v>101</v>
      </c>
      <c r="D22" s="109">
        <v>181</v>
      </c>
      <c r="E22" s="109">
        <v>172</v>
      </c>
      <c r="F22" s="109">
        <v>7.91278265933649</v>
      </c>
      <c r="G22" s="109">
        <v>124.343727503859</v>
      </c>
      <c r="H22" s="109">
        <v>22.6079504552471</v>
      </c>
      <c r="I22" s="78">
        <f>(100*B22)/N22</f>
        <v>6.60079738031851</v>
      </c>
      <c r="J22" s="110">
        <f>((C22+F22)*100)/B22</f>
        <v>17.8878534885597</v>
      </c>
      <c r="K22" s="110">
        <f>((D22+G22)*100)/B22</f>
        <v>50.1497044504309</v>
      </c>
      <c r="L22" s="110">
        <f>((E22+H22)*100)/B22</f>
        <v>31.9624420610094</v>
      </c>
      <c r="M22" s="112">
        <f>N22-B21</f>
        <v>9177.10468822879</v>
      </c>
      <c r="N22" s="108">
        <f>O22+P22+Q22+R22+S22+T22</f>
        <v>9224.10468822879</v>
      </c>
      <c r="O22" s="109">
        <v>2748</v>
      </c>
      <c r="P22" s="109">
        <v>2712</v>
      </c>
      <c r="Q22" s="109">
        <v>2983</v>
      </c>
      <c r="R22" s="109">
        <v>284.860175736113</v>
      </c>
      <c r="S22" s="109">
        <v>175.211616028165</v>
      </c>
      <c r="T22" s="109">
        <v>321.032896464509</v>
      </c>
      <c r="U22" s="49">
        <v>511</v>
      </c>
      <c r="V22" s="110">
        <f>((O22+R22)*100)/N22</f>
        <v>32.8797241385005</v>
      </c>
      <c r="W22" s="110">
        <f>((P22+S22)*100)/N22</f>
        <v>31.3007247165423</v>
      </c>
      <c r="X22" s="110">
        <f>((Q22+T22)*100)/N22</f>
        <v>35.8195511449572</v>
      </c>
    </row>
    <row r="23" spans="1:24" s="168" customFormat="1" ht="22.500000" customHeight="1">
      <c r="A23" s="34">
        <v>21</v>
      </c>
      <c r="B23" s="108">
        <f>C23+D23+E23+F23+G23+H23</f>
        <v>153.260795045525</v>
      </c>
      <c r="C23" s="109">
        <v>26</v>
      </c>
      <c r="D23" s="109">
        <v>73</v>
      </c>
      <c r="E23" s="109">
        <v>52</v>
      </c>
      <c r="F23" s="109">
        <v>0</v>
      </c>
      <c r="G23" s="109">
        <v>2.26079504552471</v>
      </c>
      <c r="H23" s="109">
        <v>0</v>
      </c>
      <c r="I23" s="78">
        <f>(100*B23)/N23</f>
        <v>1.83810077118971</v>
      </c>
      <c r="J23" s="110">
        <f>((C23+F23)*100)/B23</f>
        <v>16.9645472557264</v>
      </c>
      <c r="K23" s="110">
        <f>((D23+G23)*100)/B23</f>
        <v>49.1063582328209</v>
      </c>
      <c r="L23" s="110">
        <f>((E23+H23)*100)/B23</f>
        <v>33.9290945114528</v>
      </c>
      <c r="M23" s="112">
        <f>N23-B22</f>
        <v>7729.13296845216</v>
      </c>
      <c r="N23" s="108">
        <f>O23+P23+Q23+R23+S23+T23</f>
        <v>8337.9974290706</v>
      </c>
      <c r="O23" s="109">
        <v>2721</v>
      </c>
      <c r="P23" s="109">
        <v>2618</v>
      </c>
      <c r="Q23" s="109">
        <v>2921</v>
      </c>
      <c r="R23" s="109">
        <v>23.7383479780094</v>
      </c>
      <c r="S23" s="109">
        <v>22.6079504552471</v>
      </c>
      <c r="T23" s="109">
        <v>31.6511306373459</v>
      </c>
      <c r="U23" s="49">
        <v>1024</v>
      </c>
      <c r="V23" s="110">
        <f>((O23+R23)*100)/N23</f>
        <v>32.918436007289</v>
      </c>
      <c r="W23" s="110">
        <f>((P23+S23)*100)/N23</f>
        <v>31.6695702165692</v>
      </c>
      <c r="X23" s="110">
        <f>((Q23+T23)*100)/N23</f>
        <v>35.4119937761418</v>
      </c>
    </row>
    <row r="24" spans="1:24" s="168" customFormat="1" ht="22.500000" customHeight="1">
      <c r="A24" s="34">
        <v>22</v>
      </c>
      <c r="B24" s="108">
        <f>C24+D24+E24+F24+G24+H24</f>
        <v>51</v>
      </c>
      <c r="C24" s="109">
        <v>6</v>
      </c>
      <c r="D24" s="109">
        <v>17</v>
      </c>
      <c r="E24" s="109">
        <v>28</v>
      </c>
      <c r="F24" s="109">
        <v>0</v>
      </c>
      <c r="G24" s="109">
        <v>0</v>
      </c>
      <c r="H24" s="109">
        <v>0</v>
      </c>
      <c r="I24" s="78">
        <f>(100*B24)/N24</f>
        <v>0.624099047692562</v>
      </c>
      <c r="J24" s="110">
        <f>((C24+F24)*100)/B24</f>
        <v>11.7647058823529</v>
      </c>
      <c r="K24" s="110">
        <f>((D24+G24)*100)/B24</f>
        <v>33.3333333333333</v>
      </c>
      <c r="L24" s="110">
        <f>((E24+H24)*100)/B24</f>
        <v>54.9019607843137</v>
      </c>
      <c r="M24" s="112">
        <f>N24-B23</f>
        <v>8018.51901916165</v>
      </c>
      <c r="N24" s="108">
        <f>O24+P24+Q24+R24+S24+T24</f>
        <v>8171.77981420718</v>
      </c>
      <c r="O24" s="109">
        <v>2678</v>
      </c>
      <c r="P24" s="109">
        <v>2553</v>
      </c>
      <c r="Q24" s="109">
        <v>2856</v>
      </c>
      <c r="R24" s="109">
        <v>30.5207331145836</v>
      </c>
      <c r="S24" s="109">
        <v>24.8687455007718</v>
      </c>
      <c r="T24" s="109">
        <v>29.3903355918212</v>
      </c>
      <c r="U24" s="49">
        <v>495</v>
      </c>
      <c r="V24" s="110">
        <f>((O24+R24)*100)/N24</f>
        <v>33.1448080429877</v>
      </c>
      <c r="W24" s="110">
        <f>((P24+S24)*100)/N24</f>
        <v>31.5459888067343</v>
      </c>
      <c r="X24" s="110">
        <f>((Q24+T24)*100)/N24</f>
        <v>35.309203150278</v>
      </c>
    </row>
    <row r="25" spans="1:24" s="168" customFormat="1" ht="22.500000" customHeight="1">
      <c r="A25" s="34">
        <v>23</v>
      </c>
      <c r="B25" s="108">
        <f>C25+D25+E25+F25+G25+H25</f>
        <v>1705.68745500772</v>
      </c>
      <c r="C25" s="109">
        <v>320</v>
      </c>
      <c r="D25" s="109">
        <v>715</v>
      </c>
      <c r="E25" s="109">
        <v>422</v>
      </c>
      <c r="F25" s="109">
        <v>49.7374910015437</v>
      </c>
      <c r="G25" s="109">
        <v>103.996572094136</v>
      </c>
      <c r="H25" s="109">
        <v>94.9533919120379</v>
      </c>
      <c r="I25" s="78">
        <f>(100*B25)/N25</f>
        <v>18.468171706927</v>
      </c>
      <c r="J25" s="110">
        <f>((C25+F25)*100)/B25</f>
        <v>21.6767432929189</v>
      </c>
      <c r="K25" s="110">
        <f>((D25+G25)*100)/B25</f>
        <v>48.0156296916911</v>
      </c>
      <c r="L25" s="110">
        <f>((E25+H25)*100)/B25</f>
        <v>30.30762701539</v>
      </c>
      <c r="M25" s="112">
        <f>N25-B24</f>
        <v>9184.82194315396</v>
      </c>
      <c r="N25" s="108">
        <f>O25+P25+Q25+R25+S25+T25</f>
        <v>9235.82194315396</v>
      </c>
      <c r="O25" s="109">
        <v>2327</v>
      </c>
      <c r="P25" s="109">
        <v>1794</v>
      </c>
      <c r="Q25" s="109">
        <v>2351</v>
      </c>
      <c r="R25" s="109">
        <v>923.534776096845</v>
      </c>
      <c r="S25" s="109">
        <v>820.668601525471</v>
      </c>
      <c r="T25" s="109">
        <v>1019.61856553164</v>
      </c>
      <c r="U25" s="49">
        <v>606</v>
      </c>
      <c r="V25" s="110">
        <f>((O25+R25)*100)/N25</f>
        <v>35.19486187698</v>
      </c>
      <c r="W25" s="110">
        <f>((P25+S25)*100)/N25</f>
        <v>28.3100802247881</v>
      </c>
      <c r="X25" s="110">
        <f>((Q25+T25)*100)/N25</f>
        <v>36.4950578982319</v>
      </c>
    </row>
    <row r="26" spans="1:24" s="168" customFormat="1" ht="22.500000" customHeight="1">
      <c r="A26" s="34">
        <v>24</v>
      </c>
      <c r="B26" s="108">
        <f>C26+D26+E26+F26+G26+H26</f>
        <v>847.60537952585</v>
      </c>
      <c r="C26" s="109">
        <v>334</v>
      </c>
      <c r="D26" s="109">
        <v>158</v>
      </c>
      <c r="E26" s="109">
        <v>255</v>
      </c>
      <c r="F26" s="109">
        <v>6.78238513657414</v>
      </c>
      <c r="G26" s="109">
        <v>9.04318018209885</v>
      </c>
      <c r="H26" s="109">
        <v>84.7798142071767</v>
      </c>
      <c r="I26" s="78">
        <f>(100*B26)/N26</f>
        <v>12.5712644876676</v>
      </c>
      <c r="J26" s="110">
        <f>((C26+F26)*100)/B26</f>
        <v>40.2053117368377</v>
      </c>
      <c r="K26" s="110">
        <f>((D26+G26)*100)/B26</f>
        <v>19.7076592736519</v>
      </c>
      <c r="L26" s="110">
        <f>((E26+H26)*100)/B26</f>
        <v>40.0870289895104</v>
      </c>
      <c r="M26" s="112">
        <f>N26-B25</f>
        <v>5036.7160665899</v>
      </c>
      <c r="N26" s="108">
        <f>O26+P26+Q26+R26+S26+T26</f>
        <v>6742.40352159762</v>
      </c>
      <c r="O26" s="109">
        <v>2085</v>
      </c>
      <c r="P26" s="109">
        <v>1654</v>
      </c>
      <c r="Q26" s="109">
        <v>2055</v>
      </c>
      <c r="R26" s="109">
        <v>383.204760216438</v>
      </c>
      <c r="S26" s="109">
        <v>247.557057484956</v>
      </c>
      <c r="T26" s="109">
        <v>317.641703896222</v>
      </c>
      <c r="U26" s="49">
        <v>561</v>
      </c>
      <c r="V26" s="110">
        <f>((O26+R26)*100)/N26</f>
        <v>36.6071943381934</v>
      </c>
      <c r="W26" s="110">
        <f>((P26+S26)*100)/N26</f>
        <v>28.2029553911122</v>
      </c>
      <c r="X26" s="110">
        <f>((Q26+T26)*100)/N26</f>
        <v>35.1898502706943</v>
      </c>
    </row>
    <row r="27" spans="1:24" s="168" customFormat="1" ht="22.500000" customHeight="1">
      <c r="A27" s="34">
        <v>25</v>
      </c>
      <c r="B27" s="108">
        <f>C27+D27+E27+F27+G27+H27</f>
        <v>3</v>
      </c>
      <c r="C27" s="109">
        <v>1</v>
      </c>
      <c r="D27" s="109">
        <v>1</v>
      </c>
      <c r="E27" s="109">
        <v>1</v>
      </c>
      <c r="F27" s="109">
        <v>0</v>
      </c>
      <c r="G27" s="109">
        <v>0</v>
      </c>
      <c r="H27" s="109">
        <v>0</v>
      </c>
      <c r="I27" s="78">
        <f>(100*B27)/N27</f>
        <v>0.0518941436554333</v>
      </c>
      <c r="J27" s="110">
        <f>((C27+F27)*100)/B27</f>
        <v>33.3333333333333</v>
      </c>
      <c r="K27" s="110">
        <f>((D27+G27)*100)/B27</f>
        <v>33.3333333333333</v>
      </c>
      <c r="L27" s="110">
        <f>((E27+H27)*100)/B27</f>
        <v>33.3333333333333</v>
      </c>
      <c r="M27" s="112">
        <f>N27-B26</f>
        <v>4933.39376349768</v>
      </c>
      <c r="N27" s="108">
        <f>O27+P27+Q27+R27+S27+T27</f>
        <v>5780.99914302353</v>
      </c>
      <c r="O27" s="109">
        <v>2075</v>
      </c>
      <c r="P27" s="109">
        <v>1649</v>
      </c>
      <c r="Q27" s="109">
        <v>2031</v>
      </c>
      <c r="R27" s="109">
        <v>9.04318018209885</v>
      </c>
      <c r="S27" s="109">
        <v>6.78238513657414</v>
      </c>
      <c r="T27" s="109">
        <v>10.1735777048612</v>
      </c>
      <c r="U27" s="49">
        <v>423</v>
      </c>
      <c r="V27" s="110">
        <f>((O27+R27)*100)/N27</f>
        <v>36.0498787254986</v>
      </c>
      <c r="W27" s="110">
        <f>((P27+S27)*100)/N27</f>
        <v>28.6418029854711</v>
      </c>
      <c r="X27" s="110">
        <f>((Q27+T27)*100)/N27</f>
        <v>35.3083182890303</v>
      </c>
    </row>
    <row r="28" spans="1:24" s="168" customFormat="1" ht="22.500000" customHeight="1">
      <c r="A28" s="34">
        <v>26</v>
      </c>
      <c r="B28" s="108">
        <f>C28+D28+E28+F28+G28+H28</f>
        <v>2</v>
      </c>
      <c r="C28" s="109">
        <v>1</v>
      </c>
      <c r="D28" s="109">
        <v>1</v>
      </c>
      <c r="E28" s="109">
        <v>0</v>
      </c>
      <c r="F28" s="109">
        <v>0</v>
      </c>
      <c r="G28" s="109">
        <v>0</v>
      </c>
      <c r="H28" s="109">
        <v>0</v>
      </c>
      <c r="I28" s="78">
        <f>(100*B28)/N28</f>
        <v>0.0351846067472124</v>
      </c>
      <c r="J28" s="110">
        <f>((C28+F28)*100)/B28</f>
        <v>50</v>
      </c>
      <c r="K28" s="110">
        <f>((D28+G28)*100)/B28</f>
        <v>50</v>
      </c>
      <c r="L28" s="110">
        <f>((E28+H28)*100)/B28</f>
        <v>0</v>
      </c>
      <c r="M28" s="112">
        <f>N28-B27</f>
        <v>5681.30397522763</v>
      </c>
      <c r="N28" s="108">
        <f>O28+P28+Q28+R28+S28+T28</f>
        <v>5684.30397522763</v>
      </c>
      <c r="O28" s="109">
        <v>2049</v>
      </c>
      <c r="P28" s="109">
        <v>1619</v>
      </c>
      <c r="Q28" s="109">
        <v>2005</v>
      </c>
      <c r="R28" s="109">
        <v>2.26079504552471</v>
      </c>
      <c r="S28" s="109">
        <v>4.52159009104942</v>
      </c>
      <c r="T28" s="109">
        <v>4.52159009104942</v>
      </c>
      <c r="U28" s="49">
        <v>408</v>
      </c>
      <c r="V28" s="110">
        <f>((O28+R28)*100)/N28</f>
        <v>36.0864022048255</v>
      </c>
      <c r="W28" s="110">
        <f>((P28+S28)*100)/N28</f>
        <v>28.5614843464813</v>
      </c>
      <c r="X28" s="110">
        <f>((Q28+T28)*100)/N28</f>
        <v>35.3521134486932</v>
      </c>
    </row>
    <row r="29" spans="1:24" s="168" customFormat="1" ht="22.500000" customHeight="1">
      <c r="A29" s="34">
        <v>27</v>
      </c>
      <c r="B29" s="108">
        <f>C29+D29+E29+F29+G29+H29</f>
        <v>62.6951677959106</v>
      </c>
      <c r="C29" s="109">
        <v>27</v>
      </c>
      <c r="D29" s="109">
        <v>17</v>
      </c>
      <c r="E29" s="109">
        <v>4</v>
      </c>
      <c r="F29" s="109">
        <v>7.91278265933649</v>
      </c>
      <c r="G29" s="109">
        <v>3.39119256828707</v>
      </c>
      <c r="H29" s="109">
        <v>3.39119256828707</v>
      </c>
      <c r="I29" s="78">
        <f>(100*B29)/N29</f>
        <v>0.7703507571571</v>
      </c>
      <c r="J29" s="110">
        <f>((C29+F29)*100)/B29</f>
        <v>55.6865606819761</v>
      </c>
      <c r="K29" s="110">
        <f>((D29+G29)*100)/B29</f>
        <v>32.5243448341438</v>
      </c>
      <c r="L29" s="110">
        <f>((E29+H29)*100)/B29</f>
        <v>11.7890944838801</v>
      </c>
      <c r="M29" s="112">
        <f>N29-B28</f>
        <v>8136.52225280867</v>
      </c>
      <c r="N29" s="108">
        <f>O29+P29+Q29+R29+S29+T29</f>
        <v>8138.52225280867</v>
      </c>
      <c r="O29" s="109">
        <v>1993</v>
      </c>
      <c r="P29" s="109">
        <v>1570</v>
      </c>
      <c r="Q29" s="109">
        <v>1953</v>
      </c>
      <c r="R29" s="109">
        <v>964.22908691629</v>
      </c>
      <c r="S29" s="109">
        <v>705.36805420371</v>
      </c>
      <c r="T29" s="109">
        <v>952.925111688666</v>
      </c>
      <c r="U29" s="49">
        <v>475</v>
      </c>
      <c r="V29" s="110">
        <f>((O29+R29)*100)/N29</f>
        <v>36.3361921864344</v>
      </c>
      <c r="W29" s="110">
        <f>((P29+S29)*100)/N29</f>
        <v>27.9580000339553</v>
      </c>
      <c r="X29" s="110">
        <f>((Q29+T29)*100)/N29</f>
        <v>35.7058077796102</v>
      </c>
    </row>
    <row r="30" spans="1:24" s="168" customFormat="1" ht="22.500000" customHeight="1">
      <c r="A30" s="34">
        <v>28</v>
      </c>
      <c r="B30" s="108">
        <f>C30+D30+E30+F30+G30+H30</f>
        <v>7</v>
      </c>
      <c r="C30" s="109">
        <v>3</v>
      </c>
      <c r="D30" s="109">
        <v>3</v>
      </c>
      <c r="E30" s="109">
        <v>1</v>
      </c>
      <c r="F30" s="109">
        <v>0</v>
      </c>
      <c r="G30" s="109">
        <v>0</v>
      </c>
      <c r="H30" s="109">
        <v>0</v>
      </c>
      <c r="I30" s="78">
        <f>(100*B30)/N30</f>
        <v>0.125066073607563</v>
      </c>
      <c r="J30" s="110">
        <f>((C30+F30)*100)/B30</f>
        <v>42.8571428571429</v>
      </c>
      <c r="K30" s="110">
        <f>((D30+G30)*100)/B30</f>
        <v>42.8571428571429</v>
      </c>
      <c r="L30" s="110">
        <f>((E30+H30)*100)/B30</f>
        <v>14.2857142857143</v>
      </c>
      <c r="M30" s="112">
        <f>N30-B29</f>
        <v>5534.34629843326</v>
      </c>
      <c r="N30" s="108">
        <f>O30+P30+Q30+R30+S30+T30</f>
        <v>5597.04146622917</v>
      </c>
      <c r="O30" s="109">
        <v>2005</v>
      </c>
      <c r="P30" s="109">
        <v>1573</v>
      </c>
      <c r="Q30" s="109">
        <v>1958</v>
      </c>
      <c r="R30" s="109">
        <v>27.1295405462965</v>
      </c>
      <c r="S30" s="109">
        <v>13.5647702731482</v>
      </c>
      <c r="T30" s="109">
        <v>20.3471554097224</v>
      </c>
      <c r="U30" s="49">
        <v>392</v>
      </c>
      <c r="V30" s="110">
        <f>((O30+R30)*100)/N30</f>
        <v>36.3072089568667</v>
      </c>
      <c r="W30" s="110">
        <f>((P30+S30)*100)/N30</f>
        <v>28.3464894774497</v>
      </c>
      <c r="X30" s="110">
        <f>((Q30+T30)*100)/N30</f>
        <v>35.3463015656836</v>
      </c>
    </row>
    <row r="31" spans="1:24" s="168" customFormat="1" ht="22.500000" customHeight="1">
      <c r="A31" s="34">
        <v>29</v>
      </c>
      <c r="B31" s="108">
        <f>C31+D31+E31+F31+G31+H31</f>
        <v>15.1303975227624</v>
      </c>
      <c r="C31" s="109">
        <v>3</v>
      </c>
      <c r="D31" s="109">
        <v>7</v>
      </c>
      <c r="E31" s="109">
        <v>4</v>
      </c>
      <c r="F31" s="109">
        <v>0</v>
      </c>
      <c r="G31" s="109">
        <v>1.13039752276235</v>
      </c>
      <c r="H31" s="109">
        <v>0</v>
      </c>
      <c r="I31" s="78">
        <f>(100*B31)/N31</f>
        <v>0.262407561749442</v>
      </c>
      <c r="J31" s="110">
        <f>((C31+F31)*100)/B31</f>
        <v>19.8276350339557</v>
      </c>
      <c r="K31" s="110">
        <f>((D31+G31)*100)/B31</f>
        <v>53.7355182541033</v>
      </c>
      <c r="L31" s="110">
        <f>((E31+H31)*100)/B31</f>
        <v>26.436846711941</v>
      </c>
      <c r="M31" s="112">
        <f>N31-B30</f>
        <v>5758.99143023534</v>
      </c>
      <c r="N31" s="108">
        <f>O31+P31+Q31+R31+S31+T31</f>
        <v>5765.99143023534</v>
      </c>
      <c r="O31" s="109">
        <v>1994</v>
      </c>
      <c r="P31" s="109">
        <v>1562</v>
      </c>
      <c r="Q31" s="109">
        <v>1950</v>
      </c>
      <c r="R31" s="109">
        <v>87.0406092527014</v>
      </c>
      <c r="S31" s="109">
        <v>80.2582241161273</v>
      </c>
      <c r="T31" s="109">
        <v>92.6925968665132</v>
      </c>
      <c r="U31" s="49">
        <v>382</v>
      </c>
      <c r="V31" s="110">
        <f>((O31+R31)*100)/N31</f>
        <v>36.0916354877025</v>
      </c>
      <c r="W31" s="110">
        <f>((P31+S31)*100)/N31</f>
        <v>28.4818013343648</v>
      </c>
      <c r="X31" s="110">
        <f>((Q31+T31)*100)/N31</f>
        <v>35.4265631779328</v>
      </c>
    </row>
    <row r="32" spans="1:24" s="168" customFormat="1" ht="22.500000" customHeight="1">
      <c r="A32" s="34">
        <v>30</v>
      </c>
      <c r="B32" s="108">
        <f>C32+D32+E32+F32+G32+H32</f>
        <v>32.2607950455247</v>
      </c>
      <c r="C32" s="109">
        <v>14</v>
      </c>
      <c r="D32" s="109">
        <v>10</v>
      </c>
      <c r="E32" s="109">
        <v>6</v>
      </c>
      <c r="F32" s="109">
        <v>2.26079504552471</v>
      </c>
      <c r="G32" s="109">
        <v>0</v>
      </c>
      <c r="H32" s="109">
        <v>0</v>
      </c>
      <c r="I32" s="78">
        <f>(100*B32)/N32</f>
        <v>0.54110056783109</v>
      </c>
      <c r="J32" s="110">
        <f>((C32+F32)*100)/B32</f>
        <v>50.4041981066441</v>
      </c>
      <c r="K32" s="110">
        <f>((D32+G32)*100)/B32</f>
        <v>30.9973761833474</v>
      </c>
      <c r="L32" s="110">
        <f>((E32+H32)*100)/B32</f>
        <v>18.5984257100085</v>
      </c>
      <c r="M32" s="112">
        <f>N32-B31</f>
        <v>5946.93968028859</v>
      </c>
      <c r="N32" s="108">
        <f>O32+P32+Q32+R32+S32+T32</f>
        <v>5962.07007781135</v>
      </c>
      <c r="O32" s="109">
        <v>1984</v>
      </c>
      <c r="P32" s="109">
        <v>1541</v>
      </c>
      <c r="Q32" s="109">
        <v>1925</v>
      </c>
      <c r="R32" s="109">
        <v>184.254796210264</v>
      </c>
      <c r="S32" s="109">
        <v>133.386907685958</v>
      </c>
      <c r="T32" s="109">
        <v>194.428373915125</v>
      </c>
      <c r="U32" s="49">
        <v>417</v>
      </c>
      <c r="V32" s="110">
        <f>((O32+R32)*100)/N32</f>
        <v>36.3674825675015</v>
      </c>
      <c r="W32" s="110">
        <f>((P32+S32)*100)/N32</f>
        <v>28.0839856934493</v>
      </c>
      <c r="X32" s="110">
        <f>((Q32+T32)*100)/N32</f>
        <v>35.5485317390493</v>
      </c>
    </row>
    <row r="33" spans="1:24" s="168" customFormat="1" ht="22.500000" customHeight="1">
      <c r="A33" s="34">
        <v>31</v>
      </c>
      <c r="B33" s="108">
        <f>C33+D33+E33+F33+G33+H33</f>
        <v>66.1735777048612</v>
      </c>
      <c r="C33" s="109">
        <v>31</v>
      </c>
      <c r="D33" s="109">
        <v>11</v>
      </c>
      <c r="E33" s="109">
        <v>14</v>
      </c>
      <c r="F33" s="109">
        <v>3.39119256828707</v>
      </c>
      <c r="G33" s="109">
        <v>4.52159009104942</v>
      </c>
      <c r="H33" s="109">
        <v>2.26079504552471</v>
      </c>
      <c r="I33" s="78">
        <f>(100*B33)/N33</f>
        <v>0.744854237313176</v>
      </c>
      <c r="J33" s="110">
        <f>((C33+F33)*100)/B33</f>
        <v>51.9711851181361</v>
      </c>
      <c r="K33" s="110">
        <f>((D33+G33)*100)/B33</f>
        <v>23.4558726147116</v>
      </c>
      <c r="L33" s="110">
        <f>((E33+H33)*100)/B33</f>
        <v>24.5729422671523</v>
      </c>
      <c r="M33" s="112">
        <f>N33-B32</f>
        <v>8851.83684311268</v>
      </c>
      <c r="N33" s="108">
        <f>O33+P33+Q33+R33+S33+T33</f>
        <v>8884.09763815821</v>
      </c>
      <c r="O33" s="109">
        <v>1914</v>
      </c>
      <c r="P33" s="109">
        <v>1485</v>
      </c>
      <c r="Q33" s="109">
        <v>1852</v>
      </c>
      <c r="R33" s="109">
        <v>1367.78100254245</v>
      </c>
      <c r="S33" s="109">
        <v>977.793857189438</v>
      </c>
      <c r="T33" s="109">
        <v>1287.52277842632</v>
      </c>
      <c r="U33" s="49">
        <v>494</v>
      </c>
      <c r="V33" s="110">
        <f>((O33+R33)*100)/N33</f>
        <v>36.9399474905232</v>
      </c>
      <c r="W33" s="110">
        <f>((P33+S33)*100)/N33</f>
        <v>27.7213731489336</v>
      </c>
      <c r="X33" s="110">
        <f>((Q33+T33)*100)/N33</f>
        <v>35.3386793605432</v>
      </c>
    </row>
    <row r="34" spans="1:24" s="168" customFormat="1" ht="22.500000" customHeight="1">
      <c r="A34" s="34">
        <v>32</v>
      </c>
      <c r="B34" s="108">
        <f>C34+D34+E34+F34+G34+H34</f>
        <v>148.173577704861</v>
      </c>
      <c r="C34" s="109">
        <v>71</v>
      </c>
      <c r="D34" s="109">
        <v>27</v>
      </c>
      <c r="E34" s="109">
        <v>40</v>
      </c>
      <c r="F34" s="109">
        <v>0</v>
      </c>
      <c r="G34" s="109">
        <v>3.39119256828707</v>
      </c>
      <c r="H34" s="109">
        <v>6.78238513657414</v>
      </c>
      <c r="I34" s="78">
        <f>(100*B34)/N34</f>
        <v>2.36840267583428</v>
      </c>
      <c r="J34" s="110">
        <f>((C34+F34)*100)/B34</f>
        <v>47.9167751091365</v>
      </c>
      <c r="K34" s="110">
        <f>((D34+G34)*100)/B34</f>
        <v>20.5105343604658</v>
      </c>
      <c r="L34" s="110">
        <f>((E34+H34)*100)/B34</f>
        <v>31.5726905303977</v>
      </c>
      <c r="M34" s="112">
        <f>N34-B33</f>
        <v>6190.09269055827</v>
      </c>
      <c r="N34" s="108">
        <f>O34+P34+Q34+R34+S34+T34</f>
        <v>6256.26626826313</v>
      </c>
      <c r="O34" s="109">
        <v>1881</v>
      </c>
      <c r="P34" s="109">
        <v>1436</v>
      </c>
      <c r="Q34" s="109">
        <v>1784</v>
      </c>
      <c r="R34" s="109">
        <v>443.115828922843</v>
      </c>
      <c r="S34" s="109">
        <v>317.641703896222</v>
      </c>
      <c r="T34" s="109">
        <v>394.508735444062</v>
      </c>
      <c r="U34" s="49">
        <v>444</v>
      </c>
      <c r="V34" s="110">
        <f>((O34+R34)*100)/N34</f>
        <v>37.148607959873</v>
      </c>
      <c r="W34" s="110">
        <f>((P34+S34)*100)/N34</f>
        <v>28.030164137868</v>
      </c>
      <c r="X34" s="110">
        <f>((Q34+T34)*100)/N34</f>
        <v>34.8212279022591</v>
      </c>
    </row>
    <row r="35" spans="1:24" s="168" customFormat="1" ht="22.500000" customHeight="1">
      <c r="A35" s="34">
        <v>33</v>
      </c>
      <c r="B35" s="108">
        <f>C35+D35+E35+F35+G35+H35</f>
        <v>231.212473004631</v>
      </c>
      <c r="C35" s="109">
        <v>45</v>
      </c>
      <c r="D35" s="109">
        <v>14</v>
      </c>
      <c r="E35" s="109">
        <v>23</v>
      </c>
      <c r="F35" s="109">
        <v>55.3894786153554</v>
      </c>
      <c r="G35" s="109">
        <v>37.3031182511577</v>
      </c>
      <c r="H35" s="109">
        <v>56.5198761381178</v>
      </c>
      <c r="I35" s="78">
        <f>(100*B35)/N35</f>
        <v>2.74620005515164</v>
      </c>
      <c r="J35" s="110">
        <f>((C35+F35)*100)/B35</f>
        <v>43.4187123690964</v>
      </c>
      <c r="K35" s="110">
        <f>((D35+G35)*100)/B35</f>
        <v>22.1887329798727</v>
      </c>
      <c r="L35" s="110">
        <f>((E35+H35)*100)/B35</f>
        <v>34.3925546510309</v>
      </c>
      <c r="M35" s="112">
        <f>N35-B34</f>
        <v>8271.18656945179</v>
      </c>
      <c r="N35" s="108">
        <f>O35+P35+Q35+R35+S35+T35</f>
        <v>8419.36014715665</v>
      </c>
      <c r="O35" s="109">
        <v>1812</v>
      </c>
      <c r="P35" s="109">
        <v>1360</v>
      </c>
      <c r="Q35" s="109">
        <v>1664</v>
      </c>
      <c r="R35" s="109">
        <v>1250.21966017516</v>
      </c>
      <c r="S35" s="109">
        <v>1078.39923671528</v>
      </c>
      <c r="T35" s="109">
        <v>1254.74125026621</v>
      </c>
      <c r="U35" s="49">
        <v>526</v>
      </c>
      <c r="V35" s="110">
        <f>((O35+R35)*100)/N35</f>
        <v>36.3711684338544</v>
      </c>
      <c r="W35" s="110">
        <f>((P35+S35)*100)/N35</f>
        <v>28.9618117540531</v>
      </c>
      <c r="X35" s="110">
        <f>((Q35+T35)*100)/N35</f>
        <v>34.6670198120924</v>
      </c>
    </row>
    <row r="36" spans="1:24" s="168" customFormat="1" ht="22.500000" customHeight="1">
      <c r="A36" s="34">
        <v>34</v>
      </c>
      <c r="B36" s="108">
        <f>C36+D36+E36+F36+G36+H36</f>
        <v>581.85674783025</v>
      </c>
      <c r="C36" s="109">
        <v>92</v>
      </c>
      <c r="D36" s="109">
        <v>40</v>
      </c>
      <c r="E36" s="109">
        <v>61</v>
      </c>
      <c r="F36" s="109">
        <v>229.470697120758</v>
      </c>
      <c r="G36" s="109">
        <v>80.2582241161273</v>
      </c>
      <c r="H36" s="109">
        <v>79.1278265933649</v>
      </c>
      <c r="I36" s="78">
        <f>(100*B36)/N36</f>
        <v>8.66607553219437</v>
      </c>
      <c r="J36" s="110">
        <f>((C36+F36)*100)/B36</f>
        <v>55.2491138617066</v>
      </c>
      <c r="K36" s="110">
        <f>((D36+G36)*100)/B36</f>
        <v>20.6680122838777</v>
      </c>
      <c r="L36" s="110">
        <f>((E36+H36)*100)/B36</f>
        <v>24.0828738544157</v>
      </c>
      <c r="M36" s="112">
        <f>N36-B35</f>
        <v>6482.97719299423</v>
      </c>
      <c r="N36" s="108">
        <f>O36+P36+Q36+R36+S36+T36</f>
        <v>6714.18966599886</v>
      </c>
      <c r="O36" s="109">
        <v>1731</v>
      </c>
      <c r="P36" s="109">
        <v>1271</v>
      </c>
      <c r="Q36" s="109">
        <v>1552</v>
      </c>
      <c r="R36" s="109">
        <v>779.974290706026</v>
      </c>
      <c r="S36" s="109">
        <v>686.15129631675</v>
      </c>
      <c r="T36" s="109">
        <v>694.064078976087</v>
      </c>
      <c r="U36" s="49">
        <v>508</v>
      </c>
      <c r="V36" s="110">
        <f>((O36+R36)*100)/N36</f>
        <v>37.3980244171799</v>
      </c>
      <c r="W36" s="110">
        <f>((P36+S36)*100)/N36</f>
        <v>29.1494788451971</v>
      </c>
      <c r="X36" s="110">
        <f>((Q36+T36)*100)/N36</f>
        <v>33.4524967376229</v>
      </c>
    </row>
    <row r="37" spans="1:24" s="168" customFormat="1" ht="22.500000" customHeight="1">
      <c r="A37" s="34">
        <v>35</v>
      </c>
      <c r="B37" s="108">
        <f>C37+D37+E37+F37+G37+H37</f>
        <v>62.2607950455247</v>
      </c>
      <c r="C37" s="109">
        <v>25</v>
      </c>
      <c r="D37" s="109">
        <v>15</v>
      </c>
      <c r="E37" s="109">
        <v>20</v>
      </c>
      <c r="F37" s="109">
        <v>0</v>
      </c>
      <c r="G37" s="109">
        <v>1.13039752276235</v>
      </c>
      <c r="H37" s="109">
        <v>1.13039752276235</v>
      </c>
      <c r="I37" s="78">
        <f>(100*B37)/N37</f>
        <v>1.08826803535064</v>
      </c>
      <c r="J37" s="110">
        <f>((C37+F37)*100)/B37</f>
        <v>40.1536793446344</v>
      </c>
      <c r="K37" s="110">
        <f>((D37+G37)*100)/B37</f>
        <v>25.9077923932194</v>
      </c>
      <c r="L37" s="110">
        <f>((E37+H37)*100)/B37</f>
        <v>33.9385282621462</v>
      </c>
      <c r="M37" s="112">
        <f>N37-B36</f>
        <v>5139.23337179862</v>
      </c>
      <c r="N37" s="108">
        <f>O37+P37+Q37+R37+S37+T37</f>
        <v>5721.09011962887</v>
      </c>
      <c r="O37" s="109">
        <v>1709</v>
      </c>
      <c r="P37" s="109">
        <v>1250</v>
      </c>
      <c r="Q37" s="109">
        <v>1539</v>
      </c>
      <c r="R37" s="109">
        <v>465.723779378091</v>
      </c>
      <c r="S37" s="109">
        <v>326.684884078321</v>
      </c>
      <c r="T37" s="109">
        <v>430.681456172457</v>
      </c>
      <c r="U37" s="49">
        <v>406</v>
      </c>
      <c r="V37" s="110">
        <f>((O37+R37)*100)/N37</f>
        <v>38.0124020755535</v>
      </c>
      <c r="W37" s="110">
        <f>((P37+S37)*100)/N37</f>
        <v>27.5591688141525</v>
      </c>
      <c r="X37" s="110">
        <f>((Q37+T37)*100)/N37</f>
        <v>34.428429110294</v>
      </c>
    </row>
    <row r="38" spans="1:24" s="168" customFormat="1" ht="22.500000" customHeight="1">
      <c r="A38" s="34">
        <v>36</v>
      </c>
      <c r="B38" s="108">
        <f>C38+D38+E38+F38+G38+H38</f>
        <v>15</v>
      </c>
      <c r="C38" s="109">
        <v>9</v>
      </c>
      <c r="D38" s="109">
        <v>3</v>
      </c>
      <c r="E38" s="109">
        <v>3</v>
      </c>
      <c r="F38" s="109">
        <v>0</v>
      </c>
      <c r="G38" s="109">
        <v>0</v>
      </c>
      <c r="H38" s="109">
        <v>0</v>
      </c>
      <c r="I38" s="78">
        <f>(100*B38)/N38</f>
        <v>0.329390257785098</v>
      </c>
      <c r="J38" s="110">
        <f>((C38+F38)*100)/B38</f>
        <v>60</v>
      </c>
      <c r="K38" s="110">
        <f>((D38+G38)*100)/B38</f>
        <v>20</v>
      </c>
      <c r="L38" s="110">
        <f>((E38+H38)*100)/B38</f>
        <v>20</v>
      </c>
      <c r="M38" s="112">
        <f>N38-B37</f>
        <v>4491.60795045525</v>
      </c>
      <c r="N38" s="108">
        <f>O38+P38+Q38+R38+S38+T38</f>
        <v>4553.86874550077</v>
      </c>
      <c r="O38" s="109">
        <v>1749</v>
      </c>
      <c r="P38" s="109">
        <v>1243</v>
      </c>
      <c r="Q38" s="109">
        <v>1537</v>
      </c>
      <c r="R38" s="109">
        <v>9.04318018209885</v>
      </c>
      <c r="S38" s="109">
        <v>6.78238513657414</v>
      </c>
      <c r="T38" s="109">
        <v>9.04318018209885</v>
      </c>
      <c r="U38" s="49">
        <v>355</v>
      </c>
      <c r="V38" s="110">
        <f>((O38+R38)*100)/N38</f>
        <v>38.6054864211677</v>
      </c>
      <c r="W38" s="110">
        <f>((P38+S38)*100)/N38</f>
        <v>27.4444094676941</v>
      </c>
      <c r="X38" s="110">
        <f>((Q38+T38)*100)/N38</f>
        <v>33.9501041111383</v>
      </c>
    </row>
    <row r="39" spans="1:24" s="168" customFormat="1" ht="22.500000" customHeight="1">
      <c r="A39" s="34">
        <v>37</v>
      </c>
      <c r="B39" s="108">
        <f>C39+D39+E39+F39+G39+H39</f>
        <v>14.9127826593365</v>
      </c>
      <c r="C39" s="109">
        <v>4</v>
      </c>
      <c r="D39" s="109">
        <v>3</v>
      </c>
      <c r="E39" s="109">
        <v>0</v>
      </c>
      <c r="F39" s="109">
        <v>0</v>
      </c>
      <c r="G39" s="109">
        <v>2.26079504552471</v>
      </c>
      <c r="H39" s="109">
        <v>5.65198761381178</v>
      </c>
      <c r="I39" s="78">
        <f>(100*B39)/N39</f>
        <v>0.318492640714114</v>
      </c>
      <c r="J39" s="110">
        <f>((C39+F39)*100)/B39</f>
        <v>26.822626543784</v>
      </c>
      <c r="K39" s="110">
        <f>((D39+G39)*100)/B39</f>
        <v>35.2770852073746</v>
      </c>
      <c r="L39" s="110">
        <f>((E39+H39)*100)/B39</f>
        <v>37.9002882488415</v>
      </c>
      <c r="M39" s="112">
        <f>N39-B38</f>
        <v>4667.30054732176</v>
      </c>
      <c r="N39" s="108">
        <f>O39+P39+Q39+R39+S39+T39</f>
        <v>4682.30054732176</v>
      </c>
      <c r="O39" s="109">
        <v>1782</v>
      </c>
      <c r="P39" s="109">
        <v>1242</v>
      </c>
      <c r="Q39" s="109">
        <v>1543</v>
      </c>
      <c r="R39" s="109">
        <v>65.5630563202166</v>
      </c>
      <c r="S39" s="109">
        <v>16.9559628414353</v>
      </c>
      <c r="T39" s="109">
        <v>32.7815281601083</v>
      </c>
      <c r="U39" s="49">
        <v>344</v>
      </c>
      <c r="V39" s="110">
        <f>((O39+R39)*100)/N39</f>
        <v>39.4584464975664</v>
      </c>
      <c r="W39" s="110">
        <f>((P39+S39)*100)/N39</f>
        <v>26.8875513247766</v>
      </c>
      <c r="X39" s="110">
        <f>((Q39+T39)*100)/N39</f>
        <v>33.654002177657</v>
      </c>
    </row>
    <row r="40" spans="1:24" s="168" customFormat="1" ht="22.500000" customHeight="1">
      <c r="A40" s="34">
        <v>38</v>
      </c>
      <c r="B40" s="108">
        <f>C40+D40+E40+F40+G40+H40</f>
        <v>10</v>
      </c>
      <c r="C40" s="109">
        <v>5</v>
      </c>
      <c r="D40" s="109">
        <v>3</v>
      </c>
      <c r="E40" s="109">
        <v>2</v>
      </c>
      <c r="F40" s="109">
        <v>0</v>
      </c>
      <c r="G40" s="109">
        <v>0</v>
      </c>
      <c r="H40" s="109">
        <v>0</v>
      </c>
      <c r="I40" s="78">
        <f>(100*B40)/N40</f>
        <v>0.200859393244719</v>
      </c>
      <c r="J40" s="110">
        <f>((C40+F40)*100)/B40</f>
        <v>50</v>
      </c>
      <c r="K40" s="110">
        <f>((D40+G40)*100)/B40</f>
        <v>30</v>
      </c>
      <c r="L40" s="110">
        <f>((E40+H40)*100)/B40</f>
        <v>20</v>
      </c>
      <c r="M40" s="112">
        <f>N40-B39</f>
        <v>4963.69431081944</v>
      </c>
      <c r="N40" s="108">
        <f>O40+P40+Q40+R40+S40+T40</f>
        <v>4978.60709347878</v>
      </c>
      <c r="O40" s="109">
        <v>1985</v>
      </c>
      <c r="P40" s="109">
        <v>1315</v>
      </c>
      <c r="Q40" s="109">
        <v>1630</v>
      </c>
      <c r="R40" s="109">
        <v>20.3471554097224</v>
      </c>
      <c r="S40" s="109">
        <v>11.3039752276235</v>
      </c>
      <c r="T40" s="109">
        <v>16.9559628414353</v>
      </c>
      <c r="U40" s="49">
        <v>343</v>
      </c>
      <c r="V40" s="110">
        <f>((O40+R40)*100)/N40</f>
        <v>40.2792812880619</v>
      </c>
      <c r="W40" s="110">
        <f>((P40+S40)*100)/N40</f>
        <v>26.6400611722279</v>
      </c>
      <c r="X40" s="110">
        <f>((Q40+T40)*100)/N40</f>
        <v>33.0806575397102</v>
      </c>
    </row>
    <row r="41" spans="1:24" s="168" customFormat="1" ht="22.500000" customHeight="1">
      <c r="A41" s="34">
        <v>39</v>
      </c>
      <c r="B41" s="108">
        <f>C41+D41+E41+F41+G41+H41</f>
        <v>415.2513683044</v>
      </c>
      <c r="C41" s="109">
        <v>74</v>
      </c>
      <c r="D41" s="109">
        <v>18</v>
      </c>
      <c r="E41" s="109">
        <v>35</v>
      </c>
      <c r="F41" s="109">
        <v>110.77895723071</v>
      </c>
      <c r="G41" s="109">
        <v>85.9102117299391</v>
      </c>
      <c r="H41" s="109">
        <v>91.5621993437509</v>
      </c>
      <c r="I41" s="78">
        <f>(100*B41)/N41</f>
        <v>2.78364674161277</v>
      </c>
      <c r="J41" s="110">
        <f>((C41+F41)*100)/B41</f>
        <v>44.4980971369751</v>
      </c>
      <c r="K41" s="110">
        <f>((D41+G41)*100)/B41</f>
        <v>25.0234483643574</v>
      </c>
      <c r="L41" s="110">
        <f>((E41+H41)*100)/B41</f>
        <v>30.4784544986675</v>
      </c>
      <c r="M41" s="112">
        <f>N41-B40</f>
        <v>14907.5310967732</v>
      </c>
      <c r="N41" s="108">
        <f>O41+P41+Q41+R41+S41+T41</f>
        <v>14917.5310967732</v>
      </c>
      <c r="O41" s="109">
        <v>1882</v>
      </c>
      <c r="P41" s="109">
        <v>1243</v>
      </c>
      <c r="Q41" s="109">
        <v>1524</v>
      </c>
      <c r="R41" s="109">
        <v>4394.98556850004</v>
      </c>
      <c r="S41" s="109">
        <v>2550.17681135187</v>
      </c>
      <c r="T41" s="109">
        <v>3323.36871692132</v>
      </c>
      <c r="U41" s="49">
        <v>638</v>
      </c>
      <c r="V41" s="110">
        <f>((O41+R41)*100)/N41</f>
        <v>42.0779117387447</v>
      </c>
      <c r="W41" s="110">
        <f>((P41+S41)*100)/N41</f>
        <v>25.4276447405721</v>
      </c>
      <c r="X41" s="110">
        <f>((Q41+T41)*100)/N41</f>
        <v>32.4944435206831</v>
      </c>
    </row>
    <row r="42" spans="1:24" s="168" customFormat="1" ht="22.500000" customHeight="1">
      <c r="A42" s="34">
        <v>40</v>
      </c>
      <c r="B42" s="108">
        <f>C42+D42+E42+F42+G42+H42</f>
        <v>2305.96400698844</v>
      </c>
      <c r="C42" s="109">
        <v>576</v>
      </c>
      <c r="D42" s="109">
        <v>214</v>
      </c>
      <c r="E42" s="109">
        <v>424</v>
      </c>
      <c r="F42" s="109">
        <v>594.589096972999</v>
      </c>
      <c r="G42" s="109">
        <v>211.38433675656</v>
      </c>
      <c r="H42" s="109">
        <v>285.990573258876</v>
      </c>
      <c r="I42" s="78">
        <f>(100*B42)/N42</f>
        <v>18.9980672991745</v>
      </c>
      <c r="J42" s="110">
        <f>((C42+F42)*100)/B42</f>
        <v>50.763545893406</v>
      </c>
      <c r="K42" s="110">
        <f>((D42+G42)*100)/B42</f>
        <v>18.4471368793005</v>
      </c>
      <c r="L42" s="110">
        <f>((E42+H42)*100)/B42</f>
        <v>30.7893172272934</v>
      </c>
      <c r="M42" s="112">
        <f>N42-B41</f>
        <v>11722.6359792609</v>
      </c>
      <c r="N42" s="108">
        <f>O42+P42+Q42+R42+S42+T42</f>
        <v>12137.8873475653</v>
      </c>
      <c r="O42" s="109">
        <v>1477</v>
      </c>
      <c r="P42" s="109">
        <v>992</v>
      </c>
      <c r="Q42" s="109">
        <v>975</v>
      </c>
      <c r="R42" s="109">
        <v>3497.44993542673</v>
      </c>
      <c r="S42" s="109">
        <v>2507.2217054869</v>
      </c>
      <c r="T42" s="109">
        <v>2689.21570665164</v>
      </c>
      <c r="U42" s="49">
        <v>914</v>
      </c>
      <c r="V42" s="110">
        <f>((O42+R42)*100)/N42</f>
        <v>40.9828316327598</v>
      </c>
      <c r="W42" s="110">
        <f>((P42+S42)*100)/N42</f>
        <v>28.8289189484759</v>
      </c>
      <c r="X42" s="110">
        <f>((Q42+T42)*100)/N42</f>
        <v>30.1882494187643</v>
      </c>
    </row>
    <row r="43" spans="1:24" s="168" customFormat="1" ht="22.500000" customHeight="1">
      <c r="A43" s="34">
        <v>41</v>
      </c>
      <c r="B43" s="108">
        <f>C43+D43+E43+F43+G43+H43</f>
        <v>48</v>
      </c>
      <c r="C43" s="109">
        <v>23</v>
      </c>
      <c r="D43" s="109">
        <v>15</v>
      </c>
      <c r="E43" s="109">
        <v>10</v>
      </c>
      <c r="F43" s="109">
        <v>0</v>
      </c>
      <c r="G43" s="109">
        <v>0</v>
      </c>
      <c r="H43" s="109">
        <v>0</v>
      </c>
      <c r="I43" s="78">
        <f>(100*B43)/N43</f>
        <v>1.20189443568601</v>
      </c>
      <c r="J43" s="110">
        <f>((C43+F43)*100)/B43</f>
        <v>47.9166666666667</v>
      </c>
      <c r="K43" s="110">
        <f>((D43+G43)*100)/B43</f>
        <v>31.25</v>
      </c>
      <c r="L43" s="110">
        <f>((E43+H43)*100)/B43</f>
        <v>20.8333333333333</v>
      </c>
      <c r="M43" s="112">
        <f>N43-B42</f>
        <v>1687.73116080748</v>
      </c>
      <c r="N43" s="108">
        <f>O43+P43+Q43+R43+S43+T43</f>
        <v>3993.69516779591</v>
      </c>
      <c r="O43" s="109">
        <v>2003</v>
      </c>
      <c r="P43" s="109">
        <v>990</v>
      </c>
      <c r="Q43" s="109">
        <v>986</v>
      </c>
      <c r="R43" s="109">
        <v>4.52159009104942</v>
      </c>
      <c r="S43" s="109">
        <v>4.52159009104942</v>
      </c>
      <c r="T43" s="109">
        <v>5.65198761381178</v>
      </c>
      <c r="U43" s="49">
        <v>380</v>
      </c>
      <c r="V43" s="110">
        <f>((O43+R43)*100)/N43</f>
        <v>50.2672714302075</v>
      </c>
      <c r="W43" s="110">
        <f>((P43+S43)*100)/N43</f>
        <v>24.9022909437507</v>
      </c>
      <c r="X43" s="110">
        <f>((Q43+T43)*100)/N43</f>
        <v>24.8304376260419</v>
      </c>
    </row>
    <row r="44" spans="1:24" s="168" customFormat="1" ht="22.500000" customHeight="1">
      <c r="A44" s="34">
        <v>42</v>
      </c>
      <c r="B44" s="108">
        <f>C44+D44+E44+F44+G44+H44</f>
        <v>958.166721893135</v>
      </c>
      <c r="C44" s="109">
        <v>569</v>
      </c>
      <c r="D44" s="109">
        <v>52</v>
      </c>
      <c r="E44" s="109">
        <v>119</v>
      </c>
      <c r="F44" s="109">
        <v>143.560485390819</v>
      </c>
      <c r="G44" s="109">
        <v>41.8247083422072</v>
      </c>
      <c r="H44" s="109">
        <v>32.7815281601083</v>
      </c>
      <c r="I44" s="78">
        <f>(100*B44)/N44</f>
        <v>8.35953855029886</v>
      </c>
      <c r="J44" s="110">
        <f>((C44+F44)*100)/B44</f>
        <v>74.3670667233099</v>
      </c>
      <c r="K44" s="110">
        <f>((D44+G44)*100)/B44</f>
        <v>9.79210675954488</v>
      </c>
      <c r="L44" s="110">
        <f>((E44+H44)*100)/B44</f>
        <v>15.8408265171452</v>
      </c>
      <c r="M44" s="112">
        <f>N44-B43</f>
        <v>11413.9570940178</v>
      </c>
      <c r="N44" s="108">
        <f>O44+P44+Q44+R44+S44+T44</f>
        <v>11461.9570940178</v>
      </c>
      <c r="O44" s="109">
        <v>1776</v>
      </c>
      <c r="P44" s="109">
        <v>924</v>
      </c>
      <c r="Q44" s="109">
        <v>865</v>
      </c>
      <c r="R44" s="109">
        <v>4188.12282183453</v>
      </c>
      <c r="S44" s="109">
        <v>1755.50735284994</v>
      </c>
      <c r="T44" s="109">
        <v>1953.32691933335</v>
      </c>
      <c r="U44" s="49">
        <v>734</v>
      </c>
      <c r="V44" s="110">
        <f>((O44+R44)*100)/N44</f>
        <v>52.0340703853036</v>
      </c>
      <c r="W44" s="110">
        <f>((P44+S44)*100)/N44</f>
        <v>23.3773982128097</v>
      </c>
      <c r="X44" s="110">
        <f>((Q44+T44)*100)/N44</f>
        <v>24.5885314018867</v>
      </c>
    </row>
    <row r="45" spans="1:24" s="168" customFormat="1" ht="22.500000" customHeight="1">
      <c r="A45" s="34">
        <v>43</v>
      </c>
      <c r="B45" s="108">
        <f>C45+D45+E45+F45+G45+H45</f>
        <v>271.130397522762</v>
      </c>
      <c r="C45" s="109">
        <v>200</v>
      </c>
      <c r="D45" s="109">
        <v>19</v>
      </c>
      <c r="E45" s="109">
        <v>51</v>
      </c>
      <c r="F45" s="109">
        <v>0</v>
      </c>
      <c r="G45" s="109">
        <v>0</v>
      </c>
      <c r="H45" s="109">
        <v>1.13039752276235</v>
      </c>
      <c r="I45" s="78">
        <f>(100*B45)/N45</f>
        <v>6.14703163568699</v>
      </c>
      <c r="J45" s="110">
        <f>((C45+F45)*100)/B45</f>
        <v>73.7652442615584</v>
      </c>
      <c r="K45" s="110">
        <f>((D45+G45)*100)/B45</f>
        <v>7.00769820484805</v>
      </c>
      <c r="L45" s="110">
        <f>((E45+H45)*100)/B45</f>
        <v>19.2270575335935</v>
      </c>
      <c r="M45" s="112">
        <f>N45-B44</f>
        <v>3452.5865260436</v>
      </c>
      <c r="N45" s="108">
        <f>O45+P45+Q45+R45+S45+T45</f>
        <v>4410.75324793674</v>
      </c>
      <c r="O45" s="109">
        <v>1772</v>
      </c>
      <c r="P45" s="109">
        <v>918</v>
      </c>
      <c r="Q45" s="109">
        <v>830</v>
      </c>
      <c r="R45" s="109">
        <v>508.67888524306</v>
      </c>
      <c r="S45" s="109">
        <v>175.211616028165</v>
      </c>
      <c r="T45" s="109">
        <v>206.862746665511</v>
      </c>
      <c r="U45" s="49">
        <v>390</v>
      </c>
      <c r="V45" s="110">
        <f>((O45+R45)*100)/N45</f>
        <v>51.7072426645022</v>
      </c>
      <c r="W45" s="110">
        <f>((P45+S45)*100)/N45</f>
        <v>24.7851456333348</v>
      </c>
      <c r="X45" s="110">
        <f>((Q45+T45)*100)/N45</f>
        <v>23.507611702163</v>
      </c>
    </row>
    <row r="46" spans="1:24" s="168" customFormat="1" ht="22.500000" customHeight="1">
      <c r="A46" s="34">
        <v>44</v>
      </c>
      <c r="B46" s="108">
        <f>C46+D46+E46+F46+G46+H46</f>
        <v>11</v>
      </c>
      <c r="C46" s="109">
        <v>9</v>
      </c>
      <c r="D46" s="109">
        <v>2</v>
      </c>
      <c r="E46" s="109">
        <v>0</v>
      </c>
      <c r="F46" s="109">
        <v>0</v>
      </c>
      <c r="G46" s="109">
        <v>0</v>
      </c>
      <c r="H46" s="109">
        <v>0</v>
      </c>
      <c r="I46" s="78">
        <f>(100*B46)/N46</f>
        <v>0.300871719995717</v>
      </c>
      <c r="J46" s="110">
        <f>((C46+F46)*100)/B46</f>
        <v>81.8181818181818</v>
      </c>
      <c r="K46" s="110">
        <f>((D46+G46)*100)/B46</f>
        <v>18.1818181818182</v>
      </c>
      <c r="L46" s="110">
        <f>((E46+H46)*100)/B46</f>
        <v>0</v>
      </c>
      <c r="M46" s="112">
        <f>N46-B45</f>
        <v>3384.91278265934</v>
      </c>
      <c r="N46" s="108">
        <f>O46+P46+Q46+R46+S46+T46</f>
        <v>3656.0431801821</v>
      </c>
      <c r="O46" s="109">
        <v>1877</v>
      </c>
      <c r="P46" s="109">
        <v>926</v>
      </c>
      <c r="Q46" s="109">
        <v>844</v>
      </c>
      <c r="R46" s="109">
        <v>3.39119256828707</v>
      </c>
      <c r="S46" s="109">
        <v>2.26079504552471</v>
      </c>
      <c r="T46" s="109">
        <v>3.39119256828707</v>
      </c>
      <c r="U46" s="49">
        <v>347</v>
      </c>
      <c r="V46" s="110">
        <f>((O46+R46)*100)/N46</f>
        <v>51.4324120338926</v>
      </c>
      <c r="W46" s="110">
        <f>((P46+S46)*100)/N46</f>
        <v>25.3897656372672</v>
      </c>
      <c r="X46" s="110">
        <f>((Q46+T46)*100)/N46</f>
        <v>23.1778223288402</v>
      </c>
    </row>
    <row r="47" spans="1:24" s="168" customFormat="1" ht="22.500000" customHeight="1">
      <c r="A47" s="34">
        <v>45</v>
      </c>
      <c r="B47" s="108">
        <f>C47+D47+E47+F47+G47+H47</f>
        <v>4</v>
      </c>
      <c r="C47" s="109">
        <v>4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78">
        <f>(100*B47)/N47</f>
        <v>0.10789891317893</v>
      </c>
      <c r="J47" s="110">
        <f>((C47+F47)*100)/B47</f>
        <v>100</v>
      </c>
      <c r="K47" s="110">
        <f>((D47+G47)*100)/B47</f>
        <v>0</v>
      </c>
      <c r="L47" s="110">
        <f>((E47+H47)*100)/B47</f>
        <v>0</v>
      </c>
      <c r="M47" s="112">
        <f>N47-B46</f>
        <v>3696.17357770486</v>
      </c>
      <c r="N47" s="108">
        <f>O47+P47+Q47+R47+S47+T47</f>
        <v>3707.17357770486</v>
      </c>
      <c r="O47" s="109">
        <v>1929</v>
      </c>
      <c r="P47" s="109">
        <v>927</v>
      </c>
      <c r="Q47" s="109">
        <v>841</v>
      </c>
      <c r="R47" s="109">
        <v>7.91278265933649</v>
      </c>
      <c r="S47" s="109">
        <v>2.26079504552471</v>
      </c>
      <c r="T47" s="109">
        <v>0</v>
      </c>
      <c r="U47" s="49">
        <v>329</v>
      </c>
      <c r="V47" s="110">
        <f>((O47+R47)*100)/N47</f>
        <v>52.2476960428298</v>
      </c>
      <c r="W47" s="110">
        <f>((P47+S47)*100)/N47</f>
        <v>25.0665574613001</v>
      </c>
      <c r="X47" s="110">
        <f>((Q47+T47)*100)/N47</f>
        <v>22.68574649587</v>
      </c>
    </row>
    <row r="48" spans="1:24" s="168" customFormat="1" ht="22.500000" customHeight="1">
      <c r="A48" s="34">
        <v>46</v>
      </c>
      <c r="B48" s="108">
        <f>C48+D48+E48+F48+G48+H48</f>
        <v>3</v>
      </c>
      <c r="C48" s="109">
        <v>3</v>
      </c>
      <c r="D48" s="109">
        <v>0</v>
      </c>
      <c r="E48" s="109">
        <v>0</v>
      </c>
      <c r="F48" s="109">
        <v>0</v>
      </c>
      <c r="G48" s="109">
        <v>0</v>
      </c>
      <c r="H48" s="109">
        <v>0</v>
      </c>
      <c r="I48" s="78">
        <f>(100*B48)/N48</f>
        <v>0.0809906692811444</v>
      </c>
      <c r="J48" s="110">
        <f>((C48+F48)*100)/B48</f>
        <v>100</v>
      </c>
      <c r="K48" s="110">
        <f>((D48+G48)*100)/B48</f>
        <v>0</v>
      </c>
      <c r="L48" s="110">
        <f>((E48+H48)*100)/B48</f>
        <v>0</v>
      </c>
      <c r="M48" s="112">
        <f>N48-B47</f>
        <v>3700.13039752276</v>
      </c>
      <c r="N48" s="108">
        <f>O48+P48+Q48+R48+S48+T48</f>
        <v>3704.13039752276</v>
      </c>
      <c r="O48" s="109">
        <v>1938</v>
      </c>
      <c r="P48" s="109">
        <v>922</v>
      </c>
      <c r="Q48" s="109">
        <v>843</v>
      </c>
      <c r="R48" s="109">
        <v>0</v>
      </c>
      <c r="S48" s="109">
        <v>0</v>
      </c>
      <c r="T48" s="109">
        <v>1.13039752276235</v>
      </c>
      <c r="U48" s="49">
        <v>312</v>
      </c>
      <c r="V48" s="110">
        <f>((O48+R48)*100)/N48</f>
        <v>52.3199723556193</v>
      </c>
      <c r="W48" s="110">
        <f>((P48+S48)*100)/N48</f>
        <v>24.8911323590717</v>
      </c>
      <c r="X48" s="110">
        <f>((Q48+T48)*100)/N48</f>
        <v>22.788895285309</v>
      </c>
    </row>
    <row r="49" spans="1:24" s="168" customFormat="1" ht="22.500000" customHeight="1">
      <c r="A49" s="34">
        <v>47</v>
      </c>
      <c r="B49" s="108">
        <f>C49+D49+E49+F49+G49+H49</f>
        <v>2</v>
      </c>
      <c r="C49" s="109">
        <v>2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78">
        <f>(100*B49)/N49</f>
        <v>0.0533723193924564</v>
      </c>
      <c r="J49" s="110">
        <f>((C49+F49)*100)/B49</f>
        <v>100</v>
      </c>
      <c r="K49" s="110">
        <f>((D49+G49)*100)/B49</f>
        <v>0</v>
      </c>
      <c r="L49" s="110">
        <f>((E49+H49)*100)/B49</f>
        <v>0</v>
      </c>
      <c r="M49" s="112">
        <f>N49-B48</f>
        <v>3744.26079504553</v>
      </c>
      <c r="N49" s="108">
        <f>O49+P49+Q49+R49+S49+T49</f>
        <v>3747.26079504553</v>
      </c>
      <c r="O49" s="109">
        <v>1974</v>
      </c>
      <c r="P49" s="109">
        <v>926</v>
      </c>
      <c r="Q49" s="109">
        <v>845</v>
      </c>
      <c r="R49" s="109">
        <v>2.26079504552471</v>
      </c>
      <c r="S49" s="109">
        <v>0</v>
      </c>
      <c r="T49" s="109">
        <v>0</v>
      </c>
      <c r="U49" s="49">
        <v>294</v>
      </c>
      <c r="V49" s="110">
        <f>((O49+R49)*100)/N49</f>
        <v>52.7388111779798</v>
      </c>
      <c r="W49" s="110">
        <f>((P49+S49)*100)/N49</f>
        <v>24.7113838787073</v>
      </c>
      <c r="X49" s="110">
        <f>((Q49+T49)*100)/N49</f>
        <v>22.5498049433128</v>
      </c>
    </row>
    <row r="50" spans="1:24" s="168" customFormat="1" ht="22.500000" customHeight="1">
      <c r="A50" s="34">
        <v>48</v>
      </c>
      <c r="B50" s="108">
        <f>C50+D50+E50+F50+G50+H50</f>
        <v>24.1303975227624</v>
      </c>
      <c r="C50" s="109">
        <v>16</v>
      </c>
      <c r="D50" s="109">
        <v>5</v>
      </c>
      <c r="E50" s="109">
        <v>2</v>
      </c>
      <c r="F50" s="109">
        <v>0</v>
      </c>
      <c r="G50" s="109">
        <v>1.13039752276235</v>
      </c>
      <c r="H50" s="109">
        <v>0</v>
      </c>
      <c r="I50" s="78">
        <f>(100*B50)/N50</f>
        <v>0.471509841373557</v>
      </c>
      <c r="J50" s="110">
        <f>((C50+F50)*100)/B50</f>
        <v>66.3064086901474</v>
      </c>
      <c r="K50" s="110">
        <f>((D50+G50)*100)/B50</f>
        <v>25.4052902235842</v>
      </c>
      <c r="L50" s="110">
        <f>((E50+H50)*100)/B50</f>
        <v>8.28830108626842</v>
      </c>
      <c r="M50" s="112">
        <f>N50-B49</f>
        <v>5115.68692939006</v>
      </c>
      <c r="N50" s="108">
        <f>O50+P50+Q50+R50+S50+T50</f>
        <v>5117.68692939006</v>
      </c>
      <c r="O50" s="109">
        <v>1939</v>
      </c>
      <c r="P50" s="109">
        <v>853</v>
      </c>
      <c r="Q50" s="109">
        <v>742</v>
      </c>
      <c r="R50" s="109">
        <v>890.753247936737</v>
      </c>
      <c r="S50" s="109">
        <v>341.380051874231</v>
      </c>
      <c r="T50" s="109">
        <v>351.553629579092</v>
      </c>
      <c r="U50" s="49">
        <v>350</v>
      </c>
      <c r="V50" s="110">
        <f>((O50+R50)*100)/N50</f>
        <v>55.2935982012873</v>
      </c>
      <c r="W50" s="110">
        <f>((P50+S50)*100)/N50</f>
        <v>23.3382789598773</v>
      </c>
      <c r="X50" s="110">
        <f>((Q50+T50)*100)/N50</f>
        <v>21.3681228388354</v>
      </c>
    </row>
    <row r="51" spans="1:24" s="168" customFormat="1" ht="22.500000" customHeight="1">
      <c r="A51" s="34">
        <v>49</v>
      </c>
      <c r="B51" s="108">
        <f>C51+D51+E51+F51+G51+H51</f>
        <v>300.211616028165</v>
      </c>
      <c r="C51" s="109">
        <v>96</v>
      </c>
      <c r="D51" s="109">
        <v>19</v>
      </c>
      <c r="E51" s="109">
        <v>10</v>
      </c>
      <c r="F51" s="109">
        <v>80.2582241161273</v>
      </c>
      <c r="G51" s="109">
        <v>54.2590810925931</v>
      </c>
      <c r="H51" s="109">
        <v>40.6943108194448</v>
      </c>
      <c r="I51" s="78">
        <f>(100*B51)/N51</f>
        <v>3.5803562208076</v>
      </c>
      <c r="J51" s="110">
        <f>((C51+F51)*100)/B51</f>
        <v>58.7113271791559</v>
      </c>
      <c r="K51" s="110">
        <f>((D51+G51)*100)/B51</f>
        <v>24.4024805108541</v>
      </c>
      <c r="L51" s="110">
        <f>((E51+H51)*100)/B51</f>
        <v>16.88619230999</v>
      </c>
      <c r="M51" s="112">
        <f>N51-B50</f>
        <v>8360.83460354209</v>
      </c>
      <c r="N51" s="108">
        <f>O51+P51+Q51+R51+S51+T51</f>
        <v>8384.96500106485</v>
      </c>
      <c r="O51" s="109">
        <v>1868</v>
      </c>
      <c r="P51" s="109">
        <v>800</v>
      </c>
      <c r="Q51" s="109">
        <v>698</v>
      </c>
      <c r="R51" s="109">
        <v>2850.86255240666</v>
      </c>
      <c r="S51" s="109">
        <v>1094.22480203396</v>
      </c>
      <c r="T51" s="109">
        <v>1073.87764662423</v>
      </c>
      <c r="U51" s="49">
        <v>657</v>
      </c>
      <c r="V51" s="110">
        <f>((O51+R51)*100)/N51</f>
        <v>56.2776654620191</v>
      </c>
      <c r="W51" s="110">
        <f>((P51+S51)*100)/N51</f>
        <v>22.590729976731</v>
      </c>
      <c r="X51" s="110">
        <f>((Q51+T51)*100)/N51</f>
        <v>21.1316045612499</v>
      </c>
    </row>
    <row r="52" spans="1:24" s="168" customFormat="1" ht="22.500000" customHeight="1">
      <c r="A52" s="34">
        <v>50</v>
      </c>
      <c r="B52" s="108">
        <f>C52+D52+E52+F52+G52+H52</f>
        <v>676.385193733026</v>
      </c>
      <c r="C52" s="109">
        <v>330</v>
      </c>
      <c r="D52" s="109">
        <v>78</v>
      </c>
      <c r="E52" s="109">
        <v>83</v>
      </c>
      <c r="F52" s="109">
        <v>73.4758389795531</v>
      </c>
      <c r="G52" s="109">
        <v>72.3454414567908</v>
      </c>
      <c r="H52" s="109">
        <v>39.5639132966824</v>
      </c>
      <c r="I52" s="78">
        <f>(100*B52)/N52</f>
        <v>9.03917430945881</v>
      </c>
      <c r="J52" s="110">
        <f>((C52+F52)*100)/B52</f>
        <v>59.6517846218271</v>
      </c>
      <c r="K52" s="110">
        <f>((D52+G52)*100)/B52</f>
        <v>22.227784234457</v>
      </c>
      <c r="L52" s="110">
        <f>((E52+H52)*100)/B52</f>
        <v>18.1204311437159</v>
      </c>
      <c r="M52" s="112">
        <f>N52-B51</f>
        <v>7182.60894453167</v>
      </c>
      <c r="N52" s="108">
        <f>O52+P52+Q52+R52+S52+T52</f>
        <v>7482.82056055983</v>
      </c>
      <c r="O52" s="109">
        <v>1923</v>
      </c>
      <c r="P52" s="109">
        <v>768</v>
      </c>
      <c r="Q52" s="109">
        <v>667</v>
      </c>
      <c r="R52" s="109">
        <v>2313.92372909454</v>
      </c>
      <c r="S52" s="109">
        <v>877.188477663588</v>
      </c>
      <c r="T52" s="109">
        <v>933.708353801706</v>
      </c>
      <c r="U52" s="49">
        <v>580</v>
      </c>
      <c r="V52" s="110">
        <f>((O52+R52)*100)/N52</f>
        <v>56.6220143167184</v>
      </c>
      <c r="W52" s="110">
        <f>((P52+S52)*100)/N52</f>
        <v>21.9862077989012</v>
      </c>
      <c r="X52" s="110">
        <f>((Q52+T52)*100)/N52</f>
        <v>21.3917778843804</v>
      </c>
    </row>
    <row r="53" spans="1:24" s="168" customFormat="1" ht="22.500000" customHeight="1">
      <c r="A53" s="34">
        <v>51</v>
      </c>
      <c r="B53" s="108">
        <f>C53+D53+E53+F53+G53+H53</f>
        <v>1649.58738302007</v>
      </c>
      <c r="C53" s="109">
        <v>616</v>
      </c>
      <c r="D53" s="109">
        <v>178</v>
      </c>
      <c r="E53" s="109">
        <v>209</v>
      </c>
      <c r="F53" s="109">
        <v>265.643417849153</v>
      </c>
      <c r="G53" s="109">
        <v>250.948250053243</v>
      </c>
      <c r="H53" s="109">
        <v>129.995715117671</v>
      </c>
      <c r="I53" s="78">
        <f>(100*B53)/N53</f>
        <v>21.9928846353144</v>
      </c>
      <c r="J53" s="110">
        <f>((C53+F53)*100)/B53</f>
        <v>53.4462997792235</v>
      </c>
      <c r="K53" s="110">
        <f>((D53+G53)*100)/B53</f>
        <v>26.0033663247305</v>
      </c>
      <c r="L53" s="110">
        <f>((E53+H53)*100)/B53</f>
        <v>20.550333896046</v>
      </c>
      <c r="M53" s="112">
        <f>N53-B52</f>
        <v>6824.16514504016</v>
      </c>
      <c r="N53" s="108">
        <f>O53+P53+Q53+R53+S53+T53</f>
        <v>7500.55033877319</v>
      </c>
      <c r="O53" s="109">
        <v>1634</v>
      </c>
      <c r="P53" s="109">
        <v>963</v>
      </c>
      <c r="Q53" s="109">
        <v>495</v>
      </c>
      <c r="R53" s="109">
        <v>2035.845938495</v>
      </c>
      <c r="S53" s="109">
        <v>1602.90368727702</v>
      </c>
      <c r="T53" s="109">
        <v>769.800713001165</v>
      </c>
      <c r="U53" s="49">
        <v>629</v>
      </c>
      <c r="V53" s="110">
        <f>((O53+R53)*100)/N53</f>
        <v>48.9276889393592</v>
      </c>
      <c r="W53" s="110">
        <f>((P53+S53)*100)/N53</f>
        <v>34.2095389189363</v>
      </c>
      <c r="X53" s="110">
        <f>((Q53+T53)*100)/N53</f>
        <v>16.8627721417045</v>
      </c>
    </row>
    <row r="54" spans="1:24" s="168" customFormat="1" ht="22.500000" customHeight="1">
      <c r="A54" s="34">
        <v>52</v>
      </c>
      <c r="B54" s="108">
        <f>C54+D54+E54+F54+G54+H54</f>
        <v>603.346298433257</v>
      </c>
      <c r="C54" s="109">
        <v>440</v>
      </c>
      <c r="D54" s="109">
        <v>55</v>
      </c>
      <c r="E54" s="109">
        <v>62</v>
      </c>
      <c r="F54" s="109">
        <v>7.91278265933649</v>
      </c>
      <c r="G54" s="109">
        <v>23.7383479780094</v>
      </c>
      <c r="H54" s="109">
        <v>14.6951677959106</v>
      </c>
      <c r="I54" s="78">
        <f>(100*B54)/N54</f>
        <v>16.0647730402142</v>
      </c>
      <c r="J54" s="110">
        <f>((C54+F54)*100)/B54</f>
        <v>74.2380924226198</v>
      </c>
      <c r="K54" s="110">
        <f>((D54+G54)*100)/B54</f>
        <v>13.0502744746216</v>
      </c>
      <c r="L54" s="110">
        <f>((E54+H54)*100)/B54</f>
        <v>12.7116331027586</v>
      </c>
      <c r="M54" s="112">
        <f>N54-B53</f>
        <v>2106.12268473457</v>
      </c>
      <c r="N54" s="108">
        <f>O54+P54+Q54+R54+S54+T54</f>
        <v>3755.71006775464</v>
      </c>
      <c r="O54" s="109">
        <v>1457</v>
      </c>
      <c r="P54" s="109">
        <v>999</v>
      </c>
      <c r="Q54" s="109">
        <v>418</v>
      </c>
      <c r="R54" s="109">
        <v>371.900784988815</v>
      </c>
      <c r="S54" s="109">
        <v>314.250511327935</v>
      </c>
      <c r="T54" s="109">
        <v>195.558771437887</v>
      </c>
      <c r="U54" s="49">
        <v>441</v>
      </c>
      <c r="V54" s="110">
        <f>((O54+R54)*100)/N54</f>
        <v>48.6965381244732</v>
      </c>
      <c r="W54" s="110">
        <f>((P54+S54)*100)/N54</f>
        <v>34.9667702681071</v>
      </c>
      <c r="X54" s="110">
        <f>((Q54+T54)*100)/N54</f>
        <v>16.3366916074197</v>
      </c>
    </row>
    <row r="55" spans="1:24" s="168" customFormat="1" ht="22.500000" customHeight="1">
      <c r="A55" s="34">
        <v>53</v>
      </c>
      <c r="B55" s="108">
        <f>C55+D55+E55+F55+G55+H55</f>
        <v>11</v>
      </c>
      <c r="C55" s="109">
        <v>6</v>
      </c>
      <c r="D55" s="109">
        <v>4</v>
      </c>
      <c r="E55" s="109">
        <v>1</v>
      </c>
      <c r="F55" s="109">
        <v>0</v>
      </c>
      <c r="G55" s="109">
        <v>0</v>
      </c>
      <c r="H55" s="109">
        <v>0</v>
      </c>
      <c r="I55" s="78">
        <f>(100*B55)/N55</f>
        <v>0.367791426138487</v>
      </c>
      <c r="J55" s="110">
        <f>((C55+F55)*100)/B55</f>
        <v>54.5454545454545</v>
      </c>
      <c r="K55" s="110">
        <f>((D55+G55)*100)/B55</f>
        <v>36.3636363636364</v>
      </c>
      <c r="L55" s="110">
        <f>((E55+H55)*100)/B55</f>
        <v>9.09090909090909</v>
      </c>
      <c r="M55" s="112">
        <f>N55-B54</f>
        <v>2387.47926688542</v>
      </c>
      <c r="N55" s="108">
        <f>O55+P55+Q55+R55+S55+T55</f>
        <v>2990.82556531867</v>
      </c>
      <c r="O55" s="109">
        <v>1493</v>
      </c>
      <c r="P55" s="109">
        <v>1067</v>
      </c>
      <c r="Q55" s="109">
        <v>415</v>
      </c>
      <c r="R55" s="109">
        <v>4.52159009104942</v>
      </c>
      <c r="S55" s="109">
        <v>7.91278265933649</v>
      </c>
      <c r="T55" s="109">
        <v>3.39119256828707</v>
      </c>
      <c r="U55" s="49">
        <v>283</v>
      </c>
      <c r="V55" s="110">
        <f>((O55+R55)*100)/N55</f>
        <v>50.0705092084328</v>
      </c>
      <c r="W55" s="110">
        <f>((P55+S55)*100)/N55</f>
        <v>35.9403368462515</v>
      </c>
      <c r="X55" s="110">
        <f>((Q55+T55)*100)/N55</f>
        <v>13.9891539453157</v>
      </c>
    </row>
    <row r="56" spans="1:24" s="168" customFormat="1" ht="22.500000" customHeight="1">
      <c r="A56" s="34">
        <v>54</v>
      </c>
      <c r="B56" s="108">
        <f>C56+D56+E56+F56+G56+H56</f>
        <v>4</v>
      </c>
      <c r="C56" s="109">
        <v>4</v>
      </c>
      <c r="D56" s="109">
        <v>0</v>
      </c>
      <c r="E56" s="109">
        <v>0</v>
      </c>
      <c r="F56" s="109">
        <v>0</v>
      </c>
      <c r="G56" s="109">
        <v>0</v>
      </c>
      <c r="H56" s="109">
        <v>0</v>
      </c>
      <c r="I56" s="78">
        <f>(100*B56)/N56</f>
        <v>0.1300261623107</v>
      </c>
      <c r="J56" s="110">
        <f>((C56+F56)*100)/B56</f>
        <v>100</v>
      </c>
      <c r="K56" s="110">
        <f>((D56+G56)*100)/B56</f>
        <v>0</v>
      </c>
      <c r="L56" s="110">
        <f>((E56+H56)*100)/B56</f>
        <v>0</v>
      </c>
      <c r="M56" s="112">
        <f>N56-B55</f>
        <v>3065.30397522762</v>
      </c>
      <c r="N56" s="108">
        <f>O56+P56+Q56+R56+S56+T56</f>
        <v>3076.30397522762</v>
      </c>
      <c r="O56" s="109">
        <v>1536</v>
      </c>
      <c r="P56" s="109">
        <v>1108</v>
      </c>
      <c r="Q56" s="109">
        <v>421</v>
      </c>
      <c r="R56" s="109">
        <v>3.39119256828707</v>
      </c>
      <c r="S56" s="109">
        <v>4.52159009104942</v>
      </c>
      <c r="T56" s="109">
        <v>3.39119256828707</v>
      </c>
      <c r="U56" s="49">
        <v>280</v>
      </c>
      <c r="V56" s="110">
        <f>((O56+R56)*100)/N56</f>
        <v>50.0402822661367</v>
      </c>
      <c r="W56" s="110">
        <f>((P56+S56)*100)/N56</f>
        <v>36.1642282118343</v>
      </c>
      <c r="X56" s="110">
        <f>((Q56+T56)*100)/N56</f>
        <v>13.795489522029</v>
      </c>
    </row>
    <row r="57" spans="1:24" s="168" customFormat="1" ht="22.500000" customHeight="1">
      <c r="A57" s="34">
        <v>55</v>
      </c>
      <c r="B57" s="108">
        <f>C57+D57+E57+F57+G57+H57</f>
        <v>997.760960724928</v>
      </c>
      <c r="C57" s="109">
        <v>298</v>
      </c>
      <c r="D57" s="109">
        <v>20</v>
      </c>
      <c r="E57" s="109">
        <v>23</v>
      </c>
      <c r="F57" s="109">
        <v>396.769530489587</v>
      </c>
      <c r="G57" s="109">
        <v>188.776386301313</v>
      </c>
      <c r="H57" s="109">
        <v>71.2150439340284</v>
      </c>
      <c r="I57" s="78">
        <f>(100*B57)/N57</f>
        <v>6.68902825229502</v>
      </c>
      <c r="J57" s="110">
        <f>((C57+F57)*100)/B57</f>
        <v>69.632863765766</v>
      </c>
      <c r="K57" s="110">
        <f>((D57+G57)*100)/B57</f>
        <v>20.9244893836722</v>
      </c>
      <c r="L57" s="110">
        <f>((E57+H57)*100)/B57</f>
        <v>9.44264685056188</v>
      </c>
      <c r="M57" s="112">
        <f>N57-B56</f>
        <v>14912.3813201506</v>
      </c>
      <c r="N57" s="108">
        <f>O57+P57+Q57+R57+S57+T57</f>
        <v>14916.3813201506</v>
      </c>
      <c r="O57" s="109">
        <v>1349</v>
      </c>
      <c r="P57" s="109">
        <v>993</v>
      </c>
      <c r="Q57" s="109">
        <v>400</v>
      </c>
      <c r="R57" s="109">
        <v>5766.15776361078</v>
      </c>
      <c r="S57" s="109">
        <v>4592.80513498345</v>
      </c>
      <c r="T57" s="109">
        <v>1815.41842155634</v>
      </c>
      <c r="U57" s="49">
        <v>745</v>
      </c>
      <c r="V57" s="110">
        <f>((O57+R57)*100)/N57</f>
        <v>47.7002941323235</v>
      </c>
      <c r="W57" s="110">
        <f>((P57+S57)*100)/N57</f>
        <v>37.4474546815022</v>
      </c>
      <c r="X57" s="110">
        <f>((Q57+T57)*100)/N57</f>
        <v>14.8522511861743</v>
      </c>
    </row>
    <row r="58" spans="1:24" s="168" customFormat="1" ht="22.500000" customHeight="1">
      <c r="A58" s="34">
        <v>56</v>
      </c>
      <c r="B58" s="108">
        <f>C58+D58+E58+F58+G58+H58</f>
        <v>1</v>
      </c>
      <c r="C58" s="109">
        <v>0</v>
      </c>
      <c r="D58" s="109">
        <v>1</v>
      </c>
      <c r="E58" s="109">
        <v>0</v>
      </c>
      <c r="F58" s="109">
        <v>0</v>
      </c>
      <c r="G58" s="109">
        <v>0</v>
      </c>
      <c r="H58" s="109">
        <v>0</v>
      </c>
      <c r="I58" s="78">
        <f>(100*B58)/N58</f>
        <v>0.0361237641261886</v>
      </c>
      <c r="J58" s="110">
        <f>((C58+F58)*100)/B58</f>
        <v>0</v>
      </c>
      <c r="K58" s="110">
        <f>((D58+G58)*100)/B58</f>
        <v>100</v>
      </c>
      <c r="L58" s="110">
        <f>((E58+H58)*100)/B58</f>
        <v>0</v>
      </c>
      <c r="M58" s="112">
        <f>N58-B57</f>
        <v>1770.4998343206</v>
      </c>
      <c r="N58" s="108">
        <f>O58+P58+Q58+R58+S58+T58</f>
        <v>2768.26079504553</v>
      </c>
      <c r="O58" s="109">
        <v>1371</v>
      </c>
      <c r="P58" s="109">
        <v>1000</v>
      </c>
      <c r="Q58" s="109">
        <v>395</v>
      </c>
      <c r="R58" s="109">
        <v>0</v>
      </c>
      <c r="S58" s="109">
        <v>1.13039752276235</v>
      </c>
      <c r="T58" s="109">
        <v>1.13039752276235</v>
      </c>
      <c r="U58" s="49">
        <v>278</v>
      </c>
      <c r="V58" s="110">
        <f>((O58+R58)*100)/N58</f>
        <v>49.5256806170046</v>
      </c>
      <c r="W58" s="110">
        <f>((P58+S58)*100)/N58</f>
        <v>36.1645983396697</v>
      </c>
      <c r="X58" s="110">
        <f>((Q58+T58)*100)/N58</f>
        <v>14.3097210433256</v>
      </c>
    </row>
    <row r="59" spans="1:24" s="168" customFormat="1" ht="22.500000" customHeight="1">
      <c r="A59" s="34">
        <v>57</v>
      </c>
      <c r="B59" s="108">
        <f>C59+D59+E59+F59+G59+H59</f>
        <v>1</v>
      </c>
      <c r="C59" s="109">
        <v>1</v>
      </c>
      <c r="D59" s="109">
        <v>0</v>
      </c>
      <c r="E59" s="109">
        <v>0</v>
      </c>
      <c r="F59" s="109">
        <v>0</v>
      </c>
      <c r="G59" s="109">
        <v>0</v>
      </c>
      <c r="H59" s="109">
        <v>0</v>
      </c>
      <c r="I59" s="78">
        <f>(100*B59)/N59</f>
        <v>0.0360100828231905</v>
      </c>
      <c r="J59" s="110">
        <f>((C59+F59)*100)/B59</f>
        <v>100</v>
      </c>
      <c r="K59" s="110">
        <f>((D59+G59)*100)/B59</f>
        <v>0</v>
      </c>
      <c r="L59" s="110">
        <f>((E59+H59)*100)/B59</f>
        <v>0</v>
      </c>
      <c r="M59" s="112">
        <f>N59-B58</f>
        <v>2776</v>
      </c>
      <c r="N59" s="108">
        <f>O59+P59+Q59+R59+S59+T59</f>
        <v>2777</v>
      </c>
      <c r="O59" s="109">
        <v>1376</v>
      </c>
      <c r="P59" s="109">
        <v>1010</v>
      </c>
      <c r="Q59" s="109">
        <v>391</v>
      </c>
      <c r="R59" s="109">
        <v>0</v>
      </c>
      <c r="S59" s="109">
        <v>0</v>
      </c>
      <c r="T59" s="109">
        <v>0</v>
      </c>
      <c r="U59" s="49">
        <v>259</v>
      </c>
      <c r="V59" s="110">
        <f>((O59+R59)*100)/N59</f>
        <v>49.5498739647101</v>
      </c>
      <c r="W59" s="110">
        <f>((P59+S59)*100)/N59</f>
        <v>36.3701836514224</v>
      </c>
      <c r="X59" s="110">
        <f>((Q59+T59)*100)/N59</f>
        <v>14.0799423838675</v>
      </c>
    </row>
    <row r="60" spans="1:24" s="168" customFormat="1" ht="22.500000" customHeight="1">
      <c r="A60" s="34">
        <v>58</v>
      </c>
      <c r="B60" s="108">
        <f>C60+D60+E60+F60+G60+H60</f>
        <v>23.3911925682871</v>
      </c>
      <c r="C60" s="109">
        <v>17</v>
      </c>
      <c r="D60" s="109">
        <v>2</v>
      </c>
      <c r="E60" s="109">
        <v>1</v>
      </c>
      <c r="F60" s="109">
        <v>2.26079504552471</v>
      </c>
      <c r="G60" s="109">
        <v>1.13039752276235</v>
      </c>
      <c r="H60" s="109">
        <v>0</v>
      </c>
      <c r="I60" s="78">
        <f>(100*B60)/N60</f>
        <v>0.718050951095362</v>
      </c>
      <c r="J60" s="110">
        <f>((C60+F60)*100)/B60</f>
        <v>82.3420823427267</v>
      </c>
      <c r="K60" s="110">
        <f>((D60+G60)*100)/B60</f>
        <v>13.3828042910751</v>
      </c>
      <c r="L60" s="110">
        <f>((E60+H60)*100)/B60</f>
        <v>4.2751133661982</v>
      </c>
      <c r="M60" s="112">
        <f>N60-B59</f>
        <v>3256.59509580826</v>
      </c>
      <c r="N60" s="108">
        <f>O60+P60+Q60+R60+S60+T60</f>
        <v>3257.59509580826</v>
      </c>
      <c r="O60" s="109">
        <v>1434</v>
      </c>
      <c r="P60" s="109">
        <v>1020</v>
      </c>
      <c r="Q60" s="109">
        <v>391</v>
      </c>
      <c r="R60" s="109">
        <v>209.123541711036</v>
      </c>
      <c r="S60" s="109">
        <v>132.256510163195</v>
      </c>
      <c r="T60" s="109">
        <v>71.2150439340284</v>
      </c>
      <c r="U60" s="49">
        <v>285</v>
      </c>
      <c r="V60" s="110">
        <f>((O60+R60)*100)/N60</f>
        <v>50.4397720829498</v>
      </c>
      <c r="W60" s="110">
        <f>((P60+S60)*100)/N60</f>
        <v>35.3713852174529</v>
      </c>
      <c r="X60" s="110">
        <f>((Q60+T60)*100)/N60</f>
        <v>14.1888426995973</v>
      </c>
    </row>
    <row r="61" spans="1:24" s="168" customFormat="1" ht="22.500000" customHeight="1">
      <c r="A61" s="34">
        <v>59</v>
      </c>
      <c r="B61" s="108">
        <f>C61+D61+E61+F61+G61+H61</f>
        <v>628.519019161652</v>
      </c>
      <c r="C61" s="109">
        <v>419</v>
      </c>
      <c r="D61" s="109">
        <v>85</v>
      </c>
      <c r="E61" s="109">
        <v>42</v>
      </c>
      <c r="F61" s="109">
        <v>10.1735777048612</v>
      </c>
      <c r="G61" s="109">
        <v>51.9982860470684</v>
      </c>
      <c r="H61" s="109">
        <v>20.3471554097224</v>
      </c>
      <c r="I61" s="78">
        <f>(100*B61)/N61</f>
        <v>12.1781335242648</v>
      </c>
      <c r="J61" s="110">
        <f>((C61+F61)*100)/B61</f>
        <v>68.2833080019302</v>
      </c>
      <c r="K61" s="110">
        <f>((D61+G61)*100)/B61</f>
        <v>21.7969992745491</v>
      </c>
      <c r="L61" s="110">
        <f>((E61+H61)*100)/B61</f>
        <v>9.91969272352075</v>
      </c>
      <c r="M61" s="112">
        <f>N61-B60</f>
        <v>5137.65436428436</v>
      </c>
      <c r="N61" s="108">
        <f>O61+P61+Q61+R61+S61+T61</f>
        <v>5161.04555685264</v>
      </c>
      <c r="O61" s="109">
        <v>1279</v>
      </c>
      <c r="P61" s="109">
        <v>947</v>
      </c>
      <c r="Q61" s="109">
        <v>360</v>
      </c>
      <c r="R61" s="109">
        <v>1210.65574687848</v>
      </c>
      <c r="S61" s="109">
        <v>965.359484439052</v>
      </c>
      <c r="T61" s="109">
        <v>399.030325535111</v>
      </c>
      <c r="U61" s="49">
        <v>413</v>
      </c>
      <c r="V61" s="110">
        <f>((O61+R61)*100)/N61</f>
        <v>48.2393677686648</v>
      </c>
      <c r="W61" s="110">
        <f>((P61+S61)*100)/N61</f>
        <v>37.0537222230076</v>
      </c>
      <c r="X61" s="110">
        <f>((Q61+T61)*100)/N61</f>
        <v>14.7069100083277</v>
      </c>
    </row>
    <row r="62" spans="1:24" s="168" customFormat="1" ht="22.500000" customHeight="1">
      <c r="A62" s="34">
        <v>60</v>
      </c>
      <c r="B62" s="108">
        <f>C62+D62+E62+F62+G62+H62</f>
        <v>123.434372750386</v>
      </c>
      <c r="C62" s="109">
        <v>87</v>
      </c>
      <c r="D62" s="109">
        <v>19</v>
      </c>
      <c r="E62" s="109">
        <v>5</v>
      </c>
      <c r="F62" s="109">
        <v>5.65198761381178</v>
      </c>
      <c r="G62" s="109">
        <v>4.52159009104942</v>
      </c>
      <c r="H62" s="109">
        <v>2.26079504552471</v>
      </c>
      <c r="I62" s="78">
        <f>(100*B62)/N62</f>
        <v>4.06804304142855</v>
      </c>
      <c r="J62" s="110">
        <f>((C62+F62)*100)/B62</f>
        <v>75.0617397320732</v>
      </c>
      <c r="K62" s="110">
        <f>((D62+G62)*100)/B62</f>
        <v>19.0559481665741</v>
      </c>
      <c r="L62" s="110">
        <f>((E62+H62)*100)/B62</f>
        <v>5.88231210135267</v>
      </c>
      <c r="M62" s="112">
        <f>N62-B61</f>
        <v>2405.72549333102</v>
      </c>
      <c r="N62" s="108">
        <f>O62+P62+Q62+R62+S62+T62</f>
        <v>3034.24451249267</v>
      </c>
      <c r="O62" s="109">
        <v>1245</v>
      </c>
      <c r="P62" s="109">
        <v>938</v>
      </c>
      <c r="Q62" s="109">
        <v>355</v>
      </c>
      <c r="R62" s="109">
        <v>246.426659962193</v>
      </c>
      <c r="S62" s="109">
        <v>172.95082098264</v>
      </c>
      <c r="T62" s="109">
        <v>76.8670315478402</v>
      </c>
      <c r="U62" s="49">
        <v>298</v>
      </c>
      <c r="V62" s="110">
        <f>((O62+R62)*100)/N62</f>
        <v>49.153146815349</v>
      </c>
      <c r="W62" s="110">
        <f>((P62+S62)*100)/N62</f>
        <v>36.6137539808873</v>
      </c>
      <c r="X62" s="110">
        <f>((Q62+T62)*100)/N62</f>
        <v>14.2330992037638</v>
      </c>
    </row>
    <row r="63" spans="1:24" s="168" customFormat="1" ht="22.500000" customHeight="1">
      <c r="A63" s="34">
        <v>61</v>
      </c>
      <c r="B63" s="108">
        <f>C63+D63+E63+F63+G63+H63</f>
        <v>255.431801820988</v>
      </c>
      <c r="C63" s="109">
        <v>132</v>
      </c>
      <c r="D63" s="109">
        <v>25</v>
      </c>
      <c r="E63" s="109">
        <v>8</v>
      </c>
      <c r="F63" s="109">
        <v>55.3894786153554</v>
      </c>
      <c r="G63" s="109">
        <v>23.7383479780094</v>
      </c>
      <c r="H63" s="109">
        <v>11.3039752276235</v>
      </c>
      <c r="I63" s="78">
        <f>(100*B63)/N63</f>
        <v>5.21080497919555</v>
      </c>
      <c r="J63" s="110">
        <f>((C63+F63)*100)/B63</f>
        <v>73.3618434664144</v>
      </c>
      <c r="K63" s="110">
        <f>((D63+G63)*100)/B63</f>
        <v>19.0807674027082</v>
      </c>
      <c r="L63" s="110">
        <f>((E63+H63)*100)/B63</f>
        <v>7.55738913087733</v>
      </c>
      <c r="M63" s="112">
        <f>N63-B62</f>
        <v>4778.52996559686</v>
      </c>
      <c r="N63" s="108">
        <f>O63+P63+Q63+R63+S63+T63</f>
        <v>4901.96433834724</v>
      </c>
      <c r="O63" s="109">
        <v>1213</v>
      </c>
      <c r="P63" s="109">
        <v>936</v>
      </c>
      <c r="Q63" s="109">
        <v>352</v>
      </c>
      <c r="R63" s="109">
        <v>1141.70149798998</v>
      </c>
      <c r="S63" s="109">
        <v>923.534776096845</v>
      </c>
      <c r="T63" s="109">
        <v>335.728064260419</v>
      </c>
      <c r="U63" s="49">
        <v>402</v>
      </c>
      <c r="V63" s="110">
        <f>((O63+R63)*100)/N63</f>
        <v>48.0358757318887</v>
      </c>
      <c r="W63" s="110">
        <f>((P63+S63)*100)/N63</f>
        <v>37.9344819290099</v>
      </c>
      <c r="X63" s="110">
        <f>((Q63+T63)*100)/N63</f>
        <v>14.0296423391014</v>
      </c>
    </row>
    <row r="64" spans="1:24" s="168" customFormat="1" ht="22.500000" customHeight="1">
      <c r="A64" s="34">
        <v>62</v>
      </c>
      <c r="B64" s="108">
        <f>C64+D64+E64+F64+G64+H64</f>
        <v>231.519876138118</v>
      </c>
      <c r="C64" s="109">
        <v>128</v>
      </c>
      <c r="D64" s="109">
        <v>30</v>
      </c>
      <c r="E64" s="109">
        <v>17</v>
      </c>
      <c r="F64" s="109">
        <v>28.2599380690589</v>
      </c>
      <c r="G64" s="109">
        <v>18.0863603641977</v>
      </c>
      <c r="H64" s="109">
        <v>10.1735777048612</v>
      </c>
      <c r="I64" s="78">
        <f>(100*B64)/N64</f>
        <v>5.72245127426059</v>
      </c>
      <c r="J64" s="110">
        <f>((C64+F64)*100)/B64</f>
        <v>67.4930985086736</v>
      </c>
      <c r="K64" s="110">
        <f>((D64+G64)*100)/B64</f>
        <v>20.7698626857898</v>
      </c>
      <c r="L64" s="110">
        <f>((E64+H64)*100)/B64</f>
        <v>11.7370388055366</v>
      </c>
      <c r="M64" s="112">
        <f>N64-B63</f>
        <v>3790.38466811537</v>
      </c>
      <c r="N64" s="108">
        <f>O64+P64+Q64+R64+S64+T64</f>
        <v>4045.81646993636</v>
      </c>
      <c r="O64" s="109">
        <v>1182</v>
      </c>
      <c r="P64" s="109">
        <v>907</v>
      </c>
      <c r="Q64" s="109">
        <v>346</v>
      </c>
      <c r="R64" s="109">
        <v>761.887930341828</v>
      </c>
      <c r="S64" s="109">
        <v>623.979432564821</v>
      </c>
      <c r="T64" s="109">
        <v>224.949107029709</v>
      </c>
      <c r="U64" s="49">
        <v>369</v>
      </c>
      <c r="V64" s="110">
        <f>((O64+R64)*100)/N64</f>
        <v>48.0468638354326</v>
      </c>
      <c r="W64" s="110">
        <f>((P64+S64)*100)/N64</f>
        <v>37.8410499819065</v>
      </c>
      <c r="X64" s="110">
        <f>((Q64+T64)*100)/N64</f>
        <v>14.1120861826609</v>
      </c>
    </row>
    <row r="65" spans="1:24" s="168" customFormat="1" ht="22.500000" customHeight="1">
      <c r="A65" s="34">
        <v>63</v>
      </c>
      <c r="B65" s="108">
        <f>C65+D65+E65+F65+G65+H65</f>
        <v>15.6519876138118</v>
      </c>
      <c r="C65" s="109">
        <v>6</v>
      </c>
      <c r="D65" s="109">
        <v>3</v>
      </c>
      <c r="E65" s="109">
        <v>1</v>
      </c>
      <c r="F65" s="109">
        <v>1.13039752276235</v>
      </c>
      <c r="G65" s="109">
        <v>3.39119256828707</v>
      </c>
      <c r="H65" s="109">
        <v>1.13039752276235</v>
      </c>
      <c r="I65" s="78">
        <f>(100*B65)/N65</f>
        <v>0.635305587429221</v>
      </c>
      <c r="J65" s="110">
        <f>((C65+F65)*100)/B65</f>
        <v>45.5558597329216</v>
      </c>
      <c r="K65" s="110">
        <f>((D65+G65)*100)/B65</f>
        <v>40.8331052003089</v>
      </c>
      <c r="L65" s="110">
        <f>((E65+H65)*100)/B65</f>
        <v>13.6110350667696</v>
      </c>
      <c r="M65" s="112">
        <f>N65-B64</f>
        <v>2232.17443468133</v>
      </c>
      <c r="N65" s="108">
        <f>O65+P65+Q65+R65+S65+T65</f>
        <v>2463.69431081944</v>
      </c>
      <c r="O65" s="109">
        <v>1180</v>
      </c>
      <c r="P65" s="109">
        <v>906</v>
      </c>
      <c r="Q65" s="109">
        <v>337</v>
      </c>
      <c r="R65" s="109">
        <v>25.9991430235342</v>
      </c>
      <c r="S65" s="109">
        <v>10.1735777048612</v>
      </c>
      <c r="T65" s="109">
        <v>4.52159009104942</v>
      </c>
      <c r="U65" s="49">
        <v>260</v>
      </c>
      <c r="V65" s="110">
        <f>((O65+R65)*100)/N65</f>
        <v>48.9508433626414</v>
      </c>
      <c r="W65" s="110">
        <f>((P65+S65)*100)/N65</f>
        <v>37.1869827227118</v>
      </c>
      <c r="X65" s="110">
        <f>((Q65+T65)*100)/N65</f>
        <v>13.8621739146468</v>
      </c>
    </row>
    <row r="66" spans="1:24" s="168" customFormat="1" ht="22.500000" customHeight="1">
      <c r="A66" s="34">
        <v>64</v>
      </c>
      <c r="B66" s="108">
        <f>C66+D66+E66+F66+G66+H66</f>
        <v>83.5647702731483</v>
      </c>
      <c r="C66" s="109">
        <v>52</v>
      </c>
      <c r="D66" s="109">
        <v>11</v>
      </c>
      <c r="E66" s="109">
        <v>7</v>
      </c>
      <c r="F66" s="109">
        <v>4.52159009104942</v>
      </c>
      <c r="G66" s="109">
        <v>7.91278265933649</v>
      </c>
      <c r="H66" s="109">
        <v>1.13039752276235</v>
      </c>
      <c r="I66" s="78">
        <f>(100*B66)/N66</f>
        <v>2.5035592339501</v>
      </c>
      <c r="J66" s="110">
        <f>((C66+F66)*100)/B66</f>
        <v>67.6380607596924</v>
      </c>
      <c r="K66" s="110">
        <f>((D66+G66)*100)/B66</f>
        <v>22.6324832791573</v>
      </c>
      <c r="L66" s="110">
        <f>((E66+H66)*100)/B66</f>
        <v>9.72945596115027</v>
      </c>
      <c r="M66" s="112">
        <f>N66-B65</f>
        <v>3322.18676371066</v>
      </c>
      <c r="N66" s="108">
        <f>O66+P66+Q66+R66+S66+T66</f>
        <v>3337.83875132447</v>
      </c>
      <c r="O66" s="109">
        <v>1189</v>
      </c>
      <c r="P66" s="109">
        <v>884</v>
      </c>
      <c r="Q66" s="109">
        <v>330</v>
      </c>
      <c r="R66" s="109">
        <v>463.462984332566</v>
      </c>
      <c r="S66" s="109">
        <v>327.815281601083</v>
      </c>
      <c r="T66" s="109">
        <v>143.560485390819</v>
      </c>
      <c r="U66" s="49">
        <v>294</v>
      </c>
      <c r="V66" s="110">
        <f>((O66+R66)*100)/N66</f>
        <v>49.5069746457004</v>
      </c>
      <c r="W66" s="110">
        <f>((P66+S66)*100)/N66</f>
        <v>36.3053871646804</v>
      </c>
      <c r="X66" s="110">
        <f>((Q66+T66)*100)/N66</f>
        <v>14.1876381896192</v>
      </c>
    </row>
    <row r="67" spans="1:24" s="168" customFormat="1" ht="22.500000" customHeight="1">
      <c r="A67" s="34">
        <v>65</v>
      </c>
      <c r="B67" s="108">
        <f>C67+D67+E67+F67+G67+H67</f>
        <v>3412.05241266437</v>
      </c>
      <c r="C67" s="109">
        <v>869</v>
      </c>
      <c r="D67" s="109">
        <v>72</v>
      </c>
      <c r="E67" s="109">
        <v>104</v>
      </c>
      <c r="F67" s="109">
        <v>1792.81047110109</v>
      </c>
      <c r="G67" s="109">
        <v>345.901641965281</v>
      </c>
      <c r="H67" s="109">
        <v>228.340299597996</v>
      </c>
      <c r="I67" s="78">
        <f>(100*B67)/N67</f>
        <v>21.2912393239198</v>
      </c>
      <c r="J67" s="110">
        <f>((C67+F67)*100)/B67</f>
        <v>78.0120041890729</v>
      </c>
      <c r="K67" s="110">
        <f>((D67+G67)*100)/B67</f>
        <v>12.2478083986686</v>
      </c>
      <c r="L67" s="110">
        <f>((E67+H67)*100)/B67</f>
        <v>9.74018741225847</v>
      </c>
      <c r="M67" s="112">
        <f>N67-B66</f>
        <v>15942.0519669878</v>
      </c>
      <c r="N67" s="108">
        <f>O67+P67+Q67+R67+S67+T67</f>
        <v>16025.6167372609</v>
      </c>
      <c r="O67" s="109">
        <v>875</v>
      </c>
      <c r="P67" s="109">
        <v>639</v>
      </c>
      <c r="Q67" s="109">
        <v>246</v>
      </c>
      <c r="R67" s="109">
        <v>6394.65878626665</v>
      </c>
      <c r="S67" s="109">
        <v>5839.63360259033</v>
      </c>
      <c r="T67" s="109">
        <v>2031.32434840395</v>
      </c>
      <c r="U67" s="49">
        <v>870</v>
      </c>
      <c r="V67" s="110">
        <f>((O67+R67)*100)/N67</f>
        <v>45.3627395778415</v>
      </c>
      <c r="W67" s="110">
        <f>((P67+S67)*100)/N67</f>
        <v>40.4267349507177</v>
      </c>
      <c r="X67" s="110">
        <f>((Q67+T67)*100)/N67</f>
        <v>14.2105254714408</v>
      </c>
    </row>
    <row r="68" spans="1:24" s="168" customFormat="1" ht="22.500000" customHeight="1">
      <c r="A68" s="34">
        <v>66</v>
      </c>
      <c r="B68" s="108">
        <f>C68+D68+E68+F68+G68+H68</f>
        <v>12.1303975227624</v>
      </c>
      <c r="C68" s="109">
        <v>9</v>
      </c>
      <c r="D68" s="109">
        <v>2</v>
      </c>
      <c r="E68" s="109">
        <v>0</v>
      </c>
      <c r="F68" s="109">
        <v>1.13039752276235</v>
      </c>
      <c r="G68" s="109">
        <v>0</v>
      </c>
      <c r="H68" s="109">
        <v>0</v>
      </c>
      <c r="I68" s="78">
        <f>(100*B68)/N68</f>
        <v>0.662926442425663</v>
      </c>
      <c r="J68" s="110">
        <f>((C68+F68)*100)/B68</f>
        <v>83.5124941598405</v>
      </c>
      <c r="K68" s="110">
        <f>((D68+G68)*100)/B68</f>
        <v>16.4875058401595</v>
      </c>
      <c r="L68" s="110">
        <f>((E68+H68)*100)/B68</f>
        <v>0</v>
      </c>
      <c r="M68" s="112">
        <f>N68-B67</f>
        <v>-1582.22684734569</v>
      </c>
      <c r="N68" s="108">
        <f>O68+P68+Q68+R68+S68+T68</f>
        <v>1829.82556531867</v>
      </c>
      <c r="O68" s="109">
        <v>908</v>
      </c>
      <c r="P68" s="109">
        <v>647</v>
      </c>
      <c r="Q68" s="109">
        <v>259</v>
      </c>
      <c r="R68" s="109">
        <v>10.1735777048612</v>
      </c>
      <c r="S68" s="109">
        <v>3.39119256828707</v>
      </c>
      <c r="T68" s="109">
        <v>2.26079504552471</v>
      </c>
      <c r="U68" s="49">
        <v>217</v>
      </c>
      <c r="V68" s="110">
        <f>((O68+R68)*100)/N68</f>
        <v>50.178202507787</v>
      </c>
      <c r="W68" s="110">
        <f>((P68+S68)*100)/N68</f>
        <v>35.543890351921</v>
      </c>
      <c r="X68" s="110">
        <f>((Q68+T68)*100)/N68</f>
        <v>14.2779071402921</v>
      </c>
    </row>
    <row r="69" spans="1:24" s="168" customFormat="1" ht="22.500000" customHeight="1">
      <c r="A69" s="34">
        <v>67</v>
      </c>
      <c r="B69" s="108">
        <f>C69+D69+E69+F69+G69+H69</f>
        <v>139.607950455247</v>
      </c>
      <c r="C69" s="109">
        <v>100</v>
      </c>
      <c r="D69" s="109">
        <v>9</v>
      </c>
      <c r="E69" s="109">
        <v>8</v>
      </c>
      <c r="F69" s="109">
        <v>18.0863603641977</v>
      </c>
      <c r="G69" s="109">
        <v>4.52159009104942</v>
      </c>
      <c r="H69" s="109">
        <v>0</v>
      </c>
      <c r="I69" s="78">
        <f>(100*B69)/N69</f>
        <v>5.50198919337951</v>
      </c>
      <c r="J69" s="110">
        <f>((C69+F69)*100)/B69</f>
        <v>84.5842661389486</v>
      </c>
      <c r="K69" s="110">
        <f>((D69+G69)*100)/B69</f>
        <v>9.6854011873657</v>
      </c>
      <c r="L69" s="110">
        <f>((E69+H69)*100)/B69</f>
        <v>5.73033267368572</v>
      </c>
      <c r="M69" s="112">
        <f>N69-B68</f>
        <v>2525.27826593365</v>
      </c>
      <c r="N69" s="108">
        <f>O69+P69+Q69+R69+S69+T69</f>
        <v>2537.40866345641</v>
      </c>
      <c r="O69" s="109">
        <v>861</v>
      </c>
      <c r="P69" s="109">
        <v>634</v>
      </c>
      <c r="Q69" s="109">
        <v>250</v>
      </c>
      <c r="R69" s="109">
        <v>388.85674783025</v>
      </c>
      <c r="S69" s="109">
        <v>253.209045098767</v>
      </c>
      <c r="T69" s="109">
        <v>150.342870527393</v>
      </c>
      <c r="U69" s="49">
        <v>263</v>
      </c>
      <c r="V69" s="110">
        <f>((O69+R69)*100)/N69</f>
        <v>49.2572113365341</v>
      </c>
      <c r="W69" s="110">
        <f>((P69+S69)*100)/N69</f>
        <v>34.9651618155283</v>
      </c>
      <c r="X69" s="110">
        <f>((Q69+T69)*100)/N69</f>
        <v>15.7776268479376</v>
      </c>
    </row>
    <row r="70" spans="1:24" s="168" customFormat="1" ht="22.500000" customHeight="1">
      <c r="A70" s="34">
        <v>68</v>
      </c>
      <c r="B70" s="108">
        <f>C70+D70+E70+F70+G70+H70</f>
        <v>51.6519876138118</v>
      </c>
      <c r="C70" s="109">
        <v>34</v>
      </c>
      <c r="D70" s="109">
        <v>7</v>
      </c>
      <c r="E70" s="109">
        <v>5</v>
      </c>
      <c r="F70" s="109">
        <v>1.13039752276235</v>
      </c>
      <c r="G70" s="109">
        <v>2.26079504552471</v>
      </c>
      <c r="H70" s="109">
        <v>2.26079504552471</v>
      </c>
      <c r="I70" s="78">
        <f>(100*B70)/N70</f>
        <v>2.18359287464272</v>
      </c>
      <c r="J70" s="110">
        <f>((C70+F70)*100)/B70</f>
        <v>68.0136411892279</v>
      </c>
      <c r="K70" s="110">
        <f>((D70+G70)*100)/B70</f>
        <v>17.9292133243066</v>
      </c>
      <c r="L70" s="110">
        <f>((E70+H70)*100)/B70</f>
        <v>14.0571454864656</v>
      </c>
      <c r="M70" s="112">
        <f>N70-B69</f>
        <v>2225.85074899499</v>
      </c>
      <c r="N70" s="108">
        <f>O70+P70+Q70+R70+S70+T70</f>
        <v>2365.45869945024</v>
      </c>
      <c r="O70" s="109">
        <v>854</v>
      </c>
      <c r="P70" s="109">
        <v>669</v>
      </c>
      <c r="Q70" s="109">
        <v>249</v>
      </c>
      <c r="R70" s="109">
        <v>273.55620050849</v>
      </c>
      <c r="S70" s="109">
        <v>226.079504552471</v>
      </c>
      <c r="T70" s="109">
        <v>93.8229943892756</v>
      </c>
      <c r="U70" s="49">
        <v>266</v>
      </c>
      <c r="V70" s="110">
        <f>((O70+R70)*100)/N70</f>
        <v>47.6675496710447</v>
      </c>
      <c r="W70" s="110">
        <f>((P70+S70)*100)/N70</f>
        <v>37.8395744030745</v>
      </c>
      <c r="X70" s="110">
        <f>((Q70+T70)*100)/N70</f>
        <v>14.4928759258808</v>
      </c>
    </row>
    <row r="71" spans="1:24" s="168" customFormat="1" ht="22.500000" customHeight="1">
      <c r="A71" s="34">
        <v>69</v>
      </c>
      <c r="B71" s="108">
        <f>C71+D71+E71+F71+G71+H71</f>
        <v>39.1303975227624</v>
      </c>
      <c r="C71" s="109">
        <v>34</v>
      </c>
      <c r="D71" s="109">
        <v>1</v>
      </c>
      <c r="E71" s="109">
        <v>3</v>
      </c>
      <c r="F71" s="109">
        <v>1.13039752276235</v>
      </c>
      <c r="G71" s="109">
        <v>0</v>
      </c>
      <c r="H71" s="109">
        <v>0</v>
      </c>
      <c r="I71" s="78">
        <f>(100*B71)/N71</f>
        <v>1.86448078771892</v>
      </c>
      <c r="J71" s="110">
        <f>((C71+F71)*100)/B71</f>
        <v>89.7777680442086</v>
      </c>
      <c r="K71" s="110">
        <f>((D71+G71)*100)/B71</f>
        <v>2.55555798894784</v>
      </c>
      <c r="L71" s="110">
        <f>((E71+H71)*100)/B71</f>
        <v>7.66667396684351</v>
      </c>
      <c r="M71" s="112">
        <f>N71-B70</f>
        <v>2047.07693362307</v>
      </c>
      <c r="N71" s="108">
        <f>O71+P71+Q71+R71+S71+T71</f>
        <v>2098.72892123689</v>
      </c>
      <c r="O71" s="109">
        <v>865</v>
      </c>
      <c r="P71" s="109">
        <v>673</v>
      </c>
      <c r="Q71" s="109">
        <v>251</v>
      </c>
      <c r="R71" s="109">
        <v>177.47241107369</v>
      </c>
      <c r="S71" s="109">
        <v>89.3014042982261</v>
      </c>
      <c r="T71" s="109">
        <v>42.9551058649695</v>
      </c>
      <c r="U71" s="49">
        <v>255</v>
      </c>
      <c r="V71" s="110">
        <f>((O71+R71)*100)/N71</f>
        <v>49.6716083971106</v>
      </c>
      <c r="W71" s="110">
        <f>((P71+S71)*100)/N71</f>
        <v>36.3220517230479</v>
      </c>
      <c r="X71" s="110">
        <f>((Q71+T71)*100)/N71</f>
        <v>14.0063398798415</v>
      </c>
    </row>
    <row r="72" spans="1:24" s="168" customFormat="1" ht="22.500000" customHeight="1">
      <c r="A72" s="34">
        <v>70</v>
      </c>
      <c r="B72" s="108">
        <f>C72+D72+E72+F72+G72+H72</f>
        <v>14.2607950455247</v>
      </c>
      <c r="C72" s="109">
        <v>10</v>
      </c>
      <c r="D72" s="109">
        <v>1</v>
      </c>
      <c r="E72" s="109">
        <v>1</v>
      </c>
      <c r="F72" s="109">
        <v>1.13039752276235</v>
      </c>
      <c r="G72" s="109">
        <v>0</v>
      </c>
      <c r="H72" s="109">
        <v>1.13039752276235</v>
      </c>
      <c r="I72" s="78">
        <f>(100*B72)/N72</f>
        <v>0.738287188298538</v>
      </c>
      <c r="J72" s="110">
        <f>((C72+F72)*100)/B72</f>
        <v>78.0489270565267</v>
      </c>
      <c r="K72" s="110">
        <f>((D72+G72)*100)/B72</f>
        <v>7.01223176413168</v>
      </c>
      <c r="L72" s="110">
        <f>((E72+H72)*100)/B72</f>
        <v>14.9388411793416</v>
      </c>
      <c r="M72" s="112">
        <f>N72-B71</f>
        <v>1892.47498200309</v>
      </c>
      <c r="N72" s="108">
        <f>O72+P72+Q72+R72+S72+T72</f>
        <v>1931.60537952585</v>
      </c>
      <c r="O72" s="109">
        <v>883</v>
      </c>
      <c r="P72" s="109">
        <v>691</v>
      </c>
      <c r="Q72" s="109">
        <v>257</v>
      </c>
      <c r="R72" s="109">
        <v>46.3462984332566</v>
      </c>
      <c r="S72" s="109">
        <v>39.5639132966824</v>
      </c>
      <c r="T72" s="109">
        <v>14.6951677959106</v>
      </c>
      <c r="U72" s="49">
        <v>224</v>
      </c>
      <c r="V72" s="110">
        <f>((O72+R72)*100)/N72</f>
        <v>48.1126377201011</v>
      </c>
      <c r="W72" s="110">
        <f>((P72+S72)*100)/N72</f>
        <v>37.8215923935775</v>
      </c>
      <c r="X72" s="110">
        <f>((Q72+T72)*100)/N72</f>
        <v>14.0657698863214</v>
      </c>
    </row>
    <row r="73" spans="1:24" s="168" customFormat="1" ht="22.500000" customHeight="1">
      <c r="A73" s="34">
        <v>71</v>
      </c>
      <c r="B73" s="108">
        <f>C73+D73+E73+F73+G73+H73</f>
        <v>92.5647702731483</v>
      </c>
      <c r="C73" s="109">
        <v>71</v>
      </c>
      <c r="D73" s="109">
        <v>5</v>
      </c>
      <c r="E73" s="109">
        <v>3</v>
      </c>
      <c r="F73" s="109">
        <v>9.04318018209885</v>
      </c>
      <c r="G73" s="109">
        <v>2.26079504552471</v>
      </c>
      <c r="H73" s="109">
        <v>2.26079504552471</v>
      </c>
      <c r="I73" s="78">
        <f>(100*B73)/N73</f>
        <v>3.97150761479356</v>
      </c>
      <c r="J73" s="110">
        <f>((C73+F73)*100)/B73</f>
        <v>86.4726179797134</v>
      </c>
      <c r="K73" s="110">
        <f>((D73+G73)*100)/B73</f>
        <v>7.84401562721856</v>
      </c>
      <c r="L73" s="110">
        <f>((E73+H73)*100)/B73</f>
        <v>5.683366393068</v>
      </c>
      <c r="M73" s="112">
        <f>N73-B72</f>
        <v>2316.46041340317</v>
      </c>
      <c r="N73" s="108">
        <f>O73+P73+Q73+R73+S73+T73</f>
        <v>2330.72120844869</v>
      </c>
      <c r="O73" s="109">
        <v>854</v>
      </c>
      <c r="P73" s="109">
        <v>675</v>
      </c>
      <c r="Q73" s="109">
        <v>258</v>
      </c>
      <c r="R73" s="109">
        <v>305.207331145836</v>
      </c>
      <c r="S73" s="109">
        <v>159.386050709492</v>
      </c>
      <c r="T73" s="109">
        <v>79.1278265933649</v>
      </c>
      <c r="U73" s="49">
        <v>251</v>
      </c>
      <c r="V73" s="110">
        <f>((O73+R73)*100)/N73</f>
        <v>49.735992745241</v>
      </c>
      <c r="W73" s="110">
        <f>((P73+S73)*100)/N73</f>
        <v>35.799479049013</v>
      </c>
      <c r="X73" s="110">
        <f>((Q73+T73)*100)/N73</f>
        <v>14.464528205746</v>
      </c>
    </row>
    <row r="74" spans="1:24" s="168" customFormat="1" ht="22.500000" customHeight="1">
      <c r="A74" s="34">
        <v>72</v>
      </c>
      <c r="B74" s="108">
        <f>C74+D74+E74+F74+G74+H74</f>
        <v>148</v>
      </c>
      <c r="C74" s="109">
        <v>122</v>
      </c>
      <c r="D74" s="109">
        <v>17</v>
      </c>
      <c r="E74" s="109">
        <v>9</v>
      </c>
      <c r="F74" s="109">
        <v>0</v>
      </c>
      <c r="G74" s="109">
        <v>0</v>
      </c>
      <c r="H74" s="109">
        <v>0</v>
      </c>
      <c r="I74" s="78">
        <f>(100*B74)/N74</f>
        <v>8.29839432274608</v>
      </c>
      <c r="J74" s="110">
        <f>((C74+F74)*100)/B74</f>
        <v>82.4324324324324</v>
      </c>
      <c r="K74" s="110">
        <f>((D74+G74)*100)/B74</f>
        <v>11.4864864864865</v>
      </c>
      <c r="L74" s="110">
        <f>((E74+H74)*100)/B74</f>
        <v>6.08108108108108</v>
      </c>
      <c r="M74" s="112">
        <f>N74-B73</f>
        <v>1690.91278265934</v>
      </c>
      <c r="N74" s="108">
        <f>O74+P74+Q74+R74+S74+T74</f>
        <v>1783.47755293248</v>
      </c>
      <c r="O74" s="109">
        <v>840</v>
      </c>
      <c r="P74" s="109">
        <v>666</v>
      </c>
      <c r="Q74" s="109">
        <v>256</v>
      </c>
      <c r="R74" s="109">
        <v>15.8255653186729</v>
      </c>
      <c r="S74" s="109">
        <v>5.65198761381178</v>
      </c>
      <c r="T74" s="109">
        <v>0</v>
      </c>
      <c r="U74" s="49">
        <v>226</v>
      </c>
      <c r="V74" s="110">
        <f>((O74+R74)*100)/N74</f>
        <v>47.9863379223069</v>
      </c>
      <c r="W74" s="110">
        <f>((P74+S74)*100)/N74</f>
        <v>37.6596827086188</v>
      </c>
      <c r="X74" s="110">
        <f>((Q74+T74)*100)/N74</f>
        <v>14.3539793690743</v>
      </c>
    </row>
    <row r="75" spans="1:24" s="168" customFormat="1" ht="22.500000" customHeight="1">
      <c r="A75" s="34">
        <v>73</v>
      </c>
      <c r="B75" s="108">
        <f>C75+D75+E75+F75+G75+H75</f>
        <v>160.695167795911</v>
      </c>
      <c r="C75" s="109">
        <v>131</v>
      </c>
      <c r="D75" s="109">
        <v>9</v>
      </c>
      <c r="E75" s="109">
        <v>6</v>
      </c>
      <c r="F75" s="109">
        <v>7.91278265933649</v>
      </c>
      <c r="G75" s="109">
        <v>3.39119256828707</v>
      </c>
      <c r="H75" s="109">
        <v>3.39119256828707</v>
      </c>
      <c r="I75" s="78">
        <f>(100*B75)/N75</f>
        <v>6.52178298376541</v>
      </c>
      <c r="J75" s="110">
        <f>((C75+F75)*100)/B75</f>
        <v>86.444903455816</v>
      </c>
      <c r="K75" s="110">
        <f>((D75+G75)*100)/B75</f>
        <v>7.71099264417483</v>
      </c>
      <c r="L75" s="110">
        <f>((E75+H75)*100)/B75</f>
        <v>5.84410390000916</v>
      </c>
      <c r="M75" s="112">
        <f>N75-B74</f>
        <v>2315.97600465896</v>
      </c>
      <c r="N75" s="108">
        <f>O75+P75+Q75+R75+S75+T75</f>
        <v>2463.97600465896</v>
      </c>
      <c r="O75" s="109">
        <v>812</v>
      </c>
      <c r="P75" s="109">
        <v>666</v>
      </c>
      <c r="Q75" s="109">
        <v>258</v>
      </c>
      <c r="R75" s="109">
        <v>352.684027101855</v>
      </c>
      <c r="S75" s="109">
        <v>269.03461041744</v>
      </c>
      <c r="T75" s="109">
        <v>106.257367139661</v>
      </c>
      <c r="U75" s="49">
        <v>301</v>
      </c>
      <c r="V75" s="110">
        <f>((O75+R75)*100)/N75</f>
        <v>47.2684808983382</v>
      </c>
      <c r="W75" s="110">
        <f>((P75+S75)*100)/N75</f>
        <v>37.9482027685923</v>
      </c>
      <c r="X75" s="110">
        <f>((Q75+T75)*100)/N75</f>
        <v>14.7833163330695</v>
      </c>
    </row>
    <row r="76" spans="1:24" s="168" customFormat="1" ht="22.500000" customHeight="1">
      <c r="A76" s="34">
        <v>74</v>
      </c>
      <c r="B76" s="108">
        <f>C76+D76+E76+F76+G76+H76</f>
        <v>13</v>
      </c>
      <c r="C76" s="109">
        <v>13</v>
      </c>
      <c r="D76" s="109">
        <v>0</v>
      </c>
      <c r="E76" s="109">
        <v>0</v>
      </c>
      <c r="F76" s="109">
        <v>0</v>
      </c>
      <c r="G76" s="109">
        <v>0</v>
      </c>
      <c r="H76" s="109">
        <v>0</v>
      </c>
      <c r="I76" s="78">
        <f>(100*B76)/N76</f>
        <v>0.727371110933286</v>
      </c>
      <c r="J76" s="110">
        <f>((C76+F76)*100)/B76</f>
        <v>100</v>
      </c>
      <c r="K76" s="110">
        <f>((D76+G76)*100)/B76</f>
        <v>0</v>
      </c>
      <c r="L76" s="110">
        <f>((E76+H76)*100)/B76</f>
        <v>0</v>
      </c>
      <c r="M76" s="112">
        <f>N76-B75</f>
        <v>1626.56305632022</v>
      </c>
      <c r="N76" s="108">
        <f>O76+P76+Q76+R76+S76+T76</f>
        <v>1787.25822411613</v>
      </c>
      <c r="O76" s="109">
        <v>800</v>
      </c>
      <c r="P76" s="109">
        <v>652</v>
      </c>
      <c r="Q76" s="109">
        <v>255</v>
      </c>
      <c r="R76" s="109">
        <v>35.042323205633</v>
      </c>
      <c r="S76" s="109">
        <v>36.1727207283954</v>
      </c>
      <c r="T76" s="109">
        <v>9.04318018209885</v>
      </c>
      <c r="U76" s="49">
        <v>216</v>
      </c>
      <c r="V76" s="110">
        <f>((O76+R76)*100)/N76</f>
        <v>46.7219740235687</v>
      </c>
      <c r="W76" s="110">
        <f>((P76+S76)*100)/N76</f>
        <v>38.5043812607842</v>
      </c>
      <c r="X76" s="110">
        <f>((Q76+T76)*100)/N76</f>
        <v>14.773644715647</v>
      </c>
    </row>
    <row r="77" spans="1:24" s="168" customFormat="1" ht="22.500000" customHeight="1">
      <c r="A77" s="34">
        <v>75</v>
      </c>
      <c r="B77" s="108">
        <f>C77+D77+E77+F77+G77+H77</f>
        <v>1582.35348560379</v>
      </c>
      <c r="C77" s="109">
        <v>311</v>
      </c>
      <c r="D77" s="109">
        <v>58</v>
      </c>
      <c r="E77" s="109">
        <v>66</v>
      </c>
      <c r="F77" s="109">
        <v>909.970005823697</v>
      </c>
      <c r="G77" s="109">
        <v>125.474125026621</v>
      </c>
      <c r="H77" s="109">
        <v>111.909354753473</v>
      </c>
      <c r="I77" s="78">
        <f>(100*B77)/N77</f>
        <v>19.9734898590694</v>
      </c>
      <c r="J77" s="110">
        <f>((C77+F77)*100)/B77</f>
        <v>77.161646682113</v>
      </c>
      <c r="K77" s="110">
        <f>((D77+G77)*100)/B77</f>
        <v>11.5950150643243</v>
      </c>
      <c r="L77" s="110">
        <f>((E77+H77)*100)/B77</f>
        <v>11.2433382535626</v>
      </c>
      <c r="M77" s="112">
        <f>N77-B76</f>
        <v>7909.26845067482</v>
      </c>
      <c r="N77" s="108">
        <f>O77+P77+Q77+R77+S77+T77</f>
        <v>7922.26845067482</v>
      </c>
      <c r="O77" s="109">
        <v>776</v>
      </c>
      <c r="P77" s="109">
        <v>564</v>
      </c>
      <c r="Q77" s="109">
        <v>217</v>
      </c>
      <c r="R77" s="109">
        <v>3222.76333739547</v>
      </c>
      <c r="S77" s="109">
        <v>2321.83651175388</v>
      </c>
      <c r="T77" s="109">
        <v>820.668601525471</v>
      </c>
      <c r="U77" s="49">
        <v>649</v>
      </c>
      <c r="V77" s="110">
        <f>((O77+R77)*100)/N77</f>
        <v>50.4749790074944</v>
      </c>
      <c r="W77" s="110">
        <f>((P77+S77)*100)/N77</f>
        <v>36.4268962825675</v>
      </c>
      <c r="X77" s="110">
        <f>((Q77+T77)*100)/N77</f>
        <v>13.0981247099381</v>
      </c>
    </row>
    <row r="78" spans="1:24" s="168" customFormat="1" ht="22.500000" customHeight="1">
      <c r="A78" s="34">
        <v>76</v>
      </c>
      <c r="B78" s="108">
        <f>C78+D78+E78+F78+G78+H78</f>
        <v>3</v>
      </c>
      <c r="C78" s="109">
        <v>0</v>
      </c>
      <c r="D78" s="109">
        <v>2</v>
      </c>
      <c r="E78" s="109">
        <v>1</v>
      </c>
      <c r="F78" s="109">
        <v>0</v>
      </c>
      <c r="G78" s="109">
        <v>0</v>
      </c>
      <c r="H78" s="109">
        <v>0</v>
      </c>
      <c r="I78" s="78">
        <f>(100*B78)/N78</f>
        <v>0.188797986154814</v>
      </c>
      <c r="J78" s="110">
        <f>((C78+F78)*100)/B78</f>
        <v>0</v>
      </c>
      <c r="K78" s="110">
        <f>((D78+G78)*100)/B78</f>
        <v>66.6666666666667</v>
      </c>
      <c r="L78" s="110">
        <f>((E78+H78)*100)/B78</f>
        <v>33.3333333333333</v>
      </c>
      <c r="M78" s="112">
        <f>N78-B77</f>
        <v>6.64651439620889</v>
      </c>
      <c r="N78" s="108">
        <f>O78+P78+Q78+R78+S78+T78</f>
        <v>1589</v>
      </c>
      <c r="O78" s="109">
        <v>800</v>
      </c>
      <c r="P78" s="109">
        <v>566</v>
      </c>
      <c r="Q78" s="109">
        <v>223</v>
      </c>
      <c r="R78" s="109">
        <v>0</v>
      </c>
      <c r="S78" s="109">
        <v>0</v>
      </c>
      <c r="T78" s="109">
        <v>0</v>
      </c>
      <c r="U78" s="49">
        <v>210</v>
      </c>
      <c r="V78" s="110">
        <f>((O78+R78)*100)/N78</f>
        <v>50.3461296412838</v>
      </c>
      <c r="W78" s="110">
        <f>((P78+S78)*100)/N78</f>
        <v>35.6198867212083</v>
      </c>
      <c r="X78" s="110">
        <f>((Q78+T78)*100)/N78</f>
        <v>14.0339836375079</v>
      </c>
    </row>
    <row r="79" spans="1:24" s="168" customFormat="1" ht="22.500000" customHeight="1">
      <c r="A79" s="34">
        <v>77</v>
      </c>
      <c r="B79" s="108">
        <f>C79+D79+E79+F79+G79+H79</f>
        <v>6</v>
      </c>
      <c r="C79" s="109">
        <v>4</v>
      </c>
      <c r="D79" s="109">
        <v>0</v>
      </c>
      <c r="E79" s="109">
        <v>2</v>
      </c>
      <c r="F79" s="109">
        <v>0</v>
      </c>
      <c r="G79" s="109">
        <v>0</v>
      </c>
      <c r="H79" s="109">
        <v>0</v>
      </c>
      <c r="I79" s="78">
        <f>(100*B79)/N79</f>
        <v>0.365601852368262</v>
      </c>
      <c r="J79" s="110">
        <f>((C79+F79)*100)/B79</f>
        <v>66.6666666666667</v>
      </c>
      <c r="K79" s="110">
        <f>((D79+G79)*100)/B79</f>
        <v>0</v>
      </c>
      <c r="L79" s="110">
        <f>((E79+H79)*100)/B79</f>
        <v>33.3333333333333</v>
      </c>
      <c r="M79" s="112">
        <f>N79-B78</f>
        <v>1638.1295405463</v>
      </c>
      <c r="N79" s="108">
        <f>O79+P79+Q79+R79+S79+T79</f>
        <v>1641.1295405463</v>
      </c>
      <c r="O79" s="109">
        <v>803</v>
      </c>
      <c r="P79" s="109">
        <v>578</v>
      </c>
      <c r="Q79" s="109">
        <v>233</v>
      </c>
      <c r="R79" s="109">
        <v>19.21675788696</v>
      </c>
      <c r="S79" s="109">
        <v>5.65198761381178</v>
      </c>
      <c r="T79" s="109">
        <v>2.26079504552471</v>
      </c>
      <c r="U79" s="49">
        <v>202</v>
      </c>
      <c r="V79" s="110">
        <f>((O79+R79)*100)/N79</f>
        <v>50.1006616219498</v>
      </c>
      <c r="W79" s="110">
        <f>((P79+S79)*100)/N79</f>
        <v>35.5640413016712</v>
      </c>
      <c r="X79" s="110">
        <f>((Q79+T79)*100)/N79</f>
        <v>14.335297076379</v>
      </c>
    </row>
    <row r="80" spans="1:24" s="168" customFormat="1" ht="22.500000" customHeight="1">
      <c r="A80" s="34">
        <v>78</v>
      </c>
      <c r="B80" s="108">
        <f>C80+D80+E80+F80+G80+H80</f>
        <v>4</v>
      </c>
      <c r="C80" s="109">
        <v>3</v>
      </c>
      <c r="D80" s="109">
        <v>1</v>
      </c>
      <c r="E80" s="109">
        <v>0</v>
      </c>
      <c r="F80" s="109">
        <v>0</v>
      </c>
      <c r="G80" s="109">
        <v>0</v>
      </c>
      <c r="H80" s="109">
        <v>0</v>
      </c>
      <c r="I80" s="78">
        <f>(100*B80)/N80</f>
        <v>0.241298887618671</v>
      </c>
      <c r="J80" s="110">
        <f>((C80+F80)*100)/B80</f>
        <v>75</v>
      </c>
      <c r="K80" s="110">
        <f>((D80+G80)*100)/B80</f>
        <v>25</v>
      </c>
      <c r="L80" s="110">
        <f>((E80+H80)*100)/B80</f>
        <v>0</v>
      </c>
      <c r="M80" s="112">
        <f>N80-B79</f>
        <v>1651.69516779591</v>
      </c>
      <c r="N80" s="108">
        <f>O80+P80+Q80+R80+S80+T80</f>
        <v>1657.69516779591</v>
      </c>
      <c r="O80" s="109">
        <v>803</v>
      </c>
      <c r="P80" s="109">
        <v>572</v>
      </c>
      <c r="Q80" s="109">
        <v>268</v>
      </c>
      <c r="R80" s="109">
        <v>11.3039752276235</v>
      </c>
      <c r="S80" s="109">
        <v>2.26079504552471</v>
      </c>
      <c r="T80" s="109">
        <v>1.13039752276235</v>
      </c>
      <c r="U80" s="49">
        <v>190</v>
      </c>
      <c r="V80" s="110">
        <f>((O80+R80)*100)/N80</f>
        <v>49.1226608514719</v>
      </c>
      <c r="W80" s="110">
        <f>((P80+S80)*100)/N80</f>
        <v>34.6421227618747</v>
      </c>
      <c r="X80" s="110">
        <f>((Q80+T80)*100)/N80</f>
        <v>16.2352163866533</v>
      </c>
    </row>
    <row r="81" spans="1:24" s="168" customFormat="1" ht="22.500000" customHeight="1">
      <c r="A81" s="34">
        <v>79</v>
      </c>
      <c r="B81" s="108">
        <f>C81+D81+E81+F81+G81+H81</f>
        <v>86.825565318673</v>
      </c>
      <c r="C81" s="109">
        <v>54</v>
      </c>
      <c r="D81" s="109">
        <v>12</v>
      </c>
      <c r="E81" s="109">
        <v>5</v>
      </c>
      <c r="F81" s="109">
        <v>12.4343727503859</v>
      </c>
      <c r="G81" s="109">
        <v>2.26079504552471</v>
      </c>
      <c r="H81" s="109">
        <v>1.13039752276235</v>
      </c>
      <c r="I81" s="78">
        <f>(100*B81)/N81</f>
        <v>3.79248446127094</v>
      </c>
      <c r="J81" s="110">
        <f>((C81+F81)*100)/B81</f>
        <v>76.514759802086</v>
      </c>
      <c r="K81" s="110">
        <f>((D81+G81)*100)/B81</f>
        <v>16.4246498058306</v>
      </c>
      <c r="L81" s="110">
        <f>((E81+H81)*100)/B81</f>
        <v>7.06059039208344</v>
      </c>
      <c r="M81" s="112">
        <f>N81-B80</f>
        <v>2285.41123438581</v>
      </c>
      <c r="N81" s="108">
        <f>O81+P81+Q81+R81+S81+T81</f>
        <v>2289.41123438581</v>
      </c>
      <c r="O81" s="109">
        <v>779</v>
      </c>
      <c r="P81" s="109">
        <v>539</v>
      </c>
      <c r="Q81" s="109">
        <v>257</v>
      </c>
      <c r="R81" s="109">
        <v>316.511306373459</v>
      </c>
      <c r="S81" s="109">
        <v>247.557057484956</v>
      </c>
      <c r="T81" s="109">
        <v>150.342870527393</v>
      </c>
      <c r="U81" s="49">
        <v>236</v>
      </c>
      <c r="V81" s="110">
        <f>((O81+R81)*100)/N81</f>
        <v>47.8512243636892</v>
      </c>
      <c r="W81" s="110">
        <f>((P81+S81)*100)/N81</f>
        <v>34.3563028638658</v>
      </c>
      <c r="X81" s="110">
        <f>((Q81+T81)*100)/N81</f>
        <v>17.792472772445</v>
      </c>
    </row>
    <row r="82" spans="1:24" s="168" customFormat="1" ht="22.500000" customHeight="1">
      <c r="A82" s="34">
        <v>80</v>
      </c>
      <c r="B82" s="108">
        <f>C82+D82+E82+F82+G82+H82</f>
        <v>532.776386301313</v>
      </c>
      <c r="C82" s="109">
        <v>297</v>
      </c>
      <c r="D82" s="109">
        <v>16</v>
      </c>
      <c r="E82" s="109">
        <v>31</v>
      </c>
      <c r="F82" s="109">
        <v>128.865317594908</v>
      </c>
      <c r="G82" s="109">
        <v>31.6511306373459</v>
      </c>
      <c r="H82" s="109">
        <v>28.2599380690589</v>
      </c>
      <c r="I82" s="78">
        <f>(100*B82)/N82</f>
        <v>10.9643922387118</v>
      </c>
      <c r="J82" s="110">
        <f>((C82+F82)*100)/B82</f>
        <v>79.9332193664565</v>
      </c>
      <c r="K82" s="110">
        <f>((D82+G82)*100)/B82</f>
        <v>8.94392691991359</v>
      </c>
      <c r="L82" s="110">
        <f>((E82+H82)*100)/B82</f>
        <v>11.1228537136299</v>
      </c>
      <c r="M82" s="112">
        <f>N82-B81</f>
        <v>4772.32553673922</v>
      </c>
      <c r="N82" s="108">
        <f>O82+P82+Q82+R82+S82+T82</f>
        <v>4859.15110205789</v>
      </c>
      <c r="O82" s="109">
        <v>734</v>
      </c>
      <c r="P82" s="109">
        <v>530</v>
      </c>
      <c r="Q82" s="109">
        <v>265</v>
      </c>
      <c r="R82" s="109">
        <v>1574.64374920796</v>
      </c>
      <c r="S82" s="109">
        <v>1139.44070294445</v>
      </c>
      <c r="T82" s="109">
        <v>616.066649905484</v>
      </c>
      <c r="U82" s="49">
        <v>454</v>
      </c>
      <c r="V82" s="110">
        <f>((O82+R82)*100)/N82</f>
        <v>47.5112566108559</v>
      </c>
      <c r="W82" s="110">
        <f>((P82+S82)*100)/N82</f>
        <v>34.3566328332006</v>
      </c>
      <c r="X82" s="110">
        <f>((Q82+T82)*100)/N82</f>
        <v>18.1321105559435</v>
      </c>
    </row>
    <row r="83" spans="1:24" s="168" customFormat="1" ht="22.500000" customHeight="1">
      <c r="A83" s="34">
        <v>81</v>
      </c>
      <c r="B83" s="108">
        <f>C83+D83+E83+F83+G83+H83</f>
        <v>181.651130637346</v>
      </c>
      <c r="C83" s="109">
        <v>132</v>
      </c>
      <c r="D83" s="109">
        <v>5</v>
      </c>
      <c r="E83" s="109">
        <v>13</v>
      </c>
      <c r="F83" s="109">
        <v>21.4775529324847</v>
      </c>
      <c r="G83" s="109">
        <v>2.26079504552471</v>
      </c>
      <c r="H83" s="109">
        <v>7.91278265933649</v>
      </c>
      <c r="I83" s="78">
        <f>(100*B83)/N83</f>
        <v>6.63696554585508</v>
      </c>
      <c r="J83" s="110">
        <f>((C83+F83)*100)/B83</f>
        <v>84.4902822206442</v>
      </c>
      <c r="K83" s="110">
        <f>((D83+G83)*100)/B83</f>
        <v>3.99710974550464</v>
      </c>
      <c r="L83" s="110">
        <f>((E83+H83)*100)/B83</f>
        <v>11.5126080338511</v>
      </c>
      <c r="M83" s="112">
        <f>N83-B82</f>
        <v>2204.18419278126</v>
      </c>
      <c r="N83" s="108">
        <f>O83+P83+Q83+R83+S83+T83</f>
        <v>2736.96057908257</v>
      </c>
      <c r="O83" s="109">
        <v>735</v>
      </c>
      <c r="P83" s="109">
        <v>536</v>
      </c>
      <c r="Q83" s="109">
        <v>270</v>
      </c>
      <c r="R83" s="109">
        <v>593.458699450237</v>
      </c>
      <c r="S83" s="109">
        <v>384.335157739201</v>
      </c>
      <c r="T83" s="109">
        <v>218.166721893134</v>
      </c>
      <c r="U83" s="49">
        <v>311</v>
      </c>
      <c r="V83" s="110">
        <f>((O83+R83)*100)/N83</f>
        <v>48.5377359689826</v>
      </c>
      <c r="W83" s="110">
        <f>((P83+S83)*100)/N83</f>
        <v>33.6261751364975</v>
      </c>
      <c r="X83" s="110">
        <f>((Q83+T83)*100)/N83</f>
        <v>17.8360888945199</v>
      </c>
    </row>
    <row r="84" spans="1:24" s="168" customFormat="1" ht="22.500000" customHeight="1">
      <c r="A84" s="34">
        <v>82</v>
      </c>
      <c r="B84" s="108">
        <f>C84+D84+E84+F84+G84+H84</f>
        <v>80.9119256828707</v>
      </c>
      <c r="C84" s="109">
        <v>36</v>
      </c>
      <c r="D84" s="109">
        <v>6</v>
      </c>
      <c r="E84" s="109">
        <v>5</v>
      </c>
      <c r="F84" s="109">
        <v>9.04318018209885</v>
      </c>
      <c r="G84" s="109">
        <v>10.1735777048612</v>
      </c>
      <c r="H84" s="109">
        <v>14.6951677959106</v>
      </c>
      <c r="I84" s="78">
        <f>(100*B84)/N84</f>
        <v>3.83859998708863</v>
      </c>
      <c r="J84" s="110">
        <f>((C84+F84)*100)/B84</f>
        <v>55.6693958300323</v>
      </c>
      <c r="K84" s="110">
        <f>((D84+G84)*100)/B84</f>
        <v>19.9891147916224</v>
      </c>
      <c r="L84" s="110">
        <f>((E84+H84)*100)/B84</f>
        <v>24.3414893783453</v>
      </c>
      <c r="M84" s="112">
        <f>N84-B83</f>
        <v>1926.19876138118</v>
      </c>
      <c r="N84" s="108">
        <f>O84+P84+Q84+R84+S84+T84</f>
        <v>2107.84989201852</v>
      </c>
      <c r="O84" s="109">
        <v>733</v>
      </c>
      <c r="P84" s="109">
        <v>527</v>
      </c>
      <c r="Q84" s="109">
        <v>251</v>
      </c>
      <c r="R84" s="109">
        <v>300.685741054786</v>
      </c>
      <c r="S84" s="109">
        <v>192.1675788696</v>
      </c>
      <c r="T84" s="109">
        <v>103.996572094136</v>
      </c>
      <c r="U84" s="49">
        <v>236</v>
      </c>
      <c r="V84" s="110">
        <f>((O84+R84)*100)/N84</f>
        <v>49.0398175396117</v>
      </c>
      <c r="W84" s="110">
        <f>((P84+S84)*100)/N84</f>
        <v>34.1185385919919</v>
      </c>
      <c r="X84" s="110">
        <f>((Q84+T84)*100)/N84</f>
        <v>16.8416438683963</v>
      </c>
    </row>
    <row r="85" spans="1:24" s="168" customFormat="1" ht="22.500000" customHeight="1">
      <c r="A85" s="34">
        <v>83</v>
      </c>
      <c r="B85" s="108">
        <f>C85+D85+E85+F85+G85+H85</f>
        <v>7</v>
      </c>
      <c r="C85" s="109">
        <v>5</v>
      </c>
      <c r="D85" s="109">
        <v>2</v>
      </c>
      <c r="E85" s="109">
        <v>0</v>
      </c>
      <c r="F85" s="109">
        <v>0</v>
      </c>
      <c r="G85" s="109">
        <v>0</v>
      </c>
      <c r="H85" s="109">
        <v>0</v>
      </c>
      <c r="I85" s="78">
        <f>(100*B85)/N85</f>
        <v>0.450123025770097</v>
      </c>
      <c r="J85" s="110">
        <f>((C85+F85)*100)/B85</f>
        <v>71.4285714285714</v>
      </c>
      <c r="K85" s="110">
        <f>((D85+G85)*100)/B85</f>
        <v>28.5714285714286</v>
      </c>
      <c r="L85" s="110">
        <f>((E85+H85)*100)/B85</f>
        <v>0</v>
      </c>
      <c r="M85" s="112">
        <f>N85-B84</f>
        <v>1474.21847183989</v>
      </c>
      <c r="N85" s="108">
        <f>O85+P85+Q85+R85+S85+T85</f>
        <v>1555.13039752276</v>
      </c>
      <c r="O85" s="109">
        <v>755</v>
      </c>
      <c r="P85" s="109">
        <v>540</v>
      </c>
      <c r="Q85" s="109">
        <v>259</v>
      </c>
      <c r="R85" s="109">
        <v>1.13039752276235</v>
      </c>
      <c r="S85" s="109">
        <v>0</v>
      </c>
      <c r="T85" s="109">
        <v>0</v>
      </c>
      <c r="U85" s="49">
        <v>191</v>
      </c>
      <c r="V85" s="110">
        <f>((O85+R85)*100)/N85</f>
        <v>48.6216717728132</v>
      </c>
      <c r="W85" s="110">
        <f>((P85+S85)*100)/N85</f>
        <v>34.7237762736932</v>
      </c>
      <c r="X85" s="110">
        <f>((Q85+T85)*100)/N85</f>
        <v>16.6545519534936</v>
      </c>
    </row>
    <row r="86" spans="1:24" s="168" customFormat="1" ht="22.500000" customHeight="1">
      <c r="A86" s="34">
        <v>84</v>
      </c>
      <c r="B86" s="108">
        <f>C86+D86+E86+F86+G86+H86</f>
        <v>179.431801820988</v>
      </c>
      <c r="C86" s="109">
        <v>31</v>
      </c>
      <c r="D86" s="109">
        <v>43</v>
      </c>
      <c r="E86" s="109">
        <v>15</v>
      </c>
      <c r="F86" s="109">
        <v>33.9119256828707</v>
      </c>
      <c r="G86" s="109">
        <v>45.2159009104942</v>
      </c>
      <c r="H86" s="109">
        <v>11.3039752276235</v>
      </c>
      <c r="I86" s="78">
        <f>(100*B86)/N86</f>
        <v>6.89221908359567</v>
      </c>
      <c r="J86" s="110">
        <f>((C86+F86)*100)/B86</f>
        <v>36.1763773333952</v>
      </c>
      <c r="K86" s="110">
        <f>((D86+G86)*100)/B86</f>
        <v>49.1640277895128</v>
      </c>
      <c r="L86" s="110">
        <f>((E86+H86)*100)/B86</f>
        <v>14.659594877092</v>
      </c>
      <c r="M86" s="112">
        <f>N86-B85</f>
        <v>2596.39666578589</v>
      </c>
      <c r="N86" s="108">
        <f>O86+P86+Q86+R86+S86+T86</f>
        <v>2603.39666578589</v>
      </c>
      <c r="O86" s="109">
        <v>721</v>
      </c>
      <c r="P86" s="109">
        <v>476</v>
      </c>
      <c r="Q86" s="109">
        <v>250</v>
      </c>
      <c r="R86" s="109">
        <v>648.848178065592</v>
      </c>
      <c r="S86" s="109">
        <v>319.902498941747</v>
      </c>
      <c r="T86" s="109">
        <v>187.645988778551</v>
      </c>
      <c r="U86" s="49">
        <v>272</v>
      </c>
      <c r="V86" s="110">
        <f>((O86+R86)*100)/N86</f>
        <v>52.6177280653494</v>
      </c>
      <c r="W86" s="110">
        <f>((P86+S86)*100)/N86</f>
        <v>30.5716954086014</v>
      </c>
      <c r="X86" s="110">
        <f>((Q86+T86)*100)/N86</f>
        <v>16.8105765260492</v>
      </c>
    </row>
    <row r="87" spans="1:24" s="168" customFormat="1" ht="22.500000" customHeight="1">
      <c r="A87" s="34">
        <v>85</v>
      </c>
      <c r="B87" s="108">
        <f>C87+D87+E87+F87+G87+H87</f>
        <v>288.17186375193</v>
      </c>
      <c r="C87" s="109">
        <v>210</v>
      </c>
      <c r="D87" s="109">
        <v>2</v>
      </c>
      <c r="E87" s="109">
        <v>14</v>
      </c>
      <c r="F87" s="109">
        <v>48.6070934787813</v>
      </c>
      <c r="G87" s="109">
        <v>3.39119256828707</v>
      </c>
      <c r="H87" s="109">
        <v>10.1735777048612</v>
      </c>
      <c r="I87" s="78">
        <f>(100*B87)/N87</f>
        <v>7.55182282175656</v>
      </c>
      <c r="J87" s="110">
        <f>((C87+F87)*100)/B87</f>
        <v>89.7405770680656</v>
      </c>
      <c r="K87" s="110">
        <f>((D87+G87)*100)/B87</f>
        <v>1.87082545051242</v>
      </c>
      <c r="L87" s="110">
        <f>((E87+H87)*100)/B87</f>
        <v>8.388597481422</v>
      </c>
      <c r="M87" s="112">
        <f>N87-B86</f>
        <v>3636.49278425002</v>
      </c>
      <c r="N87" s="108">
        <f>O87+P87+Q87+R87+S87+T87</f>
        <v>3815.92458607101</v>
      </c>
      <c r="O87" s="109">
        <v>771</v>
      </c>
      <c r="P87" s="109">
        <v>498</v>
      </c>
      <c r="Q87" s="109">
        <v>259</v>
      </c>
      <c r="R87" s="109">
        <v>1110.05036735263</v>
      </c>
      <c r="S87" s="109">
        <v>785.626278319838</v>
      </c>
      <c r="T87" s="109">
        <v>392.247940398537</v>
      </c>
      <c r="U87" s="49">
        <v>404</v>
      </c>
      <c r="V87" s="110">
        <f>((O87+R87)*100)/N87</f>
        <v>49.2947469197608</v>
      </c>
      <c r="W87" s="110">
        <f>((P87+S87)*100)/N87</f>
        <v>33.6386699832949</v>
      </c>
      <c r="X87" s="110">
        <f>((Q87+T87)*100)/N87</f>
        <v>17.0665830969443</v>
      </c>
    </row>
    <row r="88" spans="1:24" s="168" customFormat="1" ht="22.500000" customHeight="1">
      <c r="A88" s="34">
        <v>86</v>
      </c>
      <c r="B88" s="108">
        <f>C88+D88+E88+F88+G88+H88</f>
        <v>27.1303975227624</v>
      </c>
      <c r="C88" s="109">
        <v>25</v>
      </c>
      <c r="D88" s="109">
        <v>1</v>
      </c>
      <c r="E88" s="109">
        <v>0</v>
      </c>
      <c r="F88" s="109">
        <v>1.13039752276235</v>
      </c>
      <c r="G88" s="109">
        <v>0</v>
      </c>
      <c r="H88" s="109">
        <v>0</v>
      </c>
      <c r="I88" s="78">
        <f>(100*B88)/N88</f>
        <v>1.71113575623186</v>
      </c>
      <c r="J88" s="110">
        <f>((C88+F88)*100)/B88</f>
        <v>96.3140975020325</v>
      </c>
      <c r="K88" s="110">
        <f>((D88+G88)*100)/B88</f>
        <v>3.68590249796746</v>
      </c>
      <c r="L88" s="110">
        <f>((E88+H88)*100)/B88</f>
        <v>0</v>
      </c>
      <c r="M88" s="112">
        <f>N88-B87</f>
        <v>1297.34801238619</v>
      </c>
      <c r="N88" s="108">
        <f>O88+P88+Q88+R88+S88+T88</f>
        <v>1585.51987613812</v>
      </c>
      <c r="O88" s="109">
        <v>780</v>
      </c>
      <c r="P88" s="109">
        <v>492</v>
      </c>
      <c r="Q88" s="109">
        <v>257</v>
      </c>
      <c r="R88" s="109">
        <v>32.7815281601083</v>
      </c>
      <c r="S88" s="109">
        <v>9.04318018209885</v>
      </c>
      <c r="T88" s="109">
        <v>14.6951677959106</v>
      </c>
      <c r="U88" s="49">
        <v>199</v>
      </c>
      <c r="V88" s="110">
        <f>((O88+R88)*100)/N88</f>
        <v>51.2627776158705</v>
      </c>
      <c r="W88" s="110">
        <f>((P88+S88)*100)/N88</f>
        <v>31.6011919953031</v>
      </c>
      <c r="X88" s="110">
        <f>((Q88+T88)*100)/N88</f>
        <v>17.1360303888264</v>
      </c>
    </row>
    <row r="89" spans="1:24" s="168" customFormat="1" ht="22.500000" customHeight="1">
      <c r="A89" s="34">
        <v>87</v>
      </c>
      <c r="B89" s="108">
        <f>C89+D89+E89+F89+G89+H89</f>
        <v>588.381765827163</v>
      </c>
      <c r="C89" s="109">
        <v>233</v>
      </c>
      <c r="D89" s="109">
        <v>28</v>
      </c>
      <c r="E89" s="109">
        <v>38</v>
      </c>
      <c r="F89" s="109">
        <v>213.645131802085</v>
      </c>
      <c r="G89" s="109">
        <v>35.042323205633</v>
      </c>
      <c r="H89" s="109">
        <v>40.6943108194448</v>
      </c>
      <c r="I89" s="78">
        <f>(100*B89)/N89</f>
        <v>12.9757742398029</v>
      </c>
      <c r="J89" s="110">
        <f>((C89+F89)*100)/B89</f>
        <v>75.9107704798056</v>
      </c>
      <c r="K89" s="110">
        <f>((D89+G89)*100)/B89</f>
        <v>10.714527007309</v>
      </c>
      <c r="L89" s="110">
        <f>((E89+H89)*100)/B89</f>
        <v>13.3747025128854</v>
      </c>
      <c r="M89" s="112">
        <f>N89-B88</f>
        <v>4507.33324952742</v>
      </c>
      <c r="N89" s="108">
        <f>O89+P89+Q89+R89+S89+T89</f>
        <v>4534.46364705018</v>
      </c>
      <c r="O89" s="109">
        <v>728</v>
      </c>
      <c r="P89" s="109">
        <v>485</v>
      </c>
      <c r="Q89" s="109">
        <v>240</v>
      </c>
      <c r="R89" s="109">
        <v>1604.03408479978</v>
      </c>
      <c r="S89" s="109">
        <v>943.881931506568</v>
      </c>
      <c r="T89" s="109">
        <v>533.547630743832</v>
      </c>
      <c r="U89" s="49">
        <v>383</v>
      </c>
      <c r="V89" s="110">
        <f>((O89+R89)*100)/N89</f>
        <v>51.4291053213503</v>
      </c>
      <c r="W89" s="110">
        <f>((P89+S89)*100)/N89</f>
        <v>31.5115974617219</v>
      </c>
      <c r="X89" s="110">
        <f>((Q89+T89)*100)/N89</f>
        <v>17.0592972169278</v>
      </c>
    </row>
    <row r="90" spans="1:24" s="168" customFormat="1" ht="22.500000" customHeight="1">
      <c r="A90" s="34">
        <v>88</v>
      </c>
      <c r="B90" s="108">
        <f>C90+D90+E90+F90+G90+H90</f>
        <v>3.13039752276235</v>
      </c>
      <c r="C90" s="109">
        <v>2</v>
      </c>
      <c r="D90" s="109">
        <v>0</v>
      </c>
      <c r="E90" s="109">
        <v>0</v>
      </c>
      <c r="F90" s="109">
        <v>1.13039752276235</v>
      </c>
      <c r="G90" s="109">
        <v>0</v>
      </c>
      <c r="H90" s="109">
        <v>0</v>
      </c>
      <c r="I90" s="78">
        <f>(100*B90)/N90</f>
        <v>0.181849020673997</v>
      </c>
      <c r="J90" s="110">
        <f>((C90+F90)*100)/B90</f>
        <v>100</v>
      </c>
      <c r="K90" s="110">
        <f>((D90+G90)*100)/B90</f>
        <v>0</v>
      </c>
      <c r="L90" s="110">
        <f>((E90+H90)*100)/B90</f>
        <v>0</v>
      </c>
      <c r="M90" s="112">
        <f>N90-B89</f>
        <v>1133.04489413503</v>
      </c>
      <c r="N90" s="108">
        <f>O90+P90+Q90+R90+S90+T90</f>
        <v>1721.42665996219</v>
      </c>
      <c r="O90" s="109">
        <v>740</v>
      </c>
      <c r="P90" s="109">
        <v>487</v>
      </c>
      <c r="Q90" s="109">
        <v>248</v>
      </c>
      <c r="R90" s="109">
        <v>127.734920072146</v>
      </c>
      <c r="S90" s="109">
        <v>79.1278265933649</v>
      </c>
      <c r="T90" s="109">
        <v>39.5639132966824</v>
      </c>
      <c r="U90" s="49">
        <v>224</v>
      </c>
      <c r="V90" s="110">
        <f>((O90+R90)*100)/N90</f>
        <v>50.4078936532332</v>
      </c>
      <c r="W90" s="110">
        <f>((P90+S90)*100)/N90</f>
        <v>32.8871301787436</v>
      </c>
      <c r="X90" s="110">
        <f>((Q90+T90)*100)/N90</f>
        <v>16.7049761680232</v>
      </c>
    </row>
    <row r="91" spans="1:24" s="168" customFormat="1" ht="22.500000" customHeight="1">
      <c r="A91" s="34">
        <v>89</v>
      </c>
      <c r="B91" s="108">
        <f>C91+D91+E91+F91+G91+H91</f>
        <v>5.13039752276235</v>
      </c>
      <c r="C91" s="109">
        <v>3</v>
      </c>
      <c r="D91" s="109">
        <v>1</v>
      </c>
      <c r="E91" s="109">
        <v>0</v>
      </c>
      <c r="F91" s="109">
        <v>0</v>
      </c>
      <c r="G91" s="109">
        <v>1.13039752276235</v>
      </c>
      <c r="H91" s="109">
        <v>0</v>
      </c>
      <c r="I91" s="78">
        <f>(100*B91)/N91</f>
        <v>0.292048678972841</v>
      </c>
      <c r="J91" s="110">
        <f>((C91+F91)*100)/B91</f>
        <v>58.4750009466073</v>
      </c>
      <c r="K91" s="110">
        <f>((D91+G91)*100)/B91</f>
        <v>41.5249990533927</v>
      </c>
      <c r="L91" s="110">
        <f>((E91+H91)*100)/B91</f>
        <v>0</v>
      </c>
      <c r="M91" s="112">
        <f>N91-B90</f>
        <v>1753.56219934375</v>
      </c>
      <c r="N91" s="108">
        <f>O91+P91+Q91+R91+S91+T91</f>
        <v>1756.69259686651</v>
      </c>
      <c r="O91" s="109">
        <v>922</v>
      </c>
      <c r="P91" s="109">
        <v>490</v>
      </c>
      <c r="Q91" s="109">
        <v>252</v>
      </c>
      <c r="R91" s="109">
        <v>63.3022612746919</v>
      </c>
      <c r="S91" s="109">
        <v>15.8255653186729</v>
      </c>
      <c r="T91" s="109">
        <v>13.5647702731482</v>
      </c>
      <c r="U91" s="49">
        <v>194</v>
      </c>
      <c r="V91" s="110">
        <f>((O91+R91)*100)/N91</f>
        <v>56.0884848625318</v>
      </c>
      <c r="W91" s="110">
        <f>((P91+S91)*100)/N91</f>
        <v>28.7941991798073</v>
      </c>
      <c r="X91" s="110">
        <f>((Q91+T91)*100)/N91</f>
        <v>15.1173159576609</v>
      </c>
    </row>
    <row r="92" spans="1:24" s="168" customFormat="1" ht="22.500000" customHeight="1">
      <c r="A92" s="34">
        <v>90</v>
      </c>
      <c r="B92" s="108">
        <f>C92+D92+E92+F92+G92+H92</f>
        <v>475.601951619986</v>
      </c>
      <c r="C92" s="109">
        <v>220</v>
      </c>
      <c r="D92" s="109">
        <v>24</v>
      </c>
      <c r="E92" s="109">
        <v>27</v>
      </c>
      <c r="F92" s="109">
        <v>148.082075481868</v>
      </c>
      <c r="G92" s="109">
        <v>36.1727207283954</v>
      </c>
      <c r="H92" s="109">
        <v>20.3471554097224</v>
      </c>
      <c r="I92" s="78">
        <f>(100*B92)/N92</f>
        <v>14.8800145113552</v>
      </c>
      <c r="J92" s="110">
        <f>((C92+F92)*100)/B92</f>
        <v>77.3928858424812</v>
      </c>
      <c r="K92" s="110">
        <f>((D92+G92)*100)/B92</f>
        <v>12.6519078661129</v>
      </c>
      <c r="L92" s="110">
        <f>((E92+H92)*100)/B92</f>
        <v>9.95520629140597</v>
      </c>
      <c r="M92" s="112">
        <f>N92-B91</f>
        <v>3191.11616028165</v>
      </c>
      <c r="N92" s="108">
        <f>O92+P92+Q92+R92+S92+T92</f>
        <v>3196.24655780441</v>
      </c>
      <c r="O92" s="109">
        <v>772</v>
      </c>
      <c r="P92" s="109">
        <v>453</v>
      </c>
      <c r="Q92" s="109">
        <v>218</v>
      </c>
      <c r="R92" s="109">
        <v>1013.96657791783</v>
      </c>
      <c r="S92" s="109">
        <v>483.810139742288</v>
      </c>
      <c r="T92" s="109">
        <v>255.469840144292</v>
      </c>
      <c r="U92" s="49">
        <v>300</v>
      </c>
      <c r="V92" s="110">
        <f>((O92+R92)*100)/N92</f>
        <v>55.8769965213403</v>
      </c>
      <c r="W92" s="110">
        <f>((P92+S92)*100)/N92</f>
        <v>29.3096956946215</v>
      </c>
      <c r="X92" s="110">
        <f>((Q92+T92)*100)/N92</f>
        <v>14.8133077840381</v>
      </c>
    </row>
    <row r="93" spans="1:24" s="168" customFormat="1" ht="22.500000" customHeight="1">
      <c r="A93" s="34">
        <v>91</v>
      </c>
      <c r="B93" s="108">
        <f>C93+D93+E93+F93+G93+H93</f>
        <v>200</v>
      </c>
      <c r="C93" s="109">
        <v>181</v>
      </c>
      <c r="D93" s="109">
        <v>8</v>
      </c>
      <c r="E93" s="109">
        <v>11</v>
      </c>
      <c r="F93" s="109">
        <v>0</v>
      </c>
      <c r="G93" s="109">
        <v>0</v>
      </c>
      <c r="H93" s="109">
        <v>0</v>
      </c>
      <c r="I93" s="78">
        <f>(100*B93)/N93</f>
        <v>12.185157192878</v>
      </c>
      <c r="J93" s="110">
        <f>((C93+F93)*100)/B93</f>
        <v>90.5</v>
      </c>
      <c r="K93" s="110">
        <f>((D93+G93)*100)/B93</f>
        <v>4</v>
      </c>
      <c r="L93" s="110">
        <f>((E93+H93)*100)/B93</f>
        <v>5.5</v>
      </c>
      <c r="M93" s="112">
        <f>N93-B92</f>
        <v>1165.73920495448</v>
      </c>
      <c r="N93" s="108">
        <f>O93+P93+Q93+R93+S93+T93</f>
        <v>1641.34115657446</v>
      </c>
      <c r="O93" s="109">
        <v>748</v>
      </c>
      <c r="P93" s="109">
        <v>469</v>
      </c>
      <c r="Q93" s="109">
        <v>222</v>
      </c>
      <c r="R93" s="109">
        <v>116.430944844522</v>
      </c>
      <c r="S93" s="109">
        <v>55.3894786153554</v>
      </c>
      <c r="T93" s="109">
        <v>30.5207331145836</v>
      </c>
      <c r="U93" s="49">
        <v>200</v>
      </c>
      <c r="V93" s="110">
        <f>((O93+R93)*100)/N93</f>
        <v>52.6661347265928</v>
      </c>
      <c r="W93" s="110">
        <f>((P93+S93)*100)/N93</f>
        <v>31.9488411360972</v>
      </c>
      <c r="X93" s="110">
        <f>((Q93+T93)*100)/N93</f>
        <v>15.38502413731</v>
      </c>
    </row>
    <row r="94" spans="1:24" s="168" customFormat="1" ht="22.500000" customHeight="1">
      <c r="A94" s="34">
        <v>92</v>
      </c>
      <c r="B94" s="108">
        <f>C94+D94+E94+F94+G94+H94</f>
        <v>195.171006775464</v>
      </c>
      <c r="C94" s="109">
        <v>52</v>
      </c>
      <c r="D94" s="109">
        <v>40</v>
      </c>
      <c r="E94" s="109">
        <v>15</v>
      </c>
      <c r="F94" s="109">
        <v>45.2159009104942</v>
      </c>
      <c r="G94" s="109">
        <v>22.6079504552471</v>
      </c>
      <c r="H94" s="109">
        <v>20.3471554097224</v>
      </c>
      <c r="I94" s="78">
        <f>(100*B94)/N94</f>
        <v>7.58264452693148</v>
      </c>
      <c r="J94" s="110">
        <f>((C94+F94)*100)/B94</f>
        <v>49.8106263407951</v>
      </c>
      <c r="K94" s="110">
        <f>((D94+G94)*100)/B94</f>
        <v>32.0785097590212</v>
      </c>
      <c r="L94" s="110">
        <f>((E94+H94)*100)/B94</f>
        <v>18.1108639001836</v>
      </c>
      <c r="M94" s="112">
        <f>N94-B93</f>
        <v>2373.91739890047</v>
      </c>
      <c r="N94" s="108">
        <f>O94+P94+Q94+R94+S94+T94</f>
        <v>2573.91739890047</v>
      </c>
      <c r="O94" s="109">
        <v>743</v>
      </c>
      <c r="P94" s="109">
        <v>436</v>
      </c>
      <c r="Q94" s="109">
        <v>208</v>
      </c>
      <c r="R94" s="109">
        <v>672.586526043602</v>
      </c>
      <c r="S94" s="109">
        <v>341.380051874231</v>
      </c>
      <c r="T94" s="109">
        <v>172.95082098264</v>
      </c>
      <c r="U94" s="49">
        <v>253</v>
      </c>
      <c r="V94" s="110">
        <f>((O94+R94)*100)/N94</f>
        <v>54.9973564283109</v>
      </c>
      <c r="W94" s="110">
        <f>((P94+S94)*100)/N94</f>
        <v>30.2022144225107</v>
      </c>
      <c r="X94" s="110">
        <f>((Q94+T94)*100)/N94</f>
        <v>14.8004291491784</v>
      </c>
    </row>
    <row r="95" spans="1:24" s="168" customFormat="1" ht="22.500000" customHeight="1">
      <c r="A95" s="34">
        <v>93</v>
      </c>
      <c r="B95" s="108">
        <f>C95+D95+E95+F95+G95+H95</f>
        <v>5</v>
      </c>
      <c r="C95" s="109">
        <v>4</v>
      </c>
      <c r="D95" s="109">
        <v>0</v>
      </c>
      <c r="E95" s="109">
        <v>1</v>
      </c>
      <c r="F95" s="109">
        <v>0</v>
      </c>
      <c r="G95" s="109">
        <v>0</v>
      </c>
      <c r="H95" s="109">
        <v>0</v>
      </c>
      <c r="I95" s="78">
        <f>(100*B95)/N95</f>
        <v>0.368719821984471</v>
      </c>
      <c r="J95" s="110">
        <f>((C95+F95)*100)/B95</f>
        <v>80</v>
      </c>
      <c r="K95" s="110">
        <f>((D95+G95)*100)/B95</f>
        <v>0</v>
      </c>
      <c r="L95" s="110">
        <f>((E95+H95)*100)/B95</f>
        <v>20</v>
      </c>
      <c r="M95" s="112">
        <f>N95-B94</f>
        <v>1160.87217340664</v>
      </c>
      <c r="N95" s="108">
        <f>O95+P95+Q95+R95+S95+T95</f>
        <v>1356.0431801821</v>
      </c>
      <c r="O95" s="109">
        <v>740</v>
      </c>
      <c r="P95" s="109">
        <v>416</v>
      </c>
      <c r="Q95" s="109">
        <v>191</v>
      </c>
      <c r="R95" s="109">
        <v>7.91278265933649</v>
      </c>
      <c r="S95" s="109">
        <v>1.13039752276235</v>
      </c>
      <c r="T95" s="109">
        <v>0</v>
      </c>
      <c r="U95" s="49">
        <v>170</v>
      </c>
      <c r="V95" s="110">
        <f>((O95+R95)*100)/N95</f>
        <v>55.1540536164122</v>
      </c>
      <c r="W95" s="110">
        <f>((P95+S95)*100)/N95</f>
        <v>30.7608491837809</v>
      </c>
      <c r="X95" s="110">
        <f>((Q95+T95)*100)/N95</f>
        <v>14.0850971998068</v>
      </c>
    </row>
    <row r="96" spans="1:24" s="168" customFormat="1" ht="22.500000" customHeight="1">
      <c r="A96" s="34">
        <v>94</v>
      </c>
      <c r="B96" s="108">
        <f>C96+D96+E96+F96+G96+H96</f>
        <v>2</v>
      </c>
      <c r="C96" s="109">
        <v>2</v>
      </c>
      <c r="D96" s="109">
        <v>0</v>
      </c>
      <c r="E96" s="109">
        <v>0</v>
      </c>
      <c r="F96" s="109">
        <v>0</v>
      </c>
      <c r="G96" s="109">
        <v>0</v>
      </c>
      <c r="H96" s="109">
        <v>0</v>
      </c>
      <c r="I96" s="78">
        <f>(100*B96)/N96</f>
        <v>0.140470989435051</v>
      </c>
      <c r="J96" s="110">
        <f>((C96+F96)*100)/B96</f>
        <v>100</v>
      </c>
      <c r="K96" s="110">
        <f>((D96+G96)*100)/B96</f>
        <v>0</v>
      </c>
      <c r="L96" s="110">
        <f>((E96+H96)*100)/B96</f>
        <v>0</v>
      </c>
      <c r="M96" s="112">
        <f>N96-B95</f>
        <v>1418.78152816011</v>
      </c>
      <c r="N96" s="108">
        <f>O96+P96+Q96+R96+S96+T96</f>
        <v>1423.78152816011</v>
      </c>
      <c r="O96" s="109">
        <v>770</v>
      </c>
      <c r="P96" s="109">
        <v>423</v>
      </c>
      <c r="Q96" s="109">
        <v>198</v>
      </c>
      <c r="R96" s="109">
        <v>19.21675788696</v>
      </c>
      <c r="S96" s="109">
        <v>6.78238513657414</v>
      </c>
      <c r="T96" s="109">
        <v>6.78238513657414</v>
      </c>
      <c r="U96" s="49">
        <v>174</v>
      </c>
      <c r="V96" s="110">
        <f>((O96+R96)*100)/N96</f>
        <v>55.4310294295524</v>
      </c>
      <c r="W96" s="110">
        <f>((P96+S96)*100)/N96</f>
        <v>30.1859784409455</v>
      </c>
      <c r="X96" s="110">
        <f>((Q96+T96)*100)/N96</f>
        <v>14.3829921295022</v>
      </c>
    </row>
    <row r="97" spans="1:24" s="168" customFormat="1" ht="22.500000" customHeight="1">
      <c r="A97" s="34">
        <v>95</v>
      </c>
      <c r="B97" s="108">
        <f>C97+D97+E97+F97+G97+H97</f>
        <v>1298.84132225387</v>
      </c>
      <c r="C97" s="109">
        <v>344</v>
      </c>
      <c r="D97" s="109">
        <v>21</v>
      </c>
      <c r="E97" s="109">
        <v>77</v>
      </c>
      <c r="F97" s="109">
        <v>656.760960724929</v>
      </c>
      <c r="G97" s="109">
        <v>90.4318018209885</v>
      </c>
      <c r="H97" s="109">
        <v>109.648559707948</v>
      </c>
      <c r="I97" s="78">
        <f>(100*B97)/N97</f>
        <v>16.2460298677211</v>
      </c>
      <c r="J97" s="110">
        <f>((C97+F97)*100)/B97</f>
        <v>77.050286557585</v>
      </c>
      <c r="K97" s="110">
        <f>((D97+G97)*100)/B97</f>
        <v>8.57932373352752</v>
      </c>
      <c r="L97" s="110">
        <f>((E97+H97)*100)/B97</f>
        <v>14.3703897088875</v>
      </c>
      <c r="M97" s="112">
        <f>N97-B96</f>
        <v>7992.82293723039</v>
      </c>
      <c r="N97" s="108">
        <f>O97+P97+Q97+R97+S97+T97</f>
        <v>7994.82293723039</v>
      </c>
      <c r="O97" s="109">
        <v>735</v>
      </c>
      <c r="P97" s="109">
        <v>398</v>
      </c>
      <c r="Q97" s="109">
        <v>171</v>
      </c>
      <c r="R97" s="109">
        <v>3731.44222263854</v>
      </c>
      <c r="S97" s="109">
        <v>1982.71725492517</v>
      </c>
      <c r="T97" s="109">
        <v>976.663459666676</v>
      </c>
      <c r="U97" s="49">
        <v>491</v>
      </c>
      <c r="V97" s="110">
        <f>((O97+R97)*100)/N97</f>
        <v>55.866680947231</v>
      </c>
      <c r="W97" s="110">
        <f>((P97+S97)*100)/N97</f>
        <v>29.7782361612865</v>
      </c>
      <c r="X97" s="110">
        <f>((Q97+T97)*100)/N97</f>
        <v>14.3550828914825</v>
      </c>
    </row>
    <row r="98" spans="1:24" s="168" customFormat="1" ht="22.500000" customHeight="1">
      <c r="A98" s="34">
        <v>96</v>
      </c>
      <c r="B98" s="108">
        <f>C98+D98+E98+F98+G98+H98</f>
        <v>117.825565318673</v>
      </c>
      <c r="C98" s="109">
        <v>79</v>
      </c>
      <c r="D98" s="109">
        <v>13</v>
      </c>
      <c r="E98" s="109">
        <v>10</v>
      </c>
      <c r="F98" s="109">
        <v>14.6951677959106</v>
      </c>
      <c r="G98" s="109">
        <v>1.13039752276235</v>
      </c>
      <c r="H98" s="109">
        <v>0</v>
      </c>
      <c r="I98" s="78">
        <f>(100*B98)/N98</f>
        <v>6.98257692079592</v>
      </c>
      <c r="J98" s="110">
        <f>((C98+F98)*100)/B98</f>
        <v>79.5202361580028</v>
      </c>
      <c r="K98" s="110">
        <f>((D98+G98)*100)/B98</f>
        <v>11.9926413970899</v>
      </c>
      <c r="L98" s="110">
        <f>((E98+H98)*100)/B98</f>
        <v>8.4871224449073</v>
      </c>
      <c r="M98" s="112">
        <f>N98-B97</f>
        <v>388.581052825998</v>
      </c>
      <c r="N98" s="108">
        <f>O98+P98+Q98+R98+S98+T98</f>
        <v>1687.42237507986</v>
      </c>
      <c r="O98" s="109">
        <v>735</v>
      </c>
      <c r="P98" s="109">
        <v>400</v>
      </c>
      <c r="Q98" s="109">
        <v>176</v>
      </c>
      <c r="R98" s="109">
        <v>240.774672348381</v>
      </c>
      <c r="S98" s="109">
        <v>97.2141869575626</v>
      </c>
      <c r="T98" s="109">
        <v>38.4335157739201</v>
      </c>
      <c r="U98" s="49">
        <v>240</v>
      </c>
      <c r="V98" s="110">
        <f>((O98+R98)*100)/N98</f>
        <v>57.8263442964124</v>
      </c>
      <c r="W98" s="110">
        <f>((P98+S98)*100)/N98</f>
        <v>29.4658998422982</v>
      </c>
      <c r="X98" s="110">
        <f>((Q98+T98)*100)/N98</f>
        <v>12.7077558612894</v>
      </c>
    </row>
    <row r="99" spans="1:24" s="168" customFormat="1" ht="22.500000" customHeight="1">
      <c r="A99" s="34">
        <v>97</v>
      </c>
      <c r="B99" s="108">
        <f>C99+D99+E99+F99+G99+H99</f>
        <v>209.172720728395</v>
      </c>
      <c r="C99" s="109">
        <v>156</v>
      </c>
      <c r="D99" s="109">
        <v>5</v>
      </c>
      <c r="E99" s="109">
        <v>12</v>
      </c>
      <c r="F99" s="109">
        <v>27.1295405462965</v>
      </c>
      <c r="G99" s="109">
        <v>3.39119256828707</v>
      </c>
      <c r="H99" s="109">
        <v>5.65198761381178</v>
      </c>
      <c r="I99" s="78">
        <f>(100*B99)/N99</f>
        <v>8.28391696217114</v>
      </c>
      <c r="J99" s="110">
        <f>((C99+F99)*100)/B99</f>
        <v>87.5494375693879</v>
      </c>
      <c r="K99" s="110">
        <f>((D99+G99)*100)/B99</f>
        <v>4.01160941974971</v>
      </c>
      <c r="L99" s="110">
        <f>((E99+H99)*100)/B99</f>
        <v>8.43895301086243</v>
      </c>
      <c r="M99" s="112">
        <f>N99-B98</f>
        <v>2407.22051715163</v>
      </c>
      <c r="N99" s="108">
        <f>O99+P99+Q99+R99+S99+T99</f>
        <v>2525.0460824703</v>
      </c>
      <c r="O99" s="109">
        <v>703</v>
      </c>
      <c r="P99" s="109">
        <v>404</v>
      </c>
      <c r="Q99" s="109">
        <v>178</v>
      </c>
      <c r="R99" s="109">
        <v>715.541631908571</v>
      </c>
      <c r="S99" s="109">
        <v>340.249654351469</v>
      </c>
      <c r="T99" s="109">
        <v>184.254796210264</v>
      </c>
      <c r="U99" s="49">
        <v>312</v>
      </c>
      <c r="V99" s="110">
        <f>((O99+R99)*100)/N99</f>
        <v>56.1788413192358</v>
      </c>
      <c r="W99" s="110">
        <f>((P99+S99)*100)/N99</f>
        <v>29.4746959082566</v>
      </c>
      <c r="X99" s="110">
        <f>((Q99+T99)*100)/N99</f>
        <v>14.3464627725076</v>
      </c>
    </row>
    <row r="100" spans="1:24" s="168" customFormat="1" ht="22.500000" customHeight="1">
      <c r="A100" s="34">
        <v>98</v>
      </c>
      <c r="B100" s="108">
        <f>C100+D100+E100+F100+G100+H100</f>
        <v>5</v>
      </c>
      <c r="C100" s="109">
        <v>5</v>
      </c>
      <c r="D100" s="109">
        <v>0</v>
      </c>
      <c r="E100" s="109">
        <v>0</v>
      </c>
      <c r="F100" s="109">
        <v>0</v>
      </c>
      <c r="G100" s="109">
        <v>0</v>
      </c>
      <c r="H100" s="109">
        <v>0</v>
      </c>
      <c r="I100" s="78">
        <f>(100*B100)/N100</f>
        <v>0.365021941482022</v>
      </c>
      <c r="J100" s="110">
        <f>((C100+F100)*100)/B100</f>
        <v>100</v>
      </c>
      <c r="K100" s="110">
        <f>((D100+G100)*100)/B100</f>
        <v>0</v>
      </c>
      <c r="L100" s="110">
        <f>((E100+H100)*100)/B100</f>
        <v>0</v>
      </c>
      <c r="M100" s="112">
        <f>N100-B99</f>
        <v>1160.60795045525</v>
      </c>
      <c r="N100" s="108">
        <f>O100+P100+Q100+R100+S100+T100</f>
        <v>1369.78067118364</v>
      </c>
      <c r="O100" s="109">
        <v>724</v>
      </c>
      <c r="P100" s="109">
        <v>406</v>
      </c>
      <c r="Q100" s="109">
        <v>181</v>
      </c>
      <c r="R100" s="109">
        <v>45.2159009104942</v>
      </c>
      <c r="S100" s="109">
        <v>10.1735777048612</v>
      </c>
      <c r="T100" s="109">
        <v>3.39119256828707</v>
      </c>
      <c r="U100" s="49">
        <v>183</v>
      </c>
      <c r="V100" s="110">
        <f>((O100+R100)*100)/N100</f>
        <v>56.1561363138382</v>
      </c>
      <c r="W100" s="110">
        <f>((P100+S100)*100)/N100</f>
        <v>30.3824974654695</v>
      </c>
      <c r="X100" s="110">
        <f>((Q100+T100)*100)/N100</f>
        <v>13.4613662206923</v>
      </c>
    </row>
    <row r="101" spans="1:24" s="168" customFormat="1" ht="22.500000" customHeight="1">
      <c r="A101" s="34">
        <v>99</v>
      </c>
      <c r="B101" s="108">
        <f>C101+D101+E101+F101+G101+H101</f>
        <v>50.1303975227624</v>
      </c>
      <c r="C101" s="109">
        <v>45</v>
      </c>
      <c r="D101" s="109">
        <v>3</v>
      </c>
      <c r="E101" s="109">
        <v>1</v>
      </c>
      <c r="F101" s="109">
        <v>1.13039752276235</v>
      </c>
      <c r="G101" s="109">
        <v>0</v>
      </c>
      <c r="H101" s="109">
        <v>0</v>
      </c>
      <c r="I101" s="78">
        <f>(100*B101)/N101</f>
        <v>3.18369219101154</v>
      </c>
      <c r="J101" s="110">
        <f>((C101+F101)*100)/B101</f>
        <v>92.0208093339301</v>
      </c>
      <c r="K101" s="110">
        <f>((D101+G101)*100)/B101</f>
        <v>5.98439299955244</v>
      </c>
      <c r="L101" s="110">
        <f>((E101+H101)*100)/B101</f>
        <v>1.99479766651748</v>
      </c>
      <c r="M101" s="112">
        <f>N101-B100</f>
        <v>1569.59938069059</v>
      </c>
      <c r="N101" s="108">
        <f>O101+P101+Q101+R101+S101+T101</f>
        <v>1574.59938069059</v>
      </c>
      <c r="O101" s="109">
        <v>705</v>
      </c>
      <c r="P101" s="109">
        <v>407</v>
      </c>
      <c r="Q101" s="109">
        <v>180</v>
      </c>
      <c r="R101" s="109">
        <v>176.342013550927</v>
      </c>
      <c r="S101" s="109">
        <v>56.5198761381178</v>
      </c>
      <c r="T101" s="109">
        <v>49.7374910015437</v>
      </c>
      <c r="U101" s="49">
        <v>196</v>
      </c>
      <c r="V101" s="110">
        <f>((O101+R101)*100)/N101</f>
        <v>55.9724603196775</v>
      </c>
      <c r="W101" s="110">
        <f>((P101+S101)*100)/N101</f>
        <v>29.4373211257601</v>
      </c>
      <c r="X101" s="110">
        <f>((Q101+T101)*100)/N101</f>
        <v>14.5902185545625</v>
      </c>
    </row>
    <row r="102" spans="1:24" s="168" customFormat="1" ht="22.500000" customHeight="1">
      <c r="A102" s="34">
        <v>100</v>
      </c>
      <c r="B102" s="108">
        <f>C102+D102+E102+F102+G102+H102</f>
        <v>3</v>
      </c>
      <c r="C102" s="109">
        <v>3</v>
      </c>
      <c r="D102" s="109">
        <v>0</v>
      </c>
      <c r="E102" s="109">
        <v>0</v>
      </c>
      <c r="F102" s="109">
        <v>0</v>
      </c>
      <c r="G102" s="109">
        <v>0</v>
      </c>
      <c r="H102" s="109">
        <v>0</v>
      </c>
      <c r="I102" s="78">
        <f>(100*B102)/N102</f>
        <v>0.227400072166662</v>
      </c>
      <c r="J102" s="110">
        <f>((C102+F102)*100)/B102</f>
        <v>100</v>
      </c>
      <c r="K102" s="110">
        <f>((D102+G102)*100)/B102</f>
        <v>0</v>
      </c>
      <c r="L102" s="110">
        <f>((E102+H102)*100)/B102</f>
        <v>0</v>
      </c>
      <c r="M102" s="112">
        <f>N102-B101</f>
        <v>1269.13039752276</v>
      </c>
      <c r="N102" s="108">
        <f>O102+P102+Q102+R102+S102+T102</f>
        <v>1319.26079504552</v>
      </c>
      <c r="O102" s="109">
        <v>726</v>
      </c>
      <c r="P102" s="109">
        <v>408</v>
      </c>
      <c r="Q102" s="109">
        <v>183</v>
      </c>
      <c r="R102" s="109">
        <v>2.26079504552471</v>
      </c>
      <c r="S102" s="109">
        <v>0</v>
      </c>
      <c r="T102" s="109">
        <v>0</v>
      </c>
      <c r="U102" s="49">
        <v>171</v>
      </c>
      <c r="V102" s="110">
        <f>((O102+R102)*100)/N102</f>
        <v>55.2021857831676</v>
      </c>
      <c r="W102" s="110">
        <f>((P102+S102)*100)/N102</f>
        <v>30.926409814666</v>
      </c>
      <c r="X102" s="110">
        <f>((Q102+T102)*100)/N102</f>
        <v>13.8714044021664</v>
      </c>
    </row>
    <row r="103" spans="1:24" s="168" customFormat="1" ht="22.500000" customHeight="1">
      <c r="A103" s="34">
        <v>101</v>
      </c>
      <c r="B103" s="108">
        <f>C103+D103+E103+F103+G103+H103</f>
        <v>0</v>
      </c>
      <c r="C103" s="109">
        <v>0</v>
      </c>
      <c r="D103" s="109">
        <v>0</v>
      </c>
      <c r="E103" s="109">
        <v>0</v>
      </c>
      <c r="F103" s="109">
        <v>0</v>
      </c>
      <c r="G103" s="109">
        <v>0</v>
      </c>
      <c r="H103" s="109">
        <v>0</v>
      </c>
      <c r="I103" s="78">
        <f>(100*B103)/N103</f>
        <v>0</v>
      </c>
      <c r="J103" s="110" t="e">
        <f>((C103+F103)*100)/B103</f>
        <v>#DIV/0!</v>
      </c>
      <c r="K103" s="110" t="e">
        <f>((D103+G103)*100)/B103</f>
        <v>#DIV/0!</v>
      </c>
      <c r="L103" s="110" t="e">
        <f>((E103+H103)*100)/B103</f>
        <v>#DIV/0!</v>
      </c>
      <c r="M103" s="112">
        <f>N103-B102</f>
        <v>1286</v>
      </c>
      <c r="N103" s="108">
        <f>O103+P103+Q103+R103+S103+T103</f>
        <v>1289</v>
      </c>
      <c r="O103" s="109">
        <v>715</v>
      </c>
      <c r="P103" s="109">
        <v>389</v>
      </c>
      <c r="Q103" s="109">
        <v>185</v>
      </c>
      <c r="R103" s="109">
        <v>0</v>
      </c>
      <c r="S103" s="109">
        <v>0</v>
      </c>
      <c r="T103" s="109">
        <v>0</v>
      </c>
      <c r="U103" s="49">
        <v>175</v>
      </c>
      <c r="V103" s="110">
        <f>((O103+R103)*100)/N103</f>
        <v>55.4693560899922</v>
      </c>
      <c r="W103" s="110">
        <f>((P103+S103)*100)/N103</f>
        <v>30.1784328937161</v>
      </c>
      <c r="X103" s="110">
        <f>((Q103+T103)*100)/N103</f>
        <v>14.3522110162917</v>
      </c>
    </row>
    <row r="104" spans="1:24" s="168" customFormat="1" ht="22.500000" customHeight="1">
      <c r="A104" s="34">
        <v>102</v>
      </c>
      <c r="B104" s="108">
        <f>C104+D104+E104+F104+G104+H104</f>
        <v>0</v>
      </c>
      <c r="C104" s="109">
        <v>0</v>
      </c>
      <c r="D104" s="109">
        <v>0</v>
      </c>
      <c r="E104" s="109">
        <v>0</v>
      </c>
      <c r="F104" s="109">
        <v>0</v>
      </c>
      <c r="G104" s="109">
        <v>0</v>
      </c>
      <c r="H104" s="109">
        <v>0</v>
      </c>
      <c r="I104" s="78">
        <f>(100*B104)/N104</f>
        <v>0</v>
      </c>
      <c r="J104" s="110" t="e">
        <f>((C104+F104)*100)/B104</f>
        <v>#DIV/0!</v>
      </c>
      <c r="K104" s="110" t="e">
        <f>((D104+G104)*100)/B104</f>
        <v>#DIV/0!</v>
      </c>
      <c r="L104" s="110" t="e">
        <f>((E104+H104)*100)/B104</f>
        <v>#DIV/0!</v>
      </c>
      <c r="M104" s="112">
        <f>N104-B103</f>
        <v>1359.65027366088</v>
      </c>
      <c r="N104" s="108">
        <f>O104+P104+Q104+R104+S104+T104</f>
        <v>1359.65027366088</v>
      </c>
      <c r="O104" s="109">
        <v>717</v>
      </c>
      <c r="P104" s="109">
        <v>394</v>
      </c>
      <c r="Q104" s="109">
        <v>191</v>
      </c>
      <c r="R104" s="109">
        <v>35.042323205633</v>
      </c>
      <c r="S104" s="109">
        <v>11.3039752276235</v>
      </c>
      <c r="T104" s="109">
        <v>11.3039752276235</v>
      </c>
      <c r="U104" s="49">
        <v>171</v>
      </c>
      <c r="V104" s="110">
        <f>((O104+R104)*100)/N104</f>
        <v>55.3114530827657</v>
      </c>
      <c r="W104" s="110">
        <f>((P104+S104)*100)/N104</f>
        <v>29.8094284301754</v>
      </c>
      <c r="X104" s="110">
        <f>((Q104+T104)*100)/N104</f>
        <v>14.8791184870589</v>
      </c>
    </row>
    <row r="105" spans="1:24" s="168" customFormat="1" ht="22.500000" customHeight="1">
      <c r="A105" s="34">
        <v>103</v>
      </c>
      <c r="B105" s="108">
        <f>C105+D105+E105+F105+G105+H105</f>
        <v>1</v>
      </c>
      <c r="C105" s="109">
        <v>0</v>
      </c>
      <c r="D105" s="109">
        <v>0</v>
      </c>
      <c r="E105" s="109">
        <v>1</v>
      </c>
      <c r="F105" s="109">
        <v>0</v>
      </c>
      <c r="G105" s="109">
        <v>0</v>
      </c>
      <c r="H105" s="109">
        <v>0</v>
      </c>
      <c r="I105" s="78">
        <f>(100*B105)/N105</f>
        <v>0.0748990992732307</v>
      </c>
      <c r="J105" s="110">
        <f>((C105+F105)*100)/B105</f>
        <v>0</v>
      </c>
      <c r="K105" s="110">
        <f>((D105+G105)*100)/B105</f>
        <v>0</v>
      </c>
      <c r="L105" s="110">
        <f>((E105+H105)*100)/B105</f>
        <v>100</v>
      </c>
      <c r="M105" s="112">
        <f>N105-B104</f>
        <v>1335.1295405463</v>
      </c>
      <c r="N105" s="108">
        <f>O105+P105+Q105+R105+S105+T105</f>
        <v>1335.1295405463</v>
      </c>
      <c r="O105" s="109">
        <v>717</v>
      </c>
      <c r="P105" s="109">
        <v>399</v>
      </c>
      <c r="Q105" s="109">
        <v>192</v>
      </c>
      <c r="R105" s="109">
        <v>18.0863603641977</v>
      </c>
      <c r="S105" s="109">
        <v>6.78238513657414</v>
      </c>
      <c r="T105" s="109">
        <v>2.26079504552471</v>
      </c>
      <c r="U105" s="49">
        <v>151</v>
      </c>
      <c r="V105" s="110">
        <f>((O105+R105)*100)/N105</f>
        <v>55.0573062793159</v>
      </c>
      <c r="W105" s="110">
        <f>((P105+S105)*100)/N105</f>
        <v>30.3927351476726</v>
      </c>
      <c r="X105" s="110">
        <f>((Q105+T105)*100)/N105</f>
        <v>14.5499585730115</v>
      </c>
    </row>
    <row r="106" spans="1:24" s="168" customFormat="1" ht="22.500000" customHeight="1">
      <c r="A106" s="34">
        <v>104</v>
      </c>
      <c r="B106" s="108">
        <f>C106+D106+E106+F106+G106+H106</f>
        <v>232.301404298226</v>
      </c>
      <c r="C106" s="109">
        <v>116</v>
      </c>
      <c r="D106" s="109">
        <v>10</v>
      </c>
      <c r="E106" s="109">
        <v>17</v>
      </c>
      <c r="F106" s="109">
        <v>56.5198761381178</v>
      </c>
      <c r="G106" s="109">
        <v>12.4343727503859</v>
      </c>
      <c r="H106" s="109">
        <v>20.3471554097224</v>
      </c>
      <c r="I106" s="78">
        <f>(100*B106)/N106</f>
        <v>10.3097304844386</v>
      </c>
      <c r="J106" s="110">
        <f>((C106+F106)*100)/B106</f>
        <v>74.2655330299418</v>
      </c>
      <c r="K106" s="110">
        <f>((D106+G106)*100)/B106</f>
        <v>9.65744172669094</v>
      </c>
      <c r="L106" s="110">
        <f>((E106+H106)*100)/B106</f>
        <v>16.0770252433672</v>
      </c>
      <c r="M106" s="112">
        <f>N106-B105</f>
        <v>2252.22480203396</v>
      </c>
      <c r="N106" s="108">
        <f>O106+P106+Q106+R106+S106+T106</f>
        <v>2253.22480203396</v>
      </c>
      <c r="O106" s="109">
        <v>625</v>
      </c>
      <c r="P106" s="109">
        <v>373</v>
      </c>
      <c r="Q106" s="109">
        <v>161</v>
      </c>
      <c r="R106" s="109">
        <v>735.888787318294</v>
      </c>
      <c r="S106" s="109">
        <v>230.60109464352</v>
      </c>
      <c r="T106" s="109">
        <v>127.734920072146</v>
      </c>
      <c r="U106" s="49">
        <v>208</v>
      </c>
      <c r="V106" s="110">
        <f>((O106+R106)*100)/N106</f>
        <v>60.397381836461</v>
      </c>
      <c r="W106" s="110">
        <f>((P106+S106)*100)/N106</f>
        <v>26.7883210809084</v>
      </c>
      <c r="X106" s="110">
        <f>((Q106+T106)*100)/N106</f>
        <v>12.8142970826306</v>
      </c>
    </row>
    <row r="107" spans="1:24" s="168" customFormat="1" ht="22.500000" customHeight="1">
      <c r="A107" s="34">
        <v>105</v>
      </c>
      <c r="B107" s="108">
        <f>C107+D107+E107+F107+G107+H107</f>
        <v>191.607093478781</v>
      </c>
      <c r="C107" s="109">
        <v>132</v>
      </c>
      <c r="D107" s="109">
        <v>3</v>
      </c>
      <c r="E107" s="109">
        <v>8</v>
      </c>
      <c r="F107" s="109">
        <v>39.5639132966824</v>
      </c>
      <c r="G107" s="109">
        <v>4.52159009104942</v>
      </c>
      <c r="H107" s="109">
        <v>4.52159009104942</v>
      </c>
      <c r="I107" s="78">
        <f>(100*B107)/N107</f>
        <v>8.64056852129766</v>
      </c>
      <c r="J107" s="110">
        <f>((C107+F107)*100)/B107</f>
        <v>89.5394372837671</v>
      </c>
      <c r="K107" s="110">
        <f>((D107+G107)*100)/B107</f>
        <v>3.92552799298235</v>
      </c>
      <c r="L107" s="110">
        <f>((E107+H107)*100)/B107</f>
        <v>6.53503472325051</v>
      </c>
      <c r="M107" s="112">
        <f>N107-B106</f>
        <v>1985.22737296336</v>
      </c>
      <c r="N107" s="108">
        <f>O107+P107+Q107+R107+S107+T107</f>
        <v>2217.52877726158</v>
      </c>
      <c r="O107" s="109">
        <v>574</v>
      </c>
      <c r="P107" s="109">
        <v>376</v>
      </c>
      <c r="Q107" s="109">
        <v>162</v>
      </c>
      <c r="R107" s="109">
        <v>652.239370633879</v>
      </c>
      <c r="S107" s="109">
        <v>300.685741054786</v>
      </c>
      <c r="T107" s="109">
        <v>152.603665572918</v>
      </c>
      <c r="U107" s="49">
        <v>258</v>
      </c>
      <c r="V107" s="110">
        <f>((O107+R107)*100)/N107</f>
        <v>55.2975629091117</v>
      </c>
      <c r="W107" s="110">
        <f>((P107+S107)*100)/N107</f>
        <v>30.5153082112613</v>
      </c>
      <c r="X107" s="110">
        <f>((Q107+T107)*100)/N107</f>
        <v>14.187128879627</v>
      </c>
    </row>
    <row r="108" spans="1:24" s="168" customFormat="1" ht="22.500000" customHeight="1">
      <c r="A108" s="34">
        <v>106</v>
      </c>
      <c r="B108" s="108">
        <f>C108+D108+E108+F108+G108+H108</f>
        <v>124.999143023534</v>
      </c>
      <c r="C108" s="109">
        <v>82</v>
      </c>
      <c r="D108" s="109">
        <v>8</v>
      </c>
      <c r="E108" s="109">
        <v>9</v>
      </c>
      <c r="F108" s="109">
        <v>22.6079504552471</v>
      </c>
      <c r="G108" s="109">
        <v>2.26079504552471</v>
      </c>
      <c r="H108" s="109">
        <v>1.13039752276235</v>
      </c>
      <c r="I108" s="78">
        <f>(100*B108)/N108</f>
        <v>8.04671606519267</v>
      </c>
      <c r="J108" s="110">
        <f>((C108+F108)*100)/B108</f>
        <v>83.6869341060619</v>
      </c>
      <c r="K108" s="110">
        <f>((D108+G108)*100)/B108</f>
        <v>8.20869231366879</v>
      </c>
      <c r="L108" s="110">
        <f>((E108+H108)*100)/B108</f>
        <v>8.10437358026931</v>
      </c>
      <c r="M108" s="112">
        <f>N108-B107</f>
        <v>1361.81099671875</v>
      </c>
      <c r="N108" s="108">
        <f>O108+P108+Q108+R108+S108+T108</f>
        <v>1553.41809019754</v>
      </c>
      <c r="O108" s="109">
        <v>549</v>
      </c>
      <c r="P108" s="109">
        <v>347</v>
      </c>
      <c r="Q108" s="109">
        <v>151</v>
      </c>
      <c r="R108" s="109">
        <v>282.599380690589</v>
      </c>
      <c r="S108" s="109">
        <v>152.603665572918</v>
      </c>
      <c r="T108" s="109">
        <v>71.2150439340284</v>
      </c>
      <c r="U108" s="49">
        <v>214</v>
      </c>
      <c r="V108" s="110">
        <f>((O108+R108)*100)/N108</f>
        <v>53.5335197869906</v>
      </c>
      <c r="W108" s="110">
        <f>((P108+S108)*100)/N108</f>
        <v>32.1615712296351</v>
      </c>
      <c r="X108" s="110">
        <f>((Q108+T108)*100)/N108</f>
        <v>14.3049089833743</v>
      </c>
    </row>
    <row r="109" spans="1:24" s="168" customFormat="1" ht="22.500000" customHeight="1">
      <c r="A109" s="34">
        <v>107</v>
      </c>
      <c r="B109" s="108">
        <f>C109+D109+E109+F109+G109+H109</f>
        <v>522.991430235342</v>
      </c>
      <c r="C109" s="109">
        <v>217</v>
      </c>
      <c r="D109" s="109">
        <v>12</v>
      </c>
      <c r="E109" s="109">
        <v>34</v>
      </c>
      <c r="F109" s="109">
        <v>235.12268473457</v>
      </c>
      <c r="G109" s="109">
        <v>11.3039752276235</v>
      </c>
      <c r="H109" s="109">
        <v>13.5647702731482</v>
      </c>
      <c r="I109" s="78">
        <f>(100*B109)/N109</f>
        <v>23.7690129447288</v>
      </c>
      <c r="J109" s="110">
        <f>((C109+F109)*100)/B109</f>
        <v>86.449348611911</v>
      </c>
      <c r="K109" s="110">
        <f>((D109+G109)*100)/B109</f>
        <v>4.45590001678171</v>
      </c>
      <c r="L109" s="110">
        <f>((E109+H109)*100)/B109</f>
        <v>9.09475137130726</v>
      </c>
      <c r="M109" s="112">
        <f>N109-B108</f>
        <v>2075.30859146876</v>
      </c>
      <c r="N109" s="108">
        <f>O109+P109+Q109+R109+S109+T109</f>
        <v>2200.30773449229</v>
      </c>
      <c r="O109" s="109">
        <v>513</v>
      </c>
      <c r="P109" s="109">
        <v>336</v>
      </c>
      <c r="Q109" s="109">
        <v>135</v>
      </c>
      <c r="R109" s="109">
        <v>649.978575588355</v>
      </c>
      <c r="S109" s="109">
        <v>399.030325535111</v>
      </c>
      <c r="T109" s="109">
        <v>167.298833368828</v>
      </c>
      <c r="U109" s="49">
        <v>292</v>
      </c>
      <c r="V109" s="110">
        <f>((O109+R109)*100)/N109</f>
        <v>52.855269167915</v>
      </c>
      <c r="W109" s="110">
        <f>((P109+S109)*100)/N109</f>
        <v>33.4057965625756</v>
      </c>
      <c r="X109" s="110">
        <f>((Q109+T109)*100)/N109</f>
        <v>13.7389342695094</v>
      </c>
    </row>
    <row r="110" spans="1:24" s="168" customFormat="1" ht="22.500000" customHeight="1">
      <c r="A110" s="34">
        <v>108</v>
      </c>
      <c r="B110" s="108">
        <f>C110+D110+E110+F110+G110+H110</f>
        <v>193.519876138118</v>
      </c>
      <c r="C110" s="109">
        <v>120</v>
      </c>
      <c r="D110" s="109">
        <v>8</v>
      </c>
      <c r="E110" s="109">
        <v>9</v>
      </c>
      <c r="F110" s="109">
        <v>46.3462984332566</v>
      </c>
      <c r="G110" s="109">
        <v>7.91278265933649</v>
      </c>
      <c r="H110" s="109">
        <v>2.26079504552471</v>
      </c>
      <c r="I110" s="78">
        <f>(100*B110)/N110</f>
        <v>11.3038951762873</v>
      </c>
      <c r="J110" s="110">
        <f>((C110+F110)*100)/B110</f>
        <v>85.9582497430563</v>
      </c>
      <c r="K110" s="110">
        <f>((D110+G110)*100)/B110</f>
        <v>8.22281564916842</v>
      </c>
      <c r="L110" s="110">
        <f>((E110+H110)*100)/B110</f>
        <v>5.81893460777524</v>
      </c>
      <c r="M110" s="112">
        <f>N110-B109</f>
        <v>1188.98371744715</v>
      </c>
      <c r="N110" s="108">
        <f>O110+P110+Q110+R110+S110+T110</f>
        <v>1711.97514768249</v>
      </c>
      <c r="O110" s="109">
        <v>490</v>
      </c>
      <c r="P110" s="109">
        <v>340</v>
      </c>
      <c r="Q110" s="109">
        <v>128</v>
      </c>
      <c r="R110" s="109">
        <v>377.552772602627</v>
      </c>
      <c r="S110" s="109">
        <v>258.861032712579</v>
      </c>
      <c r="T110" s="109">
        <v>117.561342367285</v>
      </c>
      <c r="U110" s="49">
        <v>217</v>
      </c>
      <c r="V110" s="110">
        <f>((O110+R110)*100)/N110</f>
        <v>50.6755471174355</v>
      </c>
      <c r="W110" s="110">
        <f>((P110+S110)*100)/N110</f>
        <v>34.9807083077847</v>
      </c>
      <c r="X110" s="110">
        <f>((Q110+T110)*100)/N110</f>
        <v>14.3437445747798</v>
      </c>
    </row>
    <row r="111" spans="1:24" s="168" customFormat="1" ht="22.500000" customHeight="1">
      <c r="A111" s="34">
        <v>109</v>
      </c>
      <c r="B111" s="108">
        <f>C111+D111+E111+F111+G111+H111</f>
        <v>5</v>
      </c>
      <c r="C111" s="109">
        <v>5</v>
      </c>
      <c r="D111" s="109">
        <v>0</v>
      </c>
      <c r="E111" s="109">
        <v>0</v>
      </c>
      <c r="F111" s="109">
        <v>0</v>
      </c>
      <c r="G111" s="109">
        <v>0</v>
      </c>
      <c r="H111" s="109">
        <v>0</v>
      </c>
      <c r="I111" s="78">
        <f>(100*B111)/N111</f>
        <v>0.435674419541303</v>
      </c>
      <c r="J111" s="110">
        <f>((C111+F111)*100)/B111</f>
        <v>100</v>
      </c>
      <c r="K111" s="110">
        <f>((D111+G111)*100)/B111</f>
        <v>0</v>
      </c>
      <c r="L111" s="110">
        <f>((E111+H111)*100)/B111</f>
        <v>0</v>
      </c>
      <c r="M111" s="112">
        <f>N111-B110</f>
        <v>954.126112640433</v>
      </c>
      <c r="N111" s="108">
        <f>O111+P111+Q111+R111+S111+T111</f>
        <v>1147.64598877855</v>
      </c>
      <c r="O111" s="109">
        <v>496</v>
      </c>
      <c r="P111" s="109">
        <v>334</v>
      </c>
      <c r="Q111" s="109">
        <v>130</v>
      </c>
      <c r="R111" s="109">
        <v>91.5621993437509</v>
      </c>
      <c r="S111" s="109">
        <v>70.0846464112661</v>
      </c>
      <c r="T111" s="109">
        <v>25.9991430235342</v>
      </c>
      <c r="U111" s="49">
        <v>167</v>
      </c>
      <c r="V111" s="110">
        <f>((O111+R111)*100)/N111</f>
        <v>51.1971640287</v>
      </c>
      <c r="W111" s="110">
        <f>((P111+S111)*100)/N111</f>
        <v>35.2098687541562</v>
      </c>
      <c r="X111" s="110">
        <f>((Q111+T111)*100)/N111</f>
        <v>13.5929672171438</v>
      </c>
    </row>
    <row r="112" spans="1:24" s="168" customFormat="1" ht="22.500000" customHeight="1">
      <c r="A112" s="34">
        <v>110</v>
      </c>
      <c r="B112" s="108">
        <f>C112+D112+E112+F112+G112+H112</f>
        <v>72.3039752276236</v>
      </c>
      <c r="C112" s="109">
        <v>53</v>
      </c>
      <c r="D112" s="109">
        <v>5</v>
      </c>
      <c r="E112" s="109">
        <v>3</v>
      </c>
      <c r="F112" s="109">
        <v>9.04318018209885</v>
      </c>
      <c r="G112" s="109">
        <v>2.26079504552471</v>
      </c>
      <c r="H112" s="109">
        <v>0</v>
      </c>
      <c r="I112" s="78">
        <f>(100*B112)/N112</f>
        <v>4.66273809435374</v>
      </c>
      <c r="J112" s="110">
        <f>((C112+F112)*100)/B112</f>
        <v>85.8088092484234</v>
      </c>
      <c r="K112" s="110">
        <f>((D112+G112)*100)/B112</f>
        <v>10.0420412884169</v>
      </c>
      <c r="L112" s="110">
        <f>((E112+H112)*100)/B112</f>
        <v>4.14914946315961</v>
      </c>
      <c r="M112" s="112">
        <f>N112-B111</f>
        <v>1545.67631431366</v>
      </c>
      <c r="N112" s="108">
        <f>O112+P112+Q112+R112+S112+T112</f>
        <v>1550.67631431366</v>
      </c>
      <c r="O112" s="109">
        <v>490</v>
      </c>
      <c r="P112" s="109">
        <v>338</v>
      </c>
      <c r="Q112" s="109">
        <v>136</v>
      </c>
      <c r="R112" s="109">
        <v>309.728921236885</v>
      </c>
      <c r="S112" s="109">
        <v>189.906783824075</v>
      </c>
      <c r="T112" s="109">
        <v>87.0406092527014</v>
      </c>
      <c r="U112" s="49">
        <v>222</v>
      </c>
      <c r="V112" s="110">
        <f>((O112+R112)*100)/N112</f>
        <v>51.5729113713103</v>
      </c>
      <c r="W112" s="110">
        <f>((P112+S112)*100)/N112</f>
        <v>34.0436478555313</v>
      </c>
      <c r="X112" s="110">
        <f>((Q112+T112)*100)/N112</f>
        <v>14.3834407731584</v>
      </c>
    </row>
    <row r="113" spans="1:24" s="168" customFormat="1" ht="22.500000" customHeight="1">
      <c r="A113" s="34">
        <v>111</v>
      </c>
      <c r="B113" s="108">
        <f>C113+D113+E113+F113+G113+H113</f>
        <v>285.519019161652</v>
      </c>
      <c r="C113" s="109">
        <v>171</v>
      </c>
      <c r="D113" s="109">
        <v>14</v>
      </c>
      <c r="E113" s="109">
        <v>18</v>
      </c>
      <c r="F113" s="109">
        <v>65.5630563202166</v>
      </c>
      <c r="G113" s="109">
        <v>10.1735777048612</v>
      </c>
      <c r="H113" s="109">
        <v>6.78238513657414</v>
      </c>
      <c r="I113" s="78">
        <f>(100*B113)/N113</f>
        <v>16.5591617763121</v>
      </c>
      <c r="J113" s="110">
        <f>((C113+F113)*100)/B113</f>
        <v>82.8536946557252</v>
      </c>
      <c r="K113" s="110">
        <f>((D113+G113)*100)/B113</f>
        <v>8.46653850795658</v>
      </c>
      <c r="L113" s="110">
        <f>((E113+H113)*100)/B113</f>
        <v>8.67976683631822</v>
      </c>
      <c r="M113" s="112">
        <f>N113-B112</f>
        <v>1651.93196750039</v>
      </c>
      <c r="N113" s="108">
        <f>O113+P113+Q113+R113+S113+T113</f>
        <v>1724.23594272802</v>
      </c>
      <c r="O113" s="109">
        <v>499</v>
      </c>
      <c r="P113" s="109">
        <v>339</v>
      </c>
      <c r="Q113" s="109">
        <v>130</v>
      </c>
      <c r="R113" s="109">
        <v>405.812710671686</v>
      </c>
      <c r="S113" s="109">
        <v>248.687455007718</v>
      </c>
      <c r="T113" s="109">
        <v>101.735777048612</v>
      </c>
      <c r="U113" s="49">
        <v>243</v>
      </c>
      <c r="V113" s="110">
        <f>((O113+R113)*100)/N113</f>
        <v>52.4761541184513</v>
      </c>
      <c r="W113" s="110">
        <f>((P113+S113)*100)/N113</f>
        <v>34.0839348284263</v>
      </c>
      <c r="X113" s="110">
        <f>((Q113+T113)*100)/N113</f>
        <v>13.4399110531224</v>
      </c>
    </row>
    <row r="114" spans="1:24" s="168" customFormat="1" ht="22.500000" customHeight="1">
      <c r="A114" s="34">
        <v>112</v>
      </c>
      <c r="B114" s="108">
        <f>C114+D114+E114+F114+G114+H114</f>
        <v>366.429230891591</v>
      </c>
      <c r="C114" s="109">
        <v>189</v>
      </c>
      <c r="D114" s="109">
        <v>2</v>
      </c>
      <c r="E114" s="109">
        <v>7</v>
      </c>
      <c r="F114" s="109">
        <v>143.560485390819</v>
      </c>
      <c r="G114" s="109">
        <v>15.8255653186729</v>
      </c>
      <c r="H114" s="109">
        <v>9.04318018209885</v>
      </c>
      <c r="I114" s="78">
        <f>(100*B114)/N114</f>
        <v>13.1684251531995</v>
      </c>
      <c r="J114" s="110">
        <f>((C114+F114)*100)/B114</f>
        <v>90.7570841391767</v>
      </c>
      <c r="K114" s="110">
        <f>((D114+G114)*100)/B114</f>
        <v>4.86466794019134</v>
      </c>
      <c r="L114" s="110">
        <f>((E114+H114)*100)/B114</f>
        <v>4.37824792063199</v>
      </c>
      <c r="M114" s="112">
        <f>N114-B113</f>
        <v>2497.11616028165</v>
      </c>
      <c r="N114" s="108">
        <f>O114+P114+Q114+R114+S114+T114</f>
        <v>2782.6351794433</v>
      </c>
      <c r="O114" s="109">
        <v>478</v>
      </c>
      <c r="P114" s="109">
        <v>338</v>
      </c>
      <c r="Q114" s="109">
        <v>132</v>
      </c>
      <c r="R114" s="109">
        <v>984.576242326012</v>
      </c>
      <c r="S114" s="109">
        <v>579.893929177089</v>
      </c>
      <c r="T114" s="109">
        <v>270.165007940203</v>
      </c>
      <c r="U114" s="49">
        <v>289</v>
      </c>
      <c r="V114" s="110">
        <f>((O114+R114)*100)/N114</f>
        <v>52.5608334549489</v>
      </c>
      <c r="W114" s="110">
        <f>((P114+S114)*100)/N114</f>
        <v>32.9864991270873</v>
      </c>
      <c r="X114" s="110">
        <f>((Q114+T114)*100)/N114</f>
        <v>14.4526674179639</v>
      </c>
    </row>
    <row r="115" spans="1:24" s="168" customFormat="1" ht="22.500000" customHeight="1">
      <c r="A115" s="34">
        <v>113</v>
      </c>
      <c r="B115" s="108">
        <f>C115+D115+E115+F115+G115+H115</f>
        <v>4</v>
      </c>
      <c r="C115" s="109">
        <v>4</v>
      </c>
      <c r="D115" s="109">
        <v>0</v>
      </c>
      <c r="E115" s="109">
        <v>0</v>
      </c>
      <c r="F115" s="109">
        <v>0</v>
      </c>
      <c r="G115" s="109">
        <v>0</v>
      </c>
      <c r="H115" s="109">
        <v>0</v>
      </c>
      <c r="I115" s="78">
        <f>(100*B115)/N115</f>
        <v>0.409307323109556</v>
      </c>
      <c r="J115" s="110">
        <f>((C115+F115)*100)/B115</f>
        <v>100</v>
      </c>
      <c r="K115" s="110">
        <f>((D115+G115)*100)/B115</f>
        <v>0</v>
      </c>
      <c r="L115" s="110">
        <f>((E115+H115)*100)/B115</f>
        <v>0</v>
      </c>
      <c r="M115" s="112">
        <f>N115-B114</f>
        <v>610.831564153934</v>
      </c>
      <c r="N115" s="108">
        <f>O115+P115+Q115+R115+S115+T115</f>
        <v>977.260795045525</v>
      </c>
      <c r="O115" s="109">
        <v>487</v>
      </c>
      <c r="P115" s="109">
        <v>351</v>
      </c>
      <c r="Q115" s="109">
        <v>137</v>
      </c>
      <c r="R115" s="109">
        <v>0</v>
      </c>
      <c r="S115" s="109">
        <v>2.26079504552471</v>
      </c>
      <c r="T115" s="109">
        <v>0</v>
      </c>
      <c r="U115" s="49">
        <v>162</v>
      </c>
      <c r="V115" s="110">
        <f>((O115+R115)*100)/N115</f>
        <v>49.8331665885884</v>
      </c>
      <c r="W115" s="110">
        <f>((P115+S115)*100)/N115</f>
        <v>36.1480575949093</v>
      </c>
      <c r="X115" s="110">
        <f>((Q115+T115)*100)/N115</f>
        <v>14.0187758165023</v>
      </c>
    </row>
    <row r="116" spans="1:24" s="168" customFormat="1" ht="22.500000" customHeight="1">
      <c r="A116" s="34">
        <v>114</v>
      </c>
      <c r="B116" s="108">
        <f>C116+D116+E116+F116+G116+H116</f>
        <v>43.1735777048612</v>
      </c>
      <c r="C116" s="109">
        <v>28</v>
      </c>
      <c r="D116" s="109">
        <v>3</v>
      </c>
      <c r="E116" s="109">
        <v>2</v>
      </c>
      <c r="F116" s="109">
        <v>10.1735777048612</v>
      </c>
      <c r="G116" s="109">
        <v>0</v>
      </c>
      <c r="H116" s="109">
        <v>0</v>
      </c>
      <c r="I116" s="78">
        <f>(100*B116)/N116</f>
        <v>3.10740253583159</v>
      </c>
      <c r="J116" s="110">
        <f>((C116+F116)*100)/B116</f>
        <v>88.4188425750108</v>
      </c>
      <c r="K116" s="110">
        <f>((D116+G116)*100)/B116</f>
        <v>6.9486944549935</v>
      </c>
      <c r="L116" s="110">
        <f>((E116+H116)*100)/B116</f>
        <v>4.63246296999567</v>
      </c>
      <c r="M116" s="112">
        <f>N116-B115</f>
        <v>1385.3783379213</v>
      </c>
      <c r="N116" s="108">
        <f>O116+P116+Q116+R116+S116+T116</f>
        <v>1389.3783379213</v>
      </c>
      <c r="O116" s="109">
        <v>493</v>
      </c>
      <c r="P116" s="109">
        <v>363</v>
      </c>
      <c r="Q116" s="109">
        <v>140</v>
      </c>
      <c r="R116" s="109">
        <v>222.688311984184</v>
      </c>
      <c r="S116" s="109">
        <v>113.039752276235</v>
      </c>
      <c r="T116" s="109">
        <v>57.6502736608802</v>
      </c>
      <c r="U116" s="49">
        <v>190</v>
      </c>
      <c r="V116" s="110">
        <f>((O116+R116)*100)/N116</f>
        <v>51.5114056733425</v>
      </c>
      <c r="W116" s="110">
        <f>((P116+S116)*100)/N116</f>
        <v>34.2627878442711</v>
      </c>
      <c r="X116" s="110">
        <f>((Q116+T116)*100)/N116</f>
        <v>14.2258064823864</v>
      </c>
    </row>
    <row r="117" spans="1:24" s="168" customFormat="1" ht="22.500000" customHeight="1">
      <c r="A117" s="34">
        <v>115</v>
      </c>
      <c r="B117" s="108">
        <f>C117+D117+E117+F117+G117+H117</f>
        <v>341.340299597996</v>
      </c>
      <c r="C117" s="109">
        <v>34</v>
      </c>
      <c r="D117" s="109">
        <v>45</v>
      </c>
      <c r="E117" s="109">
        <v>34</v>
      </c>
      <c r="F117" s="109">
        <v>94.9533919120379</v>
      </c>
      <c r="G117" s="109">
        <v>92.6925968665132</v>
      </c>
      <c r="H117" s="109">
        <v>40.6943108194448</v>
      </c>
      <c r="I117" s="78">
        <f>(100*B117)/N117</f>
        <v>10.158517926042</v>
      </c>
      <c r="J117" s="110">
        <f>((C117+F117)*100)/B117</f>
        <v>37.7785430152576</v>
      </c>
      <c r="K117" s="110">
        <f>((D117+G117)*100)/B117</f>
        <v>40.338804714438</v>
      </c>
      <c r="L117" s="110">
        <f>((E117+H117)*100)/B117</f>
        <v>21.8826522703044</v>
      </c>
      <c r="M117" s="112">
        <f>N117-B116</f>
        <v>3316.96519532371</v>
      </c>
      <c r="N117" s="108">
        <f>O117+P117+Q117+R117+S117+T117</f>
        <v>3360.13877302857</v>
      </c>
      <c r="O117" s="109">
        <v>499</v>
      </c>
      <c r="P117" s="109">
        <v>328</v>
      </c>
      <c r="Q117" s="109">
        <v>148</v>
      </c>
      <c r="R117" s="109">
        <v>1357.60742483759</v>
      </c>
      <c r="S117" s="109">
        <v>692.933681453324</v>
      </c>
      <c r="T117" s="109">
        <v>334.597666737657</v>
      </c>
      <c r="U117" s="49">
        <v>332</v>
      </c>
      <c r="V117" s="110">
        <f>((O117+R117)*100)/N117</f>
        <v>55.2538912898584</v>
      </c>
      <c r="W117" s="110">
        <f>((P117+S117)*100)/N117</f>
        <v>30.3836761043394</v>
      </c>
      <c r="X117" s="110">
        <f>((Q117+T117)*100)/N117</f>
        <v>14.3624326058022</v>
      </c>
    </row>
    <row r="118" spans="1:24" s="168" customFormat="1" ht="22.500000" customHeight="1">
      <c r="A118" s="34">
        <v>116</v>
      </c>
      <c r="B118" s="108">
        <f>C118+D118+E118+F118+G118+H118</f>
        <v>48.5215900910494</v>
      </c>
      <c r="C118" s="109">
        <v>42</v>
      </c>
      <c r="D118" s="109">
        <v>0</v>
      </c>
      <c r="E118" s="109">
        <v>2</v>
      </c>
      <c r="F118" s="109">
        <v>3.39119256828707</v>
      </c>
      <c r="G118" s="109">
        <v>0</v>
      </c>
      <c r="H118" s="109">
        <v>1.13039752276235</v>
      </c>
      <c r="I118" s="78">
        <f>(100*B118)/N118</f>
        <v>3.57030959349228</v>
      </c>
      <c r="J118" s="110">
        <f>((C118+F118)*100)/B118</f>
        <v>93.5484440701794</v>
      </c>
      <c r="K118" s="110">
        <f>((D118+G118)*100)/B118</f>
        <v>0</v>
      </c>
      <c r="L118" s="110">
        <f>((E118+H118)*100)/B118</f>
        <v>6.45155592982061</v>
      </c>
      <c r="M118" s="112">
        <f>N118-B117</f>
        <v>1017.69002593712</v>
      </c>
      <c r="N118" s="108">
        <f>O118+P118+Q118+R118+S118+T118</f>
        <v>1359.03032553511</v>
      </c>
      <c r="O118" s="109">
        <v>484</v>
      </c>
      <c r="P118" s="109">
        <v>331</v>
      </c>
      <c r="Q118" s="109">
        <v>145</v>
      </c>
      <c r="R118" s="109">
        <v>210.253939233798</v>
      </c>
      <c r="S118" s="109">
        <v>128.865317594908</v>
      </c>
      <c r="T118" s="109">
        <v>59.9110687064049</v>
      </c>
      <c r="U118" s="49">
        <v>188</v>
      </c>
      <c r="V118" s="110">
        <f>((O118+R118)*100)/N118</f>
        <v>51.0845068126378</v>
      </c>
      <c r="W118" s="110">
        <f>((P118+S118)*100)/N118</f>
        <v>33.8377524735394</v>
      </c>
      <c r="X118" s="110">
        <f>((Q118+T118)*100)/N118</f>
        <v>15.0777407138227</v>
      </c>
    </row>
    <row r="119" spans="1:24" s="168" customFormat="1" ht="22.500000" customHeight="1">
      <c r="A119" s="34">
        <v>117</v>
      </c>
      <c r="B119" s="108">
        <f>C119+D119+E119+F119+G119+H119</f>
        <v>138.259938069059</v>
      </c>
      <c r="C119" s="109">
        <v>15</v>
      </c>
      <c r="D119" s="109">
        <v>45</v>
      </c>
      <c r="E119" s="109">
        <v>50</v>
      </c>
      <c r="F119" s="109">
        <v>10.1735777048612</v>
      </c>
      <c r="G119" s="109">
        <v>4.52159009104942</v>
      </c>
      <c r="H119" s="109">
        <v>13.5647702731482</v>
      </c>
      <c r="I119" s="78">
        <f>(100*B119)/N119</f>
        <v>12.2798743248946</v>
      </c>
      <c r="J119" s="110">
        <f>((C119+F119)*100)/B119</f>
        <v>18.2074272970435</v>
      </c>
      <c r="K119" s="110">
        <f>((D119+G119)*100)/B119</f>
        <v>35.8177435797158</v>
      </c>
      <c r="L119" s="110">
        <f>((E119+H119)*100)/B119</f>
        <v>45.9748291232407</v>
      </c>
      <c r="M119" s="112">
        <f>N119-B118</f>
        <v>1077.38519373303</v>
      </c>
      <c r="N119" s="108">
        <f>O119+P119+Q119+R119+S119+T119</f>
        <v>1125.90678382408</v>
      </c>
      <c r="O119" s="109">
        <v>501</v>
      </c>
      <c r="P119" s="109">
        <v>316</v>
      </c>
      <c r="Q119" s="109">
        <v>119</v>
      </c>
      <c r="R119" s="109">
        <v>119.822137412809</v>
      </c>
      <c r="S119" s="109">
        <v>48.6070934787813</v>
      </c>
      <c r="T119" s="109">
        <v>21.4775529324847</v>
      </c>
      <c r="U119" s="49">
        <v>171</v>
      </c>
      <c r="V119" s="110">
        <f>((O119+R119)*100)/N119</f>
        <v>55.139745699393</v>
      </c>
      <c r="W119" s="110">
        <f>((P119+S119)*100)/N119</f>
        <v>32.383417412267</v>
      </c>
      <c r="X119" s="110">
        <f>((Q119+T119)*100)/N119</f>
        <v>12.47683688834</v>
      </c>
    </row>
    <row r="120" spans="1:24" s="168" customFormat="1" ht="22.500000" customHeight="1">
      <c r="A120" s="34">
        <v>118</v>
      </c>
      <c r="B120" s="108">
        <f>C120+D120+E120+F120+G120+H120</f>
        <v>298.041466229167</v>
      </c>
      <c r="C120" s="109">
        <v>199</v>
      </c>
      <c r="D120" s="109">
        <v>13</v>
      </c>
      <c r="E120" s="109">
        <v>25</v>
      </c>
      <c r="F120" s="109">
        <v>48.6070934787813</v>
      </c>
      <c r="G120" s="109">
        <v>7.91278265933649</v>
      </c>
      <c r="H120" s="109">
        <v>4.52159009104942</v>
      </c>
      <c r="I120" s="78">
        <f>(100*B120)/N120</f>
        <v>21.953676141209</v>
      </c>
      <c r="J120" s="110">
        <f>((C120+F120)*100)/B120</f>
        <v>83.0780685021841</v>
      </c>
      <c r="K120" s="110">
        <f>((D120+G120)*100)/B120</f>
        <v>7.01673593407182</v>
      </c>
      <c r="L120" s="110">
        <f>((E120+H120)*100)/B120</f>
        <v>9.90519556374413</v>
      </c>
      <c r="M120" s="112">
        <f>N120-B119</f>
        <v>1219.3325868098</v>
      </c>
      <c r="N120" s="108">
        <f>O120+P120+Q120+R120+S120+T120</f>
        <v>1357.59252487886</v>
      </c>
      <c r="O120" s="109">
        <v>463</v>
      </c>
      <c r="P120" s="109">
        <v>306</v>
      </c>
      <c r="Q120" s="109">
        <v>98</v>
      </c>
      <c r="R120" s="109">
        <v>291.642560872688</v>
      </c>
      <c r="S120" s="109">
        <v>148.082075481868</v>
      </c>
      <c r="T120" s="109">
        <v>50.867888524306</v>
      </c>
      <c r="U120" s="49">
        <v>215</v>
      </c>
      <c r="V120" s="110">
        <f>((O120+R120)*100)/N120</f>
        <v>55.5868235161375</v>
      </c>
      <c r="W120" s="110">
        <f>((P120+S120)*100)/N120</f>
        <v>33.4475969158998</v>
      </c>
      <c r="X120" s="110">
        <f>((Q120+T120)*100)/N120</f>
        <v>10.9655795679627</v>
      </c>
    </row>
    <row r="121" spans="1:24" s="168" customFormat="1" ht="22.500000" customHeight="1">
      <c r="A121" s="34">
        <v>119</v>
      </c>
      <c r="B121" s="108">
        <f>C121+D121+E121+F121+G121+H121</f>
        <v>35.8255653186729</v>
      </c>
      <c r="C121" s="109">
        <v>16</v>
      </c>
      <c r="D121" s="109">
        <v>1</v>
      </c>
      <c r="E121" s="109">
        <v>3</v>
      </c>
      <c r="F121" s="109">
        <v>13.5647702731482</v>
      </c>
      <c r="G121" s="109">
        <v>1.13039752276235</v>
      </c>
      <c r="H121" s="109">
        <v>1.13039752276235</v>
      </c>
      <c r="I121" s="78">
        <f>(100*B121)/N121</f>
        <v>2.60067706692133</v>
      </c>
      <c r="J121" s="110">
        <f>((C121+F121)*100)/B121</f>
        <v>82.5242253964895</v>
      </c>
      <c r="K121" s="110">
        <f>((D121+G121)*100)/B121</f>
        <v>5.94658452368357</v>
      </c>
      <c r="L121" s="110">
        <f>((E121+H121)*100)/B121</f>
        <v>11.5291900798269</v>
      </c>
      <c r="M121" s="112">
        <f>N121-B120</f>
        <v>1079.50616451466</v>
      </c>
      <c r="N121" s="108">
        <f>O121+P121+Q121+R121+S121+T121</f>
        <v>1377.54763074383</v>
      </c>
      <c r="O121" s="109">
        <v>453</v>
      </c>
      <c r="P121" s="109">
        <v>292</v>
      </c>
      <c r="Q121" s="109">
        <v>99</v>
      </c>
      <c r="R121" s="109">
        <v>335.728064260419</v>
      </c>
      <c r="S121" s="109">
        <v>140.169292822532</v>
      </c>
      <c r="T121" s="109">
        <v>57.6502736608802</v>
      </c>
      <c r="U121" s="49">
        <v>191</v>
      </c>
      <c r="V121" s="110">
        <f>((O121+R121)*100)/N121</f>
        <v>57.255955921795</v>
      </c>
      <c r="W121" s="110">
        <f>((P121+S121)*100)/N121</f>
        <v>31.3723666011588</v>
      </c>
      <c r="X121" s="110">
        <f>((Q121+T121)*100)/N121</f>
        <v>11.3716774770462</v>
      </c>
    </row>
    <row r="122" spans="1:24" s="168" customFormat="1" ht="22.500000" customHeight="1">
      <c r="A122" s="34">
        <v>120</v>
      </c>
      <c r="B122" s="108">
        <f>C122+D122+E122+F122+G122+H122</f>
        <v>732.766959560189</v>
      </c>
      <c r="C122" s="109">
        <v>205</v>
      </c>
      <c r="D122" s="109">
        <v>23</v>
      </c>
      <c r="E122" s="109">
        <v>30</v>
      </c>
      <c r="F122" s="109">
        <v>412.59509580826</v>
      </c>
      <c r="G122" s="109">
        <v>31.6511306373459</v>
      </c>
      <c r="H122" s="109">
        <v>30.5207331145836</v>
      </c>
      <c r="I122" s="78">
        <f>(100*B122)/N122</f>
        <v>27.1821987598475</v>
      </c>
      <c r="J122" s="110">
        <f>((C122+F122)*100)/B122</f>
        <v>84.2826068712137</v>
      </c>
      <c r="K122" s="110">
        <f>((D122+G122)*100)/B122</f>
        <v>7.45818707084553</v>
      </c>
      <c r="L122" s="110">
        <f>((E122+H122)*100)/B122</f>
        <v>8.25920605794078</v>
      </c>
      <c r="M122" s="112">
        <f>N122-B121</f>
        <v>2659.9348697886</v>
      </c>
      <c r="N122" s="108">
        <f>O122+P122+Q122+R122+S122+T122</f>
        <v>2695.76043510727</v>
      </c>
      <c r="O122" s="109">
        <v>375</v>
      </c>
      <c r="P122" s="109">
        <v>252</v>
      </c>
      <c r="Q122" s="109">
        <v>77</v>
      </c>
      <c r="R122" s="109">
        <v>1171.0918335818</v>
      </c>
      <c r="S122" s="109">
        <v>611.545059814435</v>
      </c>
      <c r="T122" s="109">
        <v>209.123541711036</v>
      </c>
      <c r="U122" s="49">
        <v>341</v>
      </c>
      <c r="V122" s="110">
        <f>((O122+R122)*100)/N122</f>
        <v>57.3527162668769</v>
      </c>
      <c r="W122" s="110">
        <f>((P122+S122)*100)/N122</f>
        <v>32.0334495813636</v>
      </c>
      <c r="X122" s="110">
        <f>((Q122+T122)*100)/N122</f>
        <v>10.6138341517595</v>
      </c>
    </row>
    <row r="123" spans="1:24" s="168" customFormat="1" ht="22.500000" customHeight="1">
      <c r="A123" s="34">
        <v>121</v>
      </c>
      <c r="B123" s="108">
        <f>C123+D123+E123+F123+G123+H123</f>
        <v>191.21675788696</v>
      </c>
      <c r="C123" s="109">
        <v>159</v>
      </c>
      <c r="D123" s="109">
        <v>8</v>
      </c>
      <c r="E123" s="109">
        <v>5</v>
      </c>
      <c r="F123" s="109">
        <v>16.9559628414353</v>
      </c>
      <c r="G123" s="109">
        <v>2.26079504552471</v>
      </c>
      <c r="H123" s="109">
        <v>0</v>
      </c>
      <c r="I123" s="78">
        <f>(100*B123)/N123</f>
        <v>17.0479879280264</v>
      </c>
      <c r="J123" s="110">
        <f>((C123+F123)*100)/B123</f>
        <v>92.0191121248137</v>
      </c>
      <c r="K123" s="110">
        <f>((D123+G123)*100)/B123</f>
        <v>5.36605429299795</v>
      </c>
      <c r="L123" s="110">
        <f>((E123+H123)*100)/B123</f>
        <v>2.61483358218834</v>
      </c>
      <c r="M123" s="112">
        <f>N123-B122</f>
        <v>388.871316430169</v>
      </c>
      <c r="N123" s="108">
        <f>O123+P123+Q123+R123+S123+T123</f>
        <v>1121.63827599036</v>
      </c>
      <c r="O123" s="109">
        <v>381</v>
      </c>
      <c r="P123" s="109">
        <v>245</v>
      </c>
      <c r="Q123" s="109">
        <v>74</v>
      </c>
      <c r="R123" s="109">
        <v>222.688311984184</v>
      </c>
      <c r="S123" s="109">
        <v>144.690882913581</v>
      </c>
      <c r="T123" s="109">
        <v>54.2590810925931</v>
      </c>
      <c r="U123" s="49">
        <v>231</v>
      </c>
      <c r="V123" s="110">
        <f>((O123+R123)*100)/N123</f>
        <v>53.8220141828838</v>
      </c>
      <c r="W123" s="110">
        <f>((P123+S123)*100)/N123</f>
        <v>34.743008620092</v>
      </c>
      <c r="X123" s="110">
        <f>((Q123+T123)*100)/N123</f>
        <v>11.4349771970242</v>
      </c>
    </row>
    <row r="124" spans="1:24" s="168" customFormat="1" ht="22.500000" customHeight="1">
      <c r="A124" s="34">
        <v>122</v>
      </c>
      <c r="B124" s="108">
        <f>C124+D124+E124+F124+G124+H124</f>
        <v>20</v>
      </c>
      <c r="C124" s="109">
        <v>20</v>
      </c>
      <c r="D124" s="109">
        <v>0</v>
      </c>
      <c r="E124" s="109">
        <v>0</v>
      </c>
      <c r="F124" s="109">
        <v>0</v>
      </c>
      <c r="G124" s="109">
        <v>0</v>
      </c>
      <c r="H124" s="109">
        <v>0</v>
      </c>
      <c r="I124" s="78">
        <f>(100*B124)/N124</f>
        <v>2.75267957080841</v>
      </c>
      <c r="J124" s="110">
        <f>((C124+F124)*100)/B124</f>
        <v>100</v>
      </c>
      <c r="K124" s="110">
        <f>((D124+G124)*100)/B124</f>
        <v>0</v>
      </c>
      <c r="L124" s="110">
        <f>((E124+H124)*100)/B124</f>
        <v>0</v>
      </c>
      <c r="M124" s="112">
        <f>N124-B123</f>
        <v>535.348012386188</v>
      </c>
      <c r="N124" s="108">
        <f>O124+P124+Q124+R124+S124+T124</f>
        <v>726.564770273148</v>
      </c>
      <c r="O124" s="109">
        <v>379</v>
      </c>
      <c r="P124" s="109">
        <v>254</v>
      </c>
      <c r="Q124" s="109">
        <v>80</v>
      </c>
      <c r="R124" s="109">
        <v>11.3039752276235</v>
      </c>
      <c r="S124" s="109">
        <v>2.26079504552471</v>
      </c>
      <c r="T124" s="109">
        <v>0</v>
      </c>
      <c r="U124" s="49">
        <v>137</v>
      </c>
      <c r="V124" s="110">
        <f>((O124+R124)*100)/N124</f>
        <v>53.7190889507195</v>
      </c>
      <c r="W124" s="110">
        <f>((P124+S124)*100)/N124</f>
        <v>35.2701927660468</v>
      </c>
      <c r="X124" s="110">
        <f>((Q124+T124)*100)/N124</f>
        <v>11.0107182832336</v>
      </c>
    </row>
    <row r="125" spans="1:24" s="168" customFormat="1" ht="22.500000" customHeight="1">
      <c r="A125" s="34">
        <v>123</v>
      </c>
      <c r="B125" s="108">
        <f>C125+D125+E125+F125+G125+H125</f>
        <v>6</v>
      </c>
      <c r="C125" s="109">
        <v>6</v>
      </c>
      <c r="D125" s="109">
        <v>0</v>
      </c>
      <c r="E125" s="109">
        <v>0</v>
      </c>
      <c r="F125" s="109">
        <v>0</v>
      </c>
      <c r="G125" s="109">
        <v>0</v>
      </c>
      <c r="H125" s="109">
        <v>0</v>
      </c>
      <c r="I125" s="78">
        <f>(100*B125)/N125</f>
        <v>0.789745577009319</v>
      </c>
      <c r="J125" s="110">
        <f>((C125+F125)*100)/B125</f>
        <v>100</v>
      </c>
      <c r="K125" s="110">
        <f>((D125+G125)*100)/B125</f>
        <v>0</v>
      </c>
      <c r="L125" s="110">
        <f>((E125+H125)*100)/B125</f>
        <v>0</v>
      </c>
      <c r="M125" s="112">
        <f>N125-B124</f>
        <v>739.738347978009</v>
      </c>
      <c r="N125" s="108">
        <f>O125+P125+Q125+R125+S125+T125</f>
        <v>759.738347978009</v>
      </c>
      <c r="O125" s="109">
        <v>396</v>
      </c>
      <c r="P125" s="109">
        <v>258</v>
      </c>
      <c r="Q125" s="109">
        <v>82</v>
      </c>
      <c r="R125" s="109">
        <v>19.21675788696</v>
      </c>
      <c r="S125" s="109">
        <v>2.26079504552471</v>
      </c>
      <c r="T125" s="109">
        <v>2.26079504552471</v>
      </c>
      <c r="U125" s="49">
        <v>135</v>
      </c>
      <c r="V125" s="110">
        <f>((O125+R125)*100)/N125</f>
        <v>54.6525996735627</v>
      </c>
      <c r="W125" s="110">
        <f>((P125+S125)*100)/N125</f>
        <v>34.2566352926887</v>
      </c>
      <c r="X125" s="110">
        <f>((Q125+T125)*100)/N125</f>
        <v>11.0907650337487</v>
      </c>
    </row>
    <row r="126" spans="1:24" s="168" customFormat="1" ht="22.500000" customHeight="1">
      <c r="A126" s="34">
        <v>124</v>
      </c>
      <c r="B126" s="108">
        <f>C126+D126+E126+F126+G126+H126</f>
        <v>1168.83960830093</v>
      </c>
      <c r="C126" s="109">
        <v>221</v>
      </c>
      <c r="D126" s="109">
        <v>26</v>
      </c>
      <c r="E126" s="109">
        <v>13</v>
      </c>
      <c r="F126" s="109">
        <v>500.766102583724</v>
      </c>
      <c r="G126" s="109">
        <v>149.212473004631</v>
      </c>
      <c r="H126" s="109">
        <v>258.861032712579</v>
      </c>
      <c r="I126" s="78">
        <f>(100*B126)/N126</f>
        <v>44.2039756681267</v>
      </c>
      <c r="J126" s="110">
        <f>((C126+F126)*100)/B126</f>
        <v>61.75065402112</v>
      </c>
      <c r="K126" s="110">
        <f>((D126+G126)*100)/B126</f>
        <v>14.9902922317396</v>
      </c>
      <c r="L126" s="110">
        <f>((E126+H126)*100)/B126</f>
        <v>23.2590537471404</v>
      </c>
      <c r="M126" s="112">
        <f>N126-B125</f>
        <v>2638.19566483412</v>
      </c>
      <c r="N126" s="108">
        <f>O126+P126+Q126+R126+S126+T126</f>
        <v>2644.19566483412</v>
      </c>
      <c r="O126" s="109">
        <v>364</v>
      </c>
      <c r="P126" s="109">
        <v>233</v>
      </c>
      <c r="Q126" s="109">
        <v>69</v>
      </c>
      <c r="R126" s="109">
        <v>1149.61428064931</v>
      </c>
      <c r="S126" s="109">
        <v>617.197047428246</v>
      </c>
      <c r="T126" s="109">
        <v>211.38433675656</v>
      </c>
      <c r="U126" s="49">
        <v>313</v>
      </c>
      <c r="V126" s="110">
        <f>((O126+R126)*100)/N126</f>
        <v>57.2429000160344</v>
      </c>
      <c r="W126" s="110">
        <f>((P126+S126)*100)/N126</f>
        <v>32.1533333835786</v>
      </c>
      <c r="X126" s="110">
        <f>((Q126+T126)*100)/N126</f>
        <v>10.603766600387</v>
      </c>
    </row>
    <row r="127" spans="1:24" s="168" customFormat="1" ht="22.500000" customHeight="1">
      <c r="A127" s="34">
        <v>125</v>
      </c>
      <c r="B127" s="108">
        <f>C127+D127+E127+F127+G127+H127</f>
        <v>13</v>
      </c>
      <c r="C127" s="109">
        <v>10</v>
      </c>
      <c r="D127" s="109">
        <v>3</v>
      </c>
      <c r="E127" s="109">
        <v>0</v>
      </c>
      <c r="F127" s="109">
        <v>0</v>
      </c>
      <c r="G127" s="109">
        <v>0</v>
      </c>
      <c r="H127" s="109">
        <v>0</v>
      </c>
      <c r="I127" s="78">
        <f>(100*B127)/N127</f>
        <v>1.84579392666335</v>
      </c>
      <c r="J127" s="110">
        <f>((C127+F127)*100)/B127</f>
        <v>76.9230769230769</v>
      </c>
      <c r="K127" s="110">
        <f>((D127+G127)*100)/B127</f>
        <v>23.0769230769231</v>
      </c>
      <c r="L127" s="110">
        <f>((E127+H127)*100)/B127</f>
        <v>0</v>
      </c>
      <c r="M127" s="112">
        <f>N127-B126</f>
        <v>-464.53563307331</v>
      </c>
      <c r="N127" s="108">
        <f>O127+P127+Q127+R127+S127+T127</f>
        <v>704.303975227624</v>
      </c>
      <c r="O127" s="109">
        <v>376</v>
      </c>
      <c r="P127" s="109">
        <v>241</v>
      </c>
      <c r="Q127" s="109">
        <v>76</v>
      </c>
      <c r="R127" s="109">
        <v>9.04318018209885</v>
      </c>
      <c r="S127" s="109">
        <v>2.26079504552471</v>
      </c>
      <c r="T127" s="109">
        <v>0</v>
      </c>
      <c r="U127" s="49">
        <v>140</v>
      </c>
      <c r="V127" s="110">
        <f>((O127+R127)*100)/N127</f>
        <v>54.6700279602507</v>
      </c>
      <c r="W127" s="110">
        <f>((P127+S127)*100)/N127</f>
        <v>34.539176776179</v>
      </c>
      <c r="X127" s="110">
        <f>((Q127+T127)*100)/N127</f>
        <v>10.7907952635703</v>
      </c>
    </row>
    <row r="128" spans="1:24" s="168" customFormat="1" ht="22.500000" customHeight="1">
      <c r="A128" s="34">
        <v>126</v>
      </c>
      <c r="B128" s="108">
        <f>C128+D128+E128+F128+G128+H128</f>
        <v>0</v>
      </c>
      <c r="C128" s="109">
        <v>0</v>
      </c>
      <c r="D128" s="109">
        <v>0</v>
      </c>
      <c r="E128" s="109">
        <v>0</v>
      </c>
      <c r="F128" s="109">
        <v>0</v>
      </c>
      <c r="G128" s="109">
        <v>0</v>
      </c>
      <c r="H128" s="109">
        <v>0</v>
      </c>
      <c r="I128" s="78">
        <f>(100*B128)/N128</f>
        <v>0</v>
      </c>
      <c r="J128" s="110" t="e">
        <f>((C128+F128)*100)/B128</f>
        <v>#DIV/0!</v>
      </c>
      <c r="K128" s="110" t="e">
        <f>((D128+G128)*100)/B128</f>
        <v>#DIV/0!</v>
      </c>
      <c r="L128" s="110" t="e">
        <f>((E128+H128)*100)/B128</f>
        <v>#DIV/0!</v>
      </c>
      <c r="M128" s="112">
        <f>N128-B127</f>
        <v>700</v>
      </c>
      <c r="N128" s="108">
        <f>O128+P128+Q128+R128+S128+T128</f>
        <v>713</v>
      </c>
      <c r="O128" s="109">
        <v>384</v>
      </c>
      <c r="P128" s="109">
        <v>247</v>
      </c>
      <c r="Q128" s="109">
        <v>82</v>
      </c>
      <c r="R128" s="109">
        <v>0</v>
      </c>
      <c r="S128" s="109">
        <v>0</v>
      </c>
      <c r="T128" s="109">
        <v>0</v>
      </c>
      <c r="U128" s="49">
        <v>132</v>
      </c>
      <c r="V128" s="110">
        <f>((O128+R128)*100)/N128</f>
        <v>53.8569424964937</v>
      </c>
      <c r="W128" s="110">
        <f>((P128+S128)*100)/N128</f>
        <v>34.6423562412342</v>
      </c>
      <c r="X128" s="110">
        <f>((Q128+T128)*100)/N128</f>
        <v>11.5007012622721</v>
      </c>
    </row>
    <row r="129" spans="1:24" s="168" customFormat="1" ht="22.500000" customHeight="1">
      <c r="A129" s="34">
        <v>127</v>
      </c>
      <c r="B129" s="108">
        <f>C129+D129+E129+F129+G129+H129</f>
        <v>48.7823851365741</v>
      </c>
      <c r="C129" s="109">
        <v>23</v>
      </c>
      <c r="D129" s="109">
        <v>3</v>
      </c>
      <c r="E129" s="109">
        <v>16</v>
      </c>
      <c r="F129" s="109">
        <v>3.39119256828707</v>
      </c>
      <c r="G129" s="109">
        <v>0</v>
      </c>
      <c r="H129" s="109">
        <v>3.39119256828707</v>
      </c>
      <c r="I129" s="78">
        <f>(100*B129)/N129</f>
        <v>5.95446401744204</v>
      </c>
      <c r="J129" s="110">
        <f>((C129+F129)*100)/B129</f>
        <v>54.0998405354734</v>
      </c>
      <c r="K129" s="110">
        <f>((D129+G129)*100)/B129</f>
        <v>6.14976080321005</v>
      </c>
      <c r="L129" s="110">
        <f>((E129+H129)*100)/B129</f>
        <v>39.7503986613166</v>
      </c>
      <c r="M129" s="112">
        <f>N129-B128</f>
        <v>819.257367139661</v>
      </c>
      <c r="N129" s="108">
        <f>O129+P129+Q129+R129+S129+T129</f>
        <v>819.257367139661</v>
      </c>
      <c r="O129" s="109">
        <v>382</v>
      </c>
      <c r="P129" s="109">
        <v>248</v>
      </c>
      <c r="Q129" s="109">
        <v>83</v>
      </c>
      <c r="R129" s="109">
        <v>57.6502736608802</v>
      </c>
      <c r="S129" s="109">
        <v>29.3903355918212</v>
      </c>
      <c r="T129" s="109">
        <v>19.21675788696</v>
      </c>
      <c r="U129" s="49">
        <v>146</v>
      </c>
      <c r="V129" s="110">
        <f>((O129+R129)*100)/N129</f>
        <v>53.6644882664731</v>
      </c>
      <c r="W129" s="110">
        <f>((P129+S129)*100)/N129</f>
        <v>33.8587538810052</v>
      </c>
      <c r="X129" s="110">
        <f>((Q129+T129)*100)/N129</f>
        <v>12.4767578525217</v>
      </c>
    </row>
    <row r="130" spans="1:24" s="168" customFormat="1" ht="22.500000" customHeight="1">
      <c r="A130" s="34">
        <v>128</v>
      </c>
      <c r="B130" s="108">
        <f>C130+D130+E130+F130+G130+H130</f>
        <v>172.606236502315</v>
      </c>
      <c r="C130" s="109">
        <v>89</v>
      </c>
      <c r="D130" s="109">
        <v>3</v>
      </c>
      <c r="E130" s="109">
        <v>6</v>
      </c>
      <c r="F130" s="109">
        <v>68.9542488885037</v>
      </c>
      <c r="G130" s="109">
        <v>4.52159009104942</v>
      </c>
      <c r="H130" s="109">
        <v>1.13039752276235</v>
      </c>
      <c r="I130" s="78">
        <f>(100*B130)/N130</f>
        <v>9.23304999621457</v>
      </c>
      <c r="J130" s="110">
        <f>((C130+F130)*100)/B130</f>
        <v>91.5113220062502</v>
      </c>
      <c r="K130" s="110">
        <f>((D130+G130)*100)/B130</f>
        <v>4.35765835781288</v>
      </c>
      <c r="L130" s="110">
        <f>((E130+H130)*100)/B130</f>
        <v>4.13101963593691</v>
      </c>
      <c r="M130" s="112">
        <f>N130-B129</f>
        <v>1820.65660385495</v>
      </c>
      <c r="N130" s="108">
        <f>O130+P130+Q130+R130+S130+T130</f>
        <v>1869.43898899152</v>
      </c>
      <c r="O130" s="109">
        <v>350</v>
      </c>
      <c r="P130" s="109">
        <v>244</v>
      </c>
      <c r="Q130" s="109">
        <v>84</v>
      </c>
      <c r="R130" s="109">
        <v>700.846464112661</v>
      </c>
      <c r="S130" s="109">
        <v>343.640846919756</v>
      </c>
      <c r="T130" s="109">
        <v>146.951677959106</v>
      </c>
      <c r="U130" s="49">
        <v>224</v>
      </c>
      <c r="V130" s="110">
        <f>((O130+R130)*100)/N130</f>
        <v>56.2118619703949</v>
      </c>
      <c r="W130" s="110">
        <f>((P130+S130)*100)/N130</f>
        <v>31.434074627745</v>
      </c>
      <c r="X130" s="110">
        <f>((Q130+T130)*100)/N130</f>
        <v>12.3540634018601</v>
      </c>
    </row>
    <row r="131" spans="1:24" s="168" customFormat="1" ht="22.500000" customHeight="1">
      <c r="A131" s="34">
        <v>129</v>
      </c>
      <c r="B131" s="108">
        <f>C131+D131+E131+F131+G131+H131</f>
        <v>78.3471554097224</v>
      </c>
      <c r="C131" s="109">
        <v>49</v>
      </c>
      <c r="D131" s="109">
        <v>5</v>
      </c>
      <c r="E131" s="109">
        <v>4</v>
      </c>
      <c r="F131" s="109">
        <v>19.21675788696</v>
      </c>
      <c r="G131" s="109">
        <v>1.13039752276235</v>
      </c>
      <c r="H131" s="109">
        <v>0</v>
      </c>
      <c r="I131" s="78">
        <f>(100*B131)/N131</f>
        <v>7.94114541835374</v>
      </c>
      <c r="J131" s="110">
        <f>((C131+F131)*100)/B131</f>
        <v>87.0698591802285</v>
      </c>
      <c r="K131" s="110">
        <f>((D131+G131)*100)/B131</f>
        <v>7.82465871377586</v>
      </c>
      <c r="L131" s="110">
        <f>((E131+H131)*100)/B131</f>
        <v>5.10548210599568</v>
      </c>
      <c r="M131" s="112">
        <f>N131-B130</f>
        <v>813.991430235341</v>
      </c>
      <c r="N131" s="108">
        <f>O131+P131+Q131+R131+S131+T131</f>
        <v>986.597666737657</v>
      </c>
      <c r="O131" s="109">
        <v>324</v>
      </c>
      <c r="P131" s="109">
        <v>241</v>
      </c>
      <c r="Q131" s="109">
        <v>87</v>
      </c>
      <c r="R131" s="109">
        <v>158.255653186729</v>
      </c>
      <c r="S131" s="109">
        <v>129.995715117671</v>
      </c>
      <c r="T131" s="109">
        <v>46.3462984332566</v>
      </c>
      <c r="U131" s="49">
        <v>180</v>
      </c>
      <c r="V131" s="110">
        <f>((O131+R131)*100)/N131</f>
        <v>48.8806804886722</v>
      </c>
      <c r="W131" s="110">
        <f>((P131+S131)*100)/N131</f>
        <v>37.6035467775256</v>
      </c>
      <c r="X131" s="110">
        <f>((Q131+T131)*100)/N131</f>
        <v>13.5157727338022</v>
      </c>
    </row>
    <row r="132" spans="1:24" s="168" customFormat="1" ht="22.500000" customHeight="1">
      <c r="A132" s="34">
        <v>130</v>
      </c>
      <c r="B132" s="108">
        <f>C132+D132+E132+F132+G132+H132</f>
        <v>74.4343727503859</v>
      </c>
      <c r="C132" s="109">
        <v>39</v>
      </c>
      <c r="D132" s="109">
        <v>17</v>
      </c>
      <c r="E132" s="109">
        <v>6</v>
      </c>
      <c r="F132" s="109">
        <v>10.1735777048612</v>
      </c>
      <c r="G132" s="109">
        <v>0</v>
      </c>
      <c r="H132" s="109">
        <v>2.26079504552471</v>
      </c>
      <c r="I132" s="78">
        <f>(100*B132)/N132</f>
        <v>7.32003895122901</v>
      </c>
      <c r="J132" s="110">
        <f>((C132+F132)*100)/B132</f>
        <v>66.0629973597867</v>
      </c>
      <c r="K132" s="110">
        <f>((D132+G132)*100)/B132</f>
        <v>22.8389108040302</v>
      </c>
      <c r="L132" s="110">
        <f>((E132+H132)*100)/B132</f>
        <v>11.0980918361831</v>
      </c>
      <c r="M132" s="112">
        <f>N132-B131</f>
        <v>938.510449396994</v>
      </c>
      <c r="N132" s="108">
        <f>O132+P132+Q132+R132+S132+T132</f>
        <v>1016.85760480672</v>
      </c>
      <c r="O132" s="109">
        <v>331</v>
      </c>
      <c r="P132" s="109">
        <v>242</v>
      </c>
      <c r="Q132" s="109">
        <v>81</v>
      </c>
      <c r="R132" s="109">
        <v>187.645988778551</v>
      </c>
      <c r="S132" s="109">
        <v>124.343727503859</v>
      </c>
      <c r="T132" s="109">
        <v>50.867888524306</v>
      </c>
      <c r="U132" s="49">
        <v>179</v>
      </c>
      <c r="V132" s="110">
        <f>((O132+R132)*100)/N132</f>
        <v>51.0047804458457</v>
      </c>
      <c r="W132" s="110">
        <f>((P132+S132)*100)/N132</f>
        <v>36.027043095527</v>
      </c>
      <c r="X132" s="110">
        <f>((Q132+T132)*100)/N132</f>
        <v>12.9681764586273</v>
      </c>
    </row>
    <row r="133" spans="1:24" s="168" customFormat="1" ht="22.500000" customHeight="1">
      <c r="A133" s="34">
        <v>131</v>
      </c>
      <c r="B133" s="108">
        <f>C133+D133+E133+F133+G133+H133</f>
        <v>56.1303975227624</v>
      </c>
      <c r="C133" s="109">
        <v>42</v>
      </c>
      <c r="D133" s="109">
        <v>8</v>
      </c>
      <c r="E133" s="109">
        <v>5</v>
      </c>
      <c r="F133" s="109">
        <v>1.13039752276235</v>
      </c>
      <c r="G133" s="109">
        <v>0</v>
      </c>
      <c r="H133" s="109">
        <v>0</v>
      </c>
      <c r="I133" s="78">
        <f>(100*B133)/N133</f>
        <v>7.91685940959186</v>
      </c>
      <c r="J133" s="110">
        <f>((C133+F133)*100)/B133</f>
        <v>76.8396438048953</v>
      </c>
      <c r="K133" s="110">
        <f>((D133+G133)*100)/B133</f>
        <v>14.2525268892952</v>
      </c>
      <c r="L133" s="110">
        <f>((E133+H133)*100)/B133</f>
        <v>8.90782930580951</v>
      </c>
      <c r="M133" s="112">
        <f>N133-B132</f>
        <v>634.563913296682</v>
      </c>
      <c r="N133" s="108">
        <f>O133+P133+Q133+R133+S133+T133</f>
        <v>708.998286047068</v>
      </c>
      <c r="O133" s="109">
        <v>345</v>
      </c>
      <c r="P133" s="109">
        <v>235</v>
      </c>
      <c r="Q133" s="109">
        <v>77</v>
      </c>
      <c r="R133" s="109">
        <v>32.7815281601083</v>
      </c>
      <c r="S133" s="109">
        <v>11.3039752276235</v>
      </c>
      <c r="T133" s="109">
        <v>7.91278265933649</v>
      </c>
      <c r="U133" s="49">
        <v>138</v>
      </c>
      <c r="V133" s="110">
        <f>((O133+R133)*100)/N133</f>
        <v>53.2838422313236</v>
      </c>
      <c r="W133" s="110">
        <f>((P133+S133)*100)/N133</f>
        <v>34.7397137729148</v>
      </c>
      <c r="X133" s="110">
        <f>((Q133+T133)*100)/N133</f>
        <v>11.9764439957616</v>
      </c>
    </row>
    <row r="134" spans="1:24" s="168" customFormat="1" ht="22.500000" customHeight="1">
      <c r="A134" s="34">
        <v>132</v>
      </c>
      <c r="B134" s="108">
        <f>C134+D134+E134+F134+G134+H134</f>
        <v>156.911068706405</v>
      </c>
      <c r="C134" s="109">
        <v>59</v>
      </c>
      <c r="D134" s="109">
        <v>26</v>
      </c>
      <c r="E134" s="109">
        <v>12</v>
      </c>
      <c r="F134" s="109">
        <v>20.3471554097224</v>
      </c>
      <c r="G134" s="109">
        <v>30.5207331145836</v>
      </c>
      <c r="H134" s="109">
        <v>9.04318018209885</v>
      </c>
      <c r="I134" s="78">
        <f>(100*B134)/N134</f>
        <v>14.4498759499556</v>
      </c>
      <c r="J134" s="110">
        <f>((C134+F134)*100)/B134</f>
        <v>50.5682333718524</v>
      </c>
      <c r="K134" s="110">
        <f>((D134+G134)*100)/B134</f>
        <v>36.020870662948</v>
      </c>
      <c r="L134" s="110">
        <f>((E134+H134)*100)/B134</f>
        <v>13.4108959651996</v>
      </c>
      <c r="M134" s="112">
        <f>N134-B133</f>
        <v>1029.76867351312</v>
      </c>
      <c r="N134" s="108">
        <f>O134+P134+Q134+R134+S134+T134</f>
        <v>1085.89907103588</v>
      </c>
      <c r="O134" s="109">
        <v>335</v>
      </c>
      <c r="P134" s="109">
        <v>232</v>
      </c>
      <c r="Q134" s="109">
        <v>95</v>
      </c>
      <c r="R134" s="109">
        <v>218.166721893134</v>
      </c>
      <c r="S134" s="109">
        <v>152.603665572918</v>
      </c>
      <c r="T134" s="109">
        <v>53.1286835698307</v>
      </c>
      <c r="U134" s="49">
        <v>202</v>
      </c>
      <c r="V134" s="110">
        <f>((O134+R134)*100)/N134</f>
        <v>50.9408965020521</v>
      </c>
      <c r="W134" s="110">
        <f>((P134+S134)*100)/N134</f>
        <v>35.4179937925565</v>
      </c>
      <c r="X134" s="110">
        <f>((Q134+T134)*100)/N134</f>
        <v>13.6411097053914</v>
      </c>
    </row>
    <row r="135" spans="1:24" s="168" customFormat="1" ht="22.500000" customHeight="1">
      <c r="A135" s="34">
        <v>133</v>
      </c>
      <c r="B135" s="108">
        <f>C135+D135+E135+F135+G135+H135</f>
        <v>382.691739890047</v>
      </c>
      <c r="C135" s="109">
        <v>231</v>
      </c>
      <c r="D135" s="109">
        <v>4</v>
      </c>
      <c r="E135" s="109">
        <v>29</v>
      </c>
      <c r="F135" s="109">
        <v>103.996572094136</v>
      </c>
      <c r="G135" s="109">
        <v>7.91278265933649</v>
      </c>
      <c r="H135" s="109">
        <v>6.78238513657414</v>
      </c>
      <c r="I135" s="78">
        <f>(100*B135)/N135</f>
        <v>25.7943489868239</v>
      </c>
      <c r="J135" s="110">
        <f>((C135+F135)*100)/B135</f>
        <v>87.5369225869327</v>
      </c>
      <c r="K135" s="110">
        <f>((D135+G135)*100)/B135</f>
        <v>3.11289254969528</v>
      </c>
      <c r="L135" s="110">
        <f>((E135+H135)*100)/B135</f>
        <v>9.35018486337202</v>
      </c>
      <c r="M135" s="112">
        <f>N135-B134</f>
        <v>1326.71520961343</v>
      </c>
      <c r="N135" s="108">
        <f>O135+P135+Q135+R135+S135+T135</f>
        <v>1483.62627831984</v>
      </c>
      <c r="O135" s="109">
        <v>385</v>
      </c>
      <c r="P135" s="109">
        <v>233</v>
      </c>
      <c r="Q135" s="109">
        <v>80</v>
      </c>
      <c r="R135" s="109">
        <v>461.202189287041</v>
      </c>
      <c r="S135" s="109">
        <v>215.90592684761</v>
      </c>
      <c r="T135" s="109">
        <v>108.518162185186</v>
      </c>
      <c r="U135" s="49">
        <v>261</v>
      </c>
      <c r="V135" s="110">
        <f>((O135+R135)*100)/N135</f>
        <v>57.0360744921113</v>
      </c>
      <c r="W135" s="110">
        <f>((P135+S135)*100)/N135</f>
        <v>30.2573453576181</v>
      </c>
      <c r="X135" s="110">
        <f>((Q135+T135)*100)/N135</f>
        <v>12.7065801502705</v>
      </c>
    </row>
    <row r="136" spans="1:24" s="168" customFormat="1" ht="22.500000" customHeight="1">
      <c r="A136" s="34">
        <v>134</v>
      </c>
      <c r="B136" s="108">
        <f>C136+D136+E136+F136+G136+H136</f>
        <v>13</v>
      </c>
      <c r="C136" s="109">
        <v>9</v>
      </c>
      <c r="D136" s="109">
        <v>1</v>
      </c>
      <c r="E136" s="109">
        <v>3</v>
      </c>
      <c r="F136" s="109">
        <v>0</v>
      </c>
      <c r="G136" s="109">
        <v>0</v>
      </c>
      <c r="H136" s="109">
        <v>0</v>
      </c>
      <c r="I136" s="78">
        <f>(100*B136)/N136</f>
        <v>1.79892952940264</v>
      </c>
      <c r="J136" s="110">
        <f>((C136+F136)*100)/B136</f>
        <v>69.2307692307692</v>
      </c>
      <c r="K136" s="110">
        <f>((D136+G136)*100)/B136</f>
        <v>7.69230769230769</v>
      </c>
      <c r="L136" s="110">
        <f>((E136+H136)*100)/B136</f>
        <v>23.0769230769231</v>
      </c>
      <c r="M136" s="112">
        <f>N136-B135</f>
        <v>339.960247723765</v>
      </c>
      <c r="N136" s="108">
        <f>O136+P136+Q136+R136+S136+T136</f>
        <v>722.651987613812</v>
      </c>
      <c r="O136" s="109">
        <v>395</v>
      </c>
      <c r="P136" s="109">
        <v>239</v>
      </c>
      <c r="Q136" s="109">
        <v>83</v>
      </c>
      <c r="R136" s="109">
        <v>5.65198761381178</v>
      </c>
      <c r="S136" s="109">
        <v>0</v>
      </c>
      <c r="T136" s="109">
        <v>0</v>
      </c>
      <c r="U136" s="49">
        <v>137</v>
      </c>
      <c r="V136" s="110">
        <f>((O136+R136)*100)/N136</f>
        <v>55.4418993486422</v>
      </c>
      <c r="W136" s="110">
        <f>((P136+S136)*100)/N136</f>
        <v>33.0726275020948</v>
      </c>
      <c r="X136" s="110">
        <f>((Q136+T136)*100)/N136</f>
        <v>11.485473149263</v>
      </c>
    </row>
    <row r="137" spans="1:24" s="168" customFormat="1" ht="22.500000" customHeight="1">
      <c r="A137" s="34">
        <v>135</v>
      </c>
      <c r="B137" s="108">
        <f>C137+D137+E137+F137+G137+H137</f>
        <v>161.824708342207</v>
      </c>
      <c r="C137" s="109">
        <v>108</v>
      </c>
      <c r="D137" s="109">
        <v>8</v>
      </c>
      <c r="E137" s="109">
        <v>4</v>
      </c>
      <c r="F137" s="109">
        <v>35.042323205633</v>
      </c>
      <c r="G137" s="109">
        <v>1.13039752276235</v>
      </c>
      <c r="H137" s="109">
        <v>5.65198761381178</v>
      </c>
      <c r="I137" s="78">
        <f>(100*B137)/N137</f>
        <v>10.2946662325258</v>
      </c>
      <c r="J137" s="110">
        <f>((C137+F137)*100)/B137</f>
        <v>88.3933761852637</v>
      </c>
      <c r="K137" s="110">
        <f>((D137+G137)*100)/B137</f>
        <v>5.64215292973339</v>
      </c>
      <c r="L137" s="110">
        <f>((E137+H137)*100)/B137</f>
        <v>5.96447088500289</v>
      </c>
      <c r="M137" s="112">
        <f>N137-B136</f>
        <v>1558.92768261806</v>
      </c>
      <c r="N137" s="108">
        <f>O137+P137+Q137+R137+S137+T137</f>
        <v>1571.92768261806</v>
      </c>
      <c r="O137" s="109">
        <v>376</v>
      </c>
      <c r="P137" s="109">
        <v>237</v>
      </c>
      <c r="Q137" s="109">
        <v>84</v>
      </c>
      <c r="R137" s="109">
        <v>576.502736608801</v>
      </c>
      <c r="S137" s="109">
        <v>227.209902075233</v>
      </c>
      <c r="T137" s="109">
        <v>71.2150439340284</v>
      </c>
      <c r="U137" s="49">
        <v>217</v>
      </c>
      <c r="V137" s="110">
        <f>((O137+R137)*100)/N137</f>
        <v>60.5945646953935</v>
      </c>
      <c r="W137" s="110">
        <f>((P137+S137)*100)/N137</f>
        <v>29.5312505281468</v>
      </c>
      <c r="X137" s="110">
        <f>((Q137+T137)*100)/N137</f>
        <v>9.8741847764597</v>
      </c>
    </row>
    <row r="138" spans="1:24" s="168" customFormat="1" ht="22.500000" customHeight="1">
      <c r="A138" s="34">
        <v>136</v>
      </c>
      <c r="B138" s="108">
        <f>C138+D138+E138+F138+G138+H138</f>
        <v>508.729778213351</v>
      </c>
      <c r="C138" s="109">
        <v>188</v>
      </c>
      <c r="D138" s="109">
        <v>13</v>
      </c>
      <c r="E138" s="109">
        <v>24</v>
      </c>
      <c r="F138" s="109">
        <v>245.296262439431</v>
      </c>
      <c r="G138" s="109">
        <v>25.9991430235342</v>
      </c>
      <c r="H138" s="109">
        <v>12.4343727503859</v>
      </c>
      <c r="I138" s="78">
        <f>(100*B138)/N138</f>
        <v>16.8646820759419</v>
      </c>
      <c r="J138" s="110">
        <f>((C138+F138)*100)/B138</f>
        <v>85.1721839364621</v>
      </c>
      <c r="K138" s="110">
        <f>((D138+G138)*100)/B138</f>
        <v>7.66598392578835</v>
      </c>
      <c r="L138" s="110">
        <f>((E138+H138)*100)/B138</f>
        <v>7.16183213774957</v>
      </c>
      <c r="M138" s="112">
        <f>N138-B137</f>
        <v>2854.71468399577</v>
      </c>
      <c r="N138" s="108">
        <f>O138+P138+Q138+R138+S138+T138</f>
        <v>3016.53939233798</v>
      </c>
      <c r="O138" s="109">
        <v>386</v>
      </c>
      <c r="P138" s="109">
        <v>429</v>
      </c>
      <c r="Q138" s="109">
        <v>99</v>
      </c>
      <c r="R138" s="109">
        <v>887.36205536845</v>
      </c>
      <c r="S138" s="109">
        <v>1013.96657791783</v>
      </c>
      <c r="T138" s="109">
        <v>201.210759051699</v>
      </c>
      <c r="U138" s="49">
        <v>272</v>
      </c>
      <c r="V138" s="110">
        <f>((O138+R138)*100)/N138</f>
        <v>42.2126778321806</v>
      </c>
      <c r="W138" s="110">
        <f>((P138+S138)*100)/N138</f>
        <v>47.835164413333</v>
      </c>
      <c r="X138" s="110">
        <f>((Q138+T138)*100)/N138</f>
        <v>9.95215775448633</v>
      </c>
    </row>
    <row r="139" spans="1:24" s="168" customFormat="1" ht="22.500000" customHeight="1">
      <c r="A139" s="34">
        <v>137</v>
      </c>
      <c r="B139" s="108">
        <f>C139+D139+E139+F139+G139+H139</f>
        <v>669.204760216438</v>
      </c>
      <c r="C139" s="109">
        <v>192</v>
      </c>
      <c r="D139" s="109">
        <v>64</v>
      </c>
      <c r="E139" s="109">
        <v>30</v>
      </c>
      <c r="F139" s="109">
        <v>290.512163349925</v>
      </c>
      <c r="G139" s="109">
        <v>76.8670315478402</v>
      </c>
      <c r="H139" s="109">
        <v>15.8255653186729</v>
      </c>
      <c r="I139" s="78">
        <f>(100*B139)/N139</f>
        <v>23.1355384034862</v>
      </c>
      <c r="J139" s="110">
        <f>((C139+F139)*100)/B139</f>
        <v>72.1023208492821</v>
      </c>
      <c r="K139" s="110">
        <f>((D139+G139)*100)/B139</f>
        <v>21.0499147528897</v>
      </c>
      <c r="L139" s="110">
        <f>((E139+H139)*100)/B139</f>
        <v>6.84776439782821</v>
      </c>
      <c r="M139" s="112">
        <f>N139-B138</f>
        <v>2383.8104711011</v>
      </c>
      <c r="N139" s="108">
        <f>O139+P139+Q139+R139+S139+T139</f>
        <v>2892.54024931445</v>
      </c>
      <c r="O139" s="109">
        <v>365</v>
      </c>
      <c r="P139" s="109">
        <v>378</v>
      </c>
      <c r="Q139" s="109">
        <v>73</v>
      </c>
      <c r="R139" s="109">
        <v>898.666030596073</v>
      </c>
      <c r="S139" s="109">
        <v>961.968291870765</v>
      </c>
      <c r="T139" s="109">
        <v>215.90592684761</v>
      </c>
      <c r="U139" s="49">
        <v>289</v>
      </c>
      <c r="V139" s="110">
        <f>((O139+R139)*100)/N139</f>
        <v>43.6870681711541</v>
      </c>
      <c r="W139" s="110">
        <f>((P139+S139)*100)/N139</f>
        <v>46.3249661673108</v>
      </c>
      <c r="X139" s="110">
        <f>((Q139+T139)*100)/N139</f>
        <v>9.98796566153514</v>
      </c>
    </row>
    <row r="140" spans="1:24" s="168" customFormat="1" ht="22.500000" customHeight="1">
      <c r="A140" s="34">
        <v>138</v>
      </c>
      <c r="B140" s="108">
        <f>C140+D140+E140+F140+G140+H140</f>
        <v>19.1303975227624</v>
      </c>
      <c r="C140" s="109">
        <v>14</v>
      </c>
      <c r="D140" s="109">
        <v>3</v>
      </c>
      <c r="E140" s="109">
        <v>1</v>
      </c>
      <c r="F140" s="109">
        <v>0</v>
      </c>
      <c r="G140" s="109">
        <v>1.13039752276235</v>
      </c>
      <c r="H140" s="109">
        <v>0</v>
      </c>
      <c r="I140" s="78">
        <f>(100*B140)/N140</f>
        <v>2.31627333108526</v>
      </c>
      <c r="J140" s="110">
        <f>((C140+F140)*100)/B140</f>
        <v>73.1819607164047</v>
      </c>
      <c r="K140" s="110">
        <f>((D140+G140)*100)/B140</f>
        <v>21.5907563752807</v>
      </c>
      <c r="L140" s="110">
        <f>((E140+H140)*100)/B140</f>
        <v>5.22728290831462</v>
      </c>
      <c r="M140" s="112">
        <f>N140-B139</f>
        <v>156.708022442898</v>
      </c>
      <c r="N140" s="108">
        <f>O140+P140+Q140+R140+S140+T140</f>
        <v>825.912782659337</v>
      </c>
      <c r="O140" s="109">
        <v>348</v>
      </c>
      <c r="P140" s="109">
        <v>393</v>
      </c>
      <c r="Q140" s="109">
        <v>77</v>
      </c>
      <c r="R140" s="109">
        <v>3.39119256828707</v>
      </c>
      <c r="S140" s="109">
        <v>4.52159009104942</v>
      </c>
      <c r="T140" s="109">
        <v>0</v>
      </c>
      <c r="U140" s="49">
        <v>137</v>
      </c>
      <c r="V140" s="110">
        <f>((O140+R140)*100)/N140</f>
        <v>42.5457990172826</v>
      </c>
      <c r="W140" s="110">
        <f>((P140+S140)*100)/N140</f>
        <v>48.1311826669009</v>
      </c>
      <c r="X140" s="110">
        <f>((Q140+T140)*100)/N140</f>
        <v>9.32301831581654</v>
      </c>
    </row>
    <row r="141" spans="1:24" s="168" customFormat="1" ht="22.500000" customHeight="1">
      <c r="A141" s="34">
        <v>139</v>
      </c>
      <c r="B141" s="108">
        <f>C141+D141+E141+F141+G141+H141</f>
        <v>142.607093478781</v>
      </c>
      <c r="C141" s="109">
        <v>69</v>
      </c>
      <c r="D141" s="109">
        <v>17</v>
      </c>
      <c r="E141" s="109">
        <v>8</v>
      </c>
      <c r="F141" s="109">
        <v>10.1735777048612</v>
      </c>
      <c r="G141" s="109">
        <v>28.2599380690589</v>
      </c>
      <c r="H141" s="109">
        <v>10.1735777048612</v>
      </c>
      <c r="I141" s="78">
        <f>(100*B141)/N141</f>
        <v>13.4310562868612</v>
      </c>
      <c r="J141" s="110">
        <f>((C141+F141)*100)/B141</f>
        <v>55.5186812755857</v>
      </c>
      <c r="K141" s="110">
        <f>((D141+G141)*100)/B141</f>
        <v>31.7375082578155</v>
      </c>
      <c r="L141" s="110">
        <f>((E141+H141)*100)/B141</f>
        <v>12.7438104665988</v>
      </c>
      <c r="M141" s="112">
        <f>N141-B140</f>
        <v>1042.64084691976</v>
      </c>
      <c r="N141" s="108">
        <f>O141+P141+Q141+R141+S141+T141</f>
        <v>1061.77124444252</v>
      </c>
      <c r="O141" s="109">
        <v>302</v>
      </c>
      <c r="P141" s="109">
        <v>347</v>
      </c>
      <c r="Q141" s="109">
        <v>68</v>
      </c>
      <c r="R141" s="109">
        <v>114.170149798998</v>
      </c>
      <c r="S141" s="109">
        <v>212.514734279323</v>
      </c>
      <c r="T141" s="109">
        <v>18.0863603641977</v>
      </c>
      <c r="U141" s="49">
        <v>172</v>
      </c>
      <c r="V141" s="110">
        <f>((O141+R141)*100)/N141</f>
        <v>39.1958392146425</v>
      </c>
      <c r="W141" s="110">
        <f>((P141+S141)*100)/N141</f>
        <v>52.6963540600589</v>
      </c>
      <c r="X141" s="110">
        <f>((Q141+T141)*100)/N141</f>
        <v>8.10780672529865</v>
      </c>
    </row>
    <row r="142" spans="1:24" s="168" customFormat="1" ht="22.500000" customHeight="1">
      <c r="A142" s="34">
        <v>140</v>
      </c>
      <c r="B142" s="108">
        <f>C142+D142+E142+F142+G142+H142</f>
        <v>567.72806426042</v>
      </c>
      <c r="C142" s="109">
        <v>190</v>
      </c>
      <c r="D142" s="109">
        <v>23</v>
      </c>
      <c r="E142" s="109">
        <v>19</v>
      </c>
      <c r="F142" s="109">
        <v>289.381765827163</v>
      </c>
      <c r="G142" s="109">
        <v>18.0863603641977</v>
      </c>
      <c r="H142" s="109">
        <v>28.2599380690589</v>
      </c>
      <c r="I142" s="78">
        <f>(100*B142)/N142</f>
        <v>21.4080419877789</v>
      </c>
      <c r="J142" s="110">
        <f>((C142+F142)*100)/B142</f>
        <v>84.4386240535166</v>
      </c>
      <c r="K142" s="110">
        <f>((D142+G142)*100)/B142</f>
        <v>7.23697892541581</v>
      </c>
      <c r="L142" s="110">
        <f>((E142+H142)*100)/B142</f>
        <v>8.32439702106756</v>
      </c>
      <c r="M142" s="112">
        <f>N142-B141</f>
        <v>2509.33120421568</v>
      </c>
      <c r="N142" s="108">
        <f>O142+P142+Q142+R142+S142+T142</f>
        <v>2651.93829769446</v>
      </c>
      <c r="O142" s="109">
        <v>339</v>
      </c>
      <c r="P142" s="109">
        <v>357</v>
      </c>
      <c r="Q142" s="109">
        <v>84</v>
      </c>
      <c r="R142" s="109">
        <v>820.668601525471</v>
      </c>
      <c r="S142" s="109">
        <v>868.14529748149</v>
      </c>
      <c r="T142" s="109">
        <v>183.124398687501</v>
      </c>
      <c r="U142" s="49">
        <v>286</v>
      </c>
      <c r="V142" s="110">
        <f>((O142+R142)*100)/N142</f>
        <v>43.7290943961125</v>
      </c>
      <c r="W142" s="110">
        <f>((P142+S142)*100)/N142</f>
        <v>46.1981071937686</v>
      </c>
      <c r="X142" s="110">
        <f>((Q142+T142)*100)/N142</f>
        <v>10.0727984101189</v>
      </c>
    </row>
    <row r="143" spans="1:24" s="168" customFormat="1" ht="22.500000" customHeight="1">
      <c r="A143" s="34">
        <v>141</v>
      </c>
      <c r="B143" s="108">
        <f>C143+D143+E143+F143+G143+H143</f>
        <v>98.4775529324848</v>
      </c>
      <c r="C143" s="109">
        <v>63</v>
      </c>
      <c r="D143" s="109">
        <v>12</v>
      </c>
      <c r="E143" s="109">
        <v>2</v>
      </c>
      <c r="F143" s="109">
        <v>12.4343727503859</v>
      </c>
      <c r="G143" s="109">
        <v>5.65198761381178</v>
      </c>
      <c r="H143" s="109">
        <v>3.39119256828707</v>
      </c>
      <c r="I143" s="78">
        <f>(100*B143)/N143</f>
        <v>7.60045980945434</v>
      </c>
      <c r="J143" s="110">
        <f>((C143+F143)*100)/B143</f>
        <v>76.6005759729864</v>
      </c>
      <c r="K143" s="110">
        <f>((D143+G143)*100)/B143</f>
        <v>17.9248844921175</v>
      </c>
      <c r="L143" s="110">
        <f>((E143+H143)*100)/B143</f>
        <v>5.47453953489606</v>
      </c>
      <c r="M143" s="112">
        <f>N143-B142</f>
        <v>727.950820982641</v>
      </c>
      <c r="N143" s="108">
        <f>O143+P143+Q143+R143+S143+T143</f>
        <v>1295.67888524306</v>
      </c>
      <c r="O143" s="109">
        <v>334</v>
      </c>
      <c r="P143" s="109">
        <v>362</v>
      </c>
      <c r="Q143" s="109">
        <v>91</v>
      </c>
      <c r="R143" s="109">
        <v>224.949107029709</v>
      </c>
      <c r="S143" s="109">
        <v>210.253939233798</v>
      </c>
      <c r="T143" s="109">
        <v>73.4758389795531</v>
      </c>
      <c r="U143" s="49">
        <v>177</v>
      </c>
      <c r="V143" s="110">
        <f>((O143+R143)*100)/N143</f>
        <v>43.1394779521204</v>
      </c>
      <c r="W143" s="110">
        <f>((P143+S143)*100)/N143</f>
        <v>44.1663398046691</v>
      </c>
      <c r="X143" s="110">
        <f>((Q143+T143)*100)/N143</f>
        <v>12.6941822432106</v>
      </c>
    </row>
    <row r="144" spans="1:24" s="168" customFormat="1" ht="22.500000" customHeight="1">
      <c r="A144" s="34">
        <v>142</v>
      </c>
      <c r="B144" s="108">
        <f>C144+D144+E144+F144+G144+H144</f>
        <v>103.564770273148</v>
      </c>
      <c r="C144" s="109">
        <v>80</v>
      </c>
      <c r="D144" s="109">
        <v>6</v>
      </c>
      <c r="E144" s="109">
        <v>4</v>
      </c>
      <c r="F144" s="109">
        <v>13.5647702731482</v>
      </c>
      <c r="G144" s="109">
        <v>0</v>
      </c>
      <c r="H144" s="109">
        <v>0</v>
      </c>
      <c r="I144" s="78">
        <f>(100*B144)/N144</f>
        <v>10.3050313510835</v>
      </c>
      <c r="J144" s="110">
        <f>((C144+F144)*100)/B144</f>
        <v>90.3442068440596</v>
      </c>
      <c r="K144" s="110">
        <f>((D144+G144)*100)/B144</f>
        <v>5.79347589356422</v>
      </c>
      <c r="L144" s="110">
        <f>((E144+H144)*100)/B144</f>
        <v>3.86231726237614</v>
      </c>
      <c r="M144" s="112">
        <f>N144-B143</f>
        <v>906.514734279322</v>
      </c>
      <c r="N144" s="108">
        <f>O144+P144+Q144+R144+S144+T144</f>
        <v>1004.99228721181</v>
      </c>
      <c r="O144" s="109">
        <v>318</v>
      </c>
      <c r="P144" s="109">
        <v>361</v>
      </c>
      <c r="Q144" s="109">
        <v>92</v>
      </c>
      <c r="R144" s="109">
        <v>110.77895723071</v>
      </c>
      <c r="S144" s="109">
        <v>92.6925968665132</v>
      </c>
      <c r="T144" s="109">
        <v>30.5207331145836</v>
      </c>
      <c r="U144" s="49">
        <v>158</v>
      </c>
      <c r="V144" s="110">
        <f>((O144+R144)*100)/N144</f>
        <v>42.6649002869753</v>
      </c>
      <c r="W144" s="110">
        <f>((P144+S144)*100)/N144</f>
        <v>45.1438884297522</v>
      </c>
      <c r="X144" s="110">
        <f>((Q144+T144)*100)/N144</f>
        <v>12.1912112832724</v>
      </c>
    </row>
    <row r="145" spans="1:24" s="168" customFormat="1" ht="22.500000" customHeight="1">
      <c r="A145" s="34">
        <v>143</v>
      </c>
      <c r="B145" s="108">
        <f>C145+D145+E145+F145+G145+H145</f>
        <v>79.825565318673</v>
      </c>
      <c r="C145" s="109">
        <v>11</v>
      </c>
      <c r="D145" s="109">
        <v>35</v>
      </c>
      <c r="E145" s="109">
        <v>18</v>
      </c>
      <c r="F145" s="109">
        <v>2.26079504552471</v>
      </c>
      <c r="G145" s="109">
        <v>5.65198761381178</v>
      </c>
      <c r="H145" s="109">
        <v>7.91278265933649</v>
      </c>
      <c r="I145" s="78">
        <f>(100*B145)/N145</f>
        <v>8.88156546049487</v>
      </c>
      <c r="J145" s="110">
        <f>((C145+F145)*100)/B145</f>
        <v>16.6122156386692</v>
      </c>
      <c r="K145" s="110">
        <f>((D145+G145)*100)/B145</f>
        <v>50.9260253297603</v>
      </c>
      <c r="L145" s="110">
        <f>((E145+H145)*100)/B145</f>
        <v>32.4617590315704</v>
      </c>
      <c r="M145" s="112">
        <f>N145-B144</f>
        <v>795.213329981097</v>
      </c>
      <c r="N145" s="108">
        <f>O145+P145+Q145+R145+S145+T145</f>
        <v>898.778100254245</v>
      </c>
      <c r="O145" s="109">
        <v>343</v>
      </c>
      <c r="P145" s="109">
        <v>332</v>
      </c>
      <c r="Q145" s="109">
        <v>87</v>
      </c>
      <c r="R145" s="109">
        <v>85.9102117299391</v>
      </c>
      <c r="S145" s="109">
        <v>42.9551058649695</v>
      </c>
      <c r="T145" s="109">
        <v>7.91278265933649</v>
      </c>
      <c r="U145" s="49">
        <v>146</v>
      </c>
      <c r="V145" s="110">
        <f>((O145+R145)*100)/N145</f>
        <v>47.7214800414707</v>
      </c>
      <c r="W145" s="110">
        <f>((P145+S145)*100)/N145</f>
        <v>41.7183179873767</v>
      </c>
      <c r="X145" s="110">
        <f>((Q145+T145)*100)/N145</f>
        <v>10.5602019711526</v>
      </c>
    </row>
    <row r="146" spans="1:24" s="168" customFormat="1" ht="22.500000" customHeight="1">
      <c r="A146" s="34">
        <v>144</v>
      </c>
      <c r="B146" s="108">
        <f>C146+D146+E146+F146+G146+H146</f>
        <v>21</v>
      </c>
      <c r="C146" s="109">
        <v>20</v>
      </c>
      <c r="D146" s="109">
        <v>0</v>
      </c>
      <c r="E146" s="109">
        <v>1</v>
      </c>
      <c r="F146" s="109">
        <v>0</v>
      </c>
      <c r="G146" s="109">
        <v>0</v>
      </c>
      <c r="H146" s="109">
        <v>0</v>
      </c>
      <c r="I146" s="78">
        <f>(100*B146)/N146</f>
        <v>2.72373540856031</v>
      </c>
      <c r="J146" s="110">
        <f>((C146+F146)*100)/B146</f>
        <v>95.2380952380952</v>
      </c>
      <c r="K146" s="110">
        <f>((D146+G146)*100)/B146</f>
        <v>0</v>
      </c>
      <c r="L146" s="110">
        <f>((E146+H146)*100)/B146</f>
        <v>4.76190476190476</v>
      </c>
      <c r="M146" s="112">
        <f>N146-B145</f>
        <v>691.174434681327</v>
      </c>
      <c r="N146" s="108">
        <f>O146+P146+Q146+R146+S146+T146</f>
        <v>771</v>
      </c>
      <c r="O146" s="109">
        <v>337</v>
      </c>
      <c r="P146" s="109">
        <v>344</v>
      </c>
      <c r="Q146" s="109">
        <v>90</v>
      </c>
      <c r="R146" s="109">
        <v>0</v>
      </c>
      <c r="S146" s="109">
        <v>0</v>
      </c>
      <c r="T146" s="109">
        <v>0</v>
      </c>
      <c r="U146" s="49">
        <v>123</v>
      </c>
      <c r="V146" s="110">
        <f>((O146+R146)*100)/N146</f>
        <v>43.7094682230869</v>
      </c>
      <c r="W146" s="110">
        <f>((P146+S146)*100)/N146</f>
        <v>44.6173800259403</v>
      </c>
      <c r="X146" s="110">
        <f>((Q146+T146)*100)/N146</f>
        <v>11.6731517509728</v>
      </c>
    </row>
    <row r="147" spans="1:24" s="168" customFormat="1" ht="22.500000" customHeight="1">
      <c r="A147" s="34">
        <v>145</v>
      </c>
      <c r="B147" s="108">
        <f>C147+D147+E147+F147+G147+H147</f>
        <v>143.607950455247</v>
      </c>
      <c r="C147" s="109">
        <v>109</v>
      </c>
      <c r="D147" s="109">
        <v>9</v>
      </c>
      <c r="E147" s="109">
        <v>3</v>
      </c>
      <c r="F147" s="109">
        <v>18.0863603641977</v>
      </c>
      <c r="G147" s="109">
        <v>3.39119256828707</v>
      </c>
      <c r="H147" s="109">
        <v>1.13039752276235</v>
      </c>
      <c r="I147" s="78">
        <f>(100*B147)/N147</f>
        <v>10.8856487364647</v>
      </c>
      <c r="J147" s="110">
        <f>((C147+F147)*100)/B147</f>
        <v>88.4953513794502</v>
      </c>
      <c r="K147" s="110">
        <f>((D147+G147)*100)/B147</f>
        <v>8.62848646541235</v>
      </c>
      <c r="L147" s="110">
        <f>((E147+H147)*100)/B147</f>
        <v>2.87616215513745</v>
      </c>
      <c r="M147" s="112">
        <f>N147-B146</f>
        <v>1298.24108458681</v>
      </c>
      <c r="N147" s="108">
        <f>O147+P147+Q147+R147+S147+T147</f>
        <v>1319.24108458681</v>
      </c>
      <c r="O147" s="109">
        <v>293</v>
      </c>
      <c r="P147" s="109">
        <v>340</v>
      </c>
      <c r="Q147" s="109">
        <v>86</v>
      </c>
      <c r="R147" s="109">
        <v>307.468126191361</v>
      </c>
      <c r="S147" s="109">
        <v>224.949107029709</v>
      </c>
      <c r="T147" s="109">
        <v>67.8238513657414</v>
      </c>
      <c r="U147" s="49">
        <v>193</v>
      </c>
      <c r="V147" s="110">
        <f>((O147+R147)*100)/N147</f>
        <v>45.5161784458395</v>
      </c>
      <c r="W147" s="110">
        <f>((P147+S147)*100)/N147</f>
        <v>42.823795713325</v>
      </c>
      <c r="X147" s="110">
        <f>((Q147+T147)*100)/N147</f>
        <v>11.6600258408356</v>
      </c>
    </row>
    <row r="148" spans="1:24" s="168" customFormat="1" ht="22.500000" customHeight="1">
      <c r="A148" s="34">
        <v>146</v>
      </c>
      <c r="B148" s="108">
        <f>C148+D148+E148+F148+G148+H148</f>
        <v>21</v>
      </c>
      <c r="C148" s="109">
        <v>20</v>
      </c>
      <c r="D148" s="109">
        <v>1</v>
      </c>
      <c r="E148" s="109">
        <v>0</v>
      </c>
      <c r="F148" s="109">
        <v>0</v>
      </c>
      <c r="G148" s="109">
        <v>0</v>
      </c>
      <c r="H148" s="109">
        <v>0</v>
      </c>
      <c r="I148" s="78">
        <f>(100*B148)/N148</f>
        <v>2.91666666666667</v>
      </c>
      <c r="J148" s="110">
        <f>((C148+F148)*100)/B148</f>
        <v>95.2380952380952</v>
      </c>
      <c r="K148" s="110">
        <f>((D148+G148)*100)/B148</f>
        <v>4.76190476190476</v>
      </c>
      <c r="L148" s="110">
        <f>((E148+H148)*100)/B148</f>
        <v>0</v>
      </c>
      <c r="M148" s="112">
        <f>N148-B147</f>
        <v>576.392049544753</v>
      </c>
      <c r="N148" s="108">
        <f>O148+P148+Q148+R148+S148+T148</f>
        <v>720</v>
      </c>
      <c r="O148" s="109">
        <v>297</v>
      </c>
      <c r="P148" s="109">
        <v>337</v>
      </c>
      <c r="Q148" s="109">
        <v>86</v>
      </c>
      <c r="R148" s="109">
        <v>0</v>
      </c>
      <c r="S148" s="109">
        <v>0</v>
      </c>
      <c r="T148" s="109">
        <v>0</v>
      </c>
      <c r="U148" s="49">
        <v>130</v>
      </c>
      <c r="V148" s="110">
        <f>((O148+R148)*100)/N148</f>
        <v>41.25</v>
      </c>
      <c r="W148" s="110">
        <f>((P148+S148)*100)/N148</f>
        <v>46.8055555555556</v>
      </c>
      <c r="X148" s="110">
        <f>((Q148+T148)*100)/N148</f>
        <v>11.9444444444444</v>
      </c>
    </row>
    <row r="149" spans="1:24" s="168" customFormat="1" ht="22.500000" customHeight="1">
      <c r="A149" s="34">
        <v>147</v>
      </c>
      <c r="B149" s="108">
        <f>C149+D149+E149+F149+G149+H149</f>
        <v>369.078647576005</v>
      </c>
      <c r="C149" s="109">
        <v>46</v>
      </c>
      <c r="D149" s="109">
        <v>44</v>
      </c>
      <c r="E149" s="109">
        <v>27</v>
      </c>
      <c r="F149" s="109">
        <v>127.734920072146</v>
      </c>
      <c r="G149" s="109">
        <v>97.2141869575626</v>
      </c>
      <c r="H149" s="109">
        <v>27.1295405462965</v>
      </c>
      <c r="I149" s="78">
        <f>(100*B149)/N149</f>
        <v>12.5096075126488</v>
      </c>
      <c r="J149" s="110">
        <f>((C149+F149)*100)/B149</f>
        <v>47.0726012499459</v>
      </c>
      <c r="K149" s="110">
        <f>((D149+G149)*100)/B149</f>
        <v>38.2612724645584</v>
      </c>
      <c r="L149" s="110">
        <f>((E149+H149)*100)/B149</f>
        <v>14.6661262854957</v>
      </c>
      <c r="M149" s="112">
        <f>N149-B148</f>
        <v>2929.36152975078</v>
      </c>
      <c r="N149" s="108">
        <f>O149+P149+Q149+R149+S149+T149</f>
        <v>2950.36152975078</v>
      </c>
      <c r="O149" s="109">
        <v>336</v>
      </c>
      <c r="P149" s="109">
        <v>307</v>
      </c>
      <c r="Q149" s="109">
        <v>85</v>
      </c>
      <c r="R149" s="109">
        <v>1212.916541924</v>
      </c>
      <c r="S149" s="109">
        <v>752.844750159729</v>
      </c>
      <c r="T149" s="109">
        <v>256.600237667055</v>
      </c>
      <c r="U149" s="49">
        <v>274</v>
      </c>
      <c r="V149" s="110">
        <f>((O149+R149)*100)/N149</f>
        <v>52.4992115815324</v>
      </c>
      <c r="W149" s="110">
        <f>((P149+S149)*100)/N149</f>
        <v>35.9225382880197</v>
      </c>
      <c r="X149" s="110">
        <f>((Q149+T149)*100)/N149</f>
        <v>11.5782501304479</v>
      </c>
    </row>
    <row r="150" spans="1:24" s="168" customFormat="1" ht="22.500000" customHeight="1">
      <c r="A150" s="34">
        <v>148</v>
      </c>
      <c r="B150" s="108">
        <f>C150+D150+E150+F150+G150+H150</f>
        <v>17</v>
      </c>
      <c r="C150" s="109">
        <v>17</v>
      </c>
      <c r="D150" s="109">
        <v>0</v>
      </c>
      <c r="E150" s="109">
        <v>0</v>
      </c>
      <c r="F150" s="109">
        <v>0</v>
      </c>
      <c r="G150" s="109">
        <v>0</v>
      </c>
      <c r="H150" s="109">
        <v>0</v>
      </c>
      <c r="I150" s="78">
        <f>(100*B150)/N150</f>
        <v>2.15772215718061</v>
      </c>
      <c r="J150" s="110">
        <f>((C150+F150)*100)/B150</f>
        <v>100</v>
      </c>
      <c r="K150" s="110">
        <f>((D150+G150)*100)/B150</f>
        <v>0</v>
      </c>
      <c r="L150" s="110">
        <f>((E150+H150)*100)/B150</f>
        <v>0</v>
      </c>
      <c r="M150" s="112">
        <f>N150-B149</f>
        <v>418.789240948301</v>
      </c>
      <c r="N150" s="108">
        <f>O150+P150+Q150+R150+S150+T150</f>
        <v>787.867888524306</v>
      </c>
      <c r="O150" s="109">
        <v>340</v>
      </c>
      <c r="P150" s="109">
        <v>311</v>
      </c>
      <c r="Q150" s="109">
        <v>86</v>
      </c>
      <c r="R150" s="109">
        <v>31.6511306373459</v>
      </c>
      <c r="S150" s="109">
        <v>13.5647702731482</v>
      </c>
      <c r="T150" s="109">
        <v>5.65198761381178</v>
      </c>
      <c r="U150" s="49">
        <v>135</v>
      </c>
      <c r="V150" s="110">
        <f>((O150+R150)*100)/N150</f>
        <v>47.1717576069075</v>
      </c>
      <c r="W150" s="110">
        <f>((P150+S150)*100)/N150</f>
        <v>41.1953291916828</v>
      </c>
      <c r="X150" s="110">
        <f>((Q150+T150)*100)/N150</f>
        <v>11.6329132014097</v>
      </c>
    </row>
    <row r="151" spans="1:24" s="168" customFormat="1" ht="22.500000" customHeight="1">
      <c r="A151" s="34">
        <v>149</v>
      </c>
      <c r="B151" s="108">
        <f>C151+D151+E151+F151+G151+H151</f>
        <v>93.1303975227624</v>
      </c>
      <c r="C151" s="109">
        <v>80</v>
      </c>
      <c r="D151" s="109">
        <v>9</v>
      </c>
      <c r="E151" s="109">
        <v>3</v>
      </c>
      <c r="F151" s="109">
        <v>1.13039752276235</v>
      </c>
      <c r="G151" s="109">
        <v>0</v>
      </c>
      <c r="H151" s="109">
        <v>0</v>
      </c>
      <c r="I151" s="78">
        <f>(100*B151)/N151</f>
        <v>10.3624075408213</v>
      </c>
      <c r="J151" s="110">
        <f>((C151+F151)*100)/B151</f>
        <v>87.1148407832501</v>
      </c>
      <c r="K151" s="110">
        <f>((D151+G151)*100)/B151</f>
        <v>9.6638694125624</v>
      </c>
      <c r="L151" s="110">
        <f>((E151+H151)*100)/B151</f>
        <v>3.22128980418747</v>
      </c>
      <c r="M151" s="112">
        <f>N151-B150</f>
        <v>881.733206119215</v>
      </c>
      <c r="N151" s="108">
        <f>O151+P151+Q151+R151+S151+T151</f>
        <v>898.733206119215</v>
      </c>
      <c r="O151" s="109">
        <v>332</v>
      </c>
      <c r="P151" s="109">
        <v>303</v>
      </c>
      <c r="Q151" s="109">
        <v>84</v>
      </c>
      <c r="R151" s="109">
        <v>90.4318018209885</v>
      </c>
      <c r="S151" s="109">
        <v>68.9542488885037</v>
      </c>
      <c r="T151" s="109">
        <v>20.3471554097224</v>
      </c>
      <c r="U151" s="49">
        <v>153</v>
      </c>
      <c r="V151" s="110">
        <f>((O151+R151)*100)/N151</f>
        <v>47.0030259196803</v>
      </c>
      <c r="W151" s="110">
        <f>((P151+S151)*100)/N151</f>
        <v>41.386503397891</v>
      </c>
      <c r="X151" s="110">
        <f>((Q151+T151)*100)/N151</f>
        <v>11.6104706824286</v>
      </c>
    </row>
    <row r="152" spans="1:24" s="168" customFormat="1" ht="22.500000" customHeight="1">
      <c r="A152" s="34">
        <v>150</v>
      </c>
      <c r="B152" s="107">
        <f>C152+D152+E152+F152+G152+H152</f>
        <v>143.824708342207</v>
      </c>
      <c r="C152" s="49">
        <v>91</v>
      </c>
      <c r="D152" s="49">
        <v>7</v>
      </c>
      <c r="E152" s="49">
        <v>4</v>
      </c>
      <c r="F152" s="49">
        <v>38.4335157739201</v>
      </c>
      <c r="G152" s="49">
        <v>1.13039752276235</v>
      </c>
      <c r="H152" s="49">
        <v>2.26079504552471</v>
      </c>
      <c r="I152" s="78">
        <f>(100*B152)/N152</f>
        <v>13.735274889108</v>
      </c>
      <c r="J152" s="110">
        <f>((C152+F152)*100)/B152</f>
        <v>89.9939358583328</v>
      </c>
      <c r="K152" s="110">
        <f>((D152+G152)*100)/B152</f>
        <v>5.65299079447282</v>
      </c>
      <c r="L152" s="110">
        <f>((E152+H152)*100)/B152</f>
        <v>4.35307334719441</v>
      </c>
      <c r="M152" s="112">
        <f>N152-B151</f>
        <v>953.988859305944</v>
      </c>
      <c r="N152" s="107">
        <f>O152+P152+Q152+R152+S152+T152</f>
        <v>1047.11925682871</v>
      </c>
      <c r="O152" s="49">
        <v>319</v>
      </c>
      <c r="P152" s="49">
        <v>306</v>
      </c>
      <c r="Q152" s="49">
        <v>83</v>
      </c>
      <c r="R152" s="49">
        <v>172.95082098264</v>
      </c>
      <c r="S152" s="49">
        <v>137.908497777007</v>
      </c>
      <c r="T152" s="49">
        <v>28.2599380690589</v>
      </c>
      <c r="U152" s="49">
        <v>185</v>
      </c>
      <c r="V152" s="110">
        <f>((O152+R152)*100)/N152</f>
        <v>46.9813555403954</v>
      </c>
      <c r="W152" s="110">
        <f>((P152+S152)*100)/N152</f>
        <v>42.3933085827705</v>
      </c>
      <c r="X152" s="110">
        <f>((Q152+T152)*100)/N152</f>
        <v>10.6253358768341</v>
      </c>
    </row>
    <row r="153" spans="1:24" s="168" customFormat="1" ht="22.500000" customHeight="1">
      <c r="A153" s="34">
        <v>151</v>
      </c>
      <c r="B153" s="107">
        <f>C153+D153+E153+F153+G153+H153</f>
        <v>189.692596866513</v>
      </c>
      <c r="C153" s="49">
        <v>70</v>
      </c>
      <c r="D153" s="49">
        <v>17</v>
      </c>
      <c r="E153" s="49">
        <v>10</v>
      </c>
      <c r="F153" s="49">
        <v>62.1718637519296</v>
      </c>
      <c r="G153" s="49">
        <v>22.6079504552471</v>
      </c>
      <c r="H153" s="49">
        <v>7.91278265933649</v>
      </c>
      <c r="I153" s="78">
        <f>(100*B153)/N153</f>
        <v>9.74105876024049</v>
      </c>
      <c r="J153" s="110">
        <f>((C153+F153)*100)/B153</f>
        <v>69.6768698068586</v>
      </c>
      <c r="K153" s="110">
        <f>((D153+G153)*100)/B153</f>
        <v>20.8800718159387</v>
      </c>
      <c r="L153" s="110">
        <f>((E153+H153)*100)/B153</f>
        <v>9.44305837720263</v>
      </c>
      <c r="M153" s="111">
        <f>N153-B152</f>
        <v>1803.52620633219</v>
      </c>
      <c r="N153" s="107">
        <f>O153+P153+Q153+R153+S153+T153</f>
        <v>1947.35091467439</v>
      </c>
      <c r="O153" s="49">
        <v>275</v>
      </c>
      <c r="P153" s="49">
        <v>328</v>
      </c>
      <c r="Q153" s="49">
        <v>119</v>
      </c>
      <c r="R153" s="49">
        <v>477.027754605714</v>
      </c>
      <c r="S153" s="49">
        <v>514.330872856872</v>
      </c>
      <c r="T153" s="49">
        <v>233.992287211807</v>
      </c>
      <c r="U153" s="49">
        <v>228</v>
      </c>
      <c r="V153" s="110">
        <f>((O153+R153)*100)/N153</f>
        <v>38.6179886192447</v>
      </c>
      <c r="W153" s="110">
        <f>((P153+S153)*100)/N153</f>
        <v>43.2552174602652</v>
      </c>
      <c r="X153" s="110">
        <f>((Q153+T153)*100)/N153</f>
        <v>18.1267939204901</v>
      </c>
    </row>
    <row r="154" spans="1:24" s="168" customFormat="1" ht="22.500000" customHeight="1">
      <c r="A154" s="34">
        <v>152</v>
      </c>
      <c r="B154" s="107">
        <f>C154+D154+E154+F154+G154+H154</f>
        <v>100.521590091049</v>
      </c>
      <c r="C154" s="49">
        <v>74</v>
      </c>
      <c r="D154" s="49">
        <v>6</v>
      </c>
      <c r="E154" s="49">
        <v>16</v>
      </c>
      <c r="F154" s="49">
        <v>3.39119256828707</v>
      </c>
      <c r="G154" s="49">
        <v>1.13039752276235</v>
      </c>
      <c r="H154" s="49">
        <v>0</v>
      </c>
      <c r="I154" s="78">
        <f>(100*B154)/N154</f>
        <v>11.2682213874505</v>
      </c>
      <c r="J154" s="110">
        <f>((C154+F154)*100)/B154</f>
        <v>76.9896223270926</v>
      </c>
      <c r="K154" s="110">
        <f>((D154+G154)*100)/B154</f>
        <v>7.09339905616679</v>
      </c>
      <c r="L154" s="110">
        <f>((E154+H154)*100)/B154</f>
        <v>15.9169786167406</v>
      </c>
      <c r="M154" s="111">
        <f>N154-B153</f>
        <v>702.387764662423</v>
      </c>
      <c r="N154" s="107">
        <f>O154+P154+Q154+R154+S154+T154</f>
        <v>892.080361528936</v>
      </c>
      <c r="O154" s="49">
        <v>259</v>
      </c>
      <c r="P154" s="49">
        <v>322</v>
      </c>
      <c r="Q154" s="49">
        <v>111</v>
      </c>
      <c r="R154" s="49">
        <v>107.387764662423</v>
      </c>
      <c r="S154" s="49">
        <v>70.0846464112661</v>
      </c>
      <c r="T154" s="49">
        <v>22.6079504552471</v>
      </c>
      <c r="U154" s="49">
        <v>146</v>
      </c>
      <c r="V154" s="110">
        <f>((O154+R154)*100)/N154</f>
        <v>41.0711613508083</v>
      </c>
      <c r="W154" s="110">
        <f>((P154+S154)*100)/N154</f>
        <v>43.951718176967</v>
      </c>
      <c r="X154" s="110">
        <f>((Q154+T154)*100)/N154</f>
        <v>14.9771204722248</v>
      </c>
    </row>
    <row r="155" spans="1:24" s="168" customFormat="1" ht="22.500000" customHeight="1">
      <c r="A155" s="34">
        <v>153</v>
      </c>
      <c r="B155" s="107">
        <f>C155+D155+E155+F155+G155+H155</f>
        <v>3</v>
      </c>
      <c r="C155" s="49">
        <v>3</v>
      </c>
      <c r="D155" s="49">
        <v>0</v>
      </c>
      <c r="E155" s="49">
        <v>0</v>
      </c>
      <c r="F155" s="49">
        <v>0</v>
      </c>
      <c r="G155" s="49">
        <v>0</v>
      </c>
      <c r="H155" s="49">
        <v>0</v>
      </c>
      <c r="I155" s="78">
        <f>(100*B155)/N155</f>
        <v>0.411940825408347</v>
      </c>
      <c r="J155" s="110">
        <f>((C155+F155)*100)/B155</f>
        <v>100</v>
      </c>
      <c r="K155" s="110">
        <f>((D155+G155)*100)/B155</f>
        <v>0</v>
      </c>
      <c r="L155" s="110">
        <f>((E155+H155)*100)/B155</f>
        <v>0</v>
      </c>
      <c r="M155" s="111">
        <f>N155-B154</f>
        <v>627.738347978009</v>
      </c>
      <c r="N155" s="107">
        <f>O155+P155+Q155+R155+S155+T155</f>
        <v>728.259938069059</v>
      </c>
      <c r="O155" s="49">
        <v>261</v>
      </c>
      <c r="P155" s="49">
        <v>325</v>
      </c>
      <c r="Q155" s="49">
        <v>114</v>
      </c>
      <c r="R155" s="49">
        <v>14.6951677959106</v>
      </c>
      <c r="S155" s="49">
        <v>11.3039752276235</v>
      </c>
      <c r="T155" s="49">
        <v>2.26079504552471</v>
      </c>
      <c r="U155" s="49">
        <v>113</v>
      </c>
      <c r="V155" s="110">
        <f>((O155+R155)*100)/N155</f>
        <v>37.8566983276467</v>
      </c>
      <c r="W155" s="110">
        <f>((P155+S155)*100)/N155</f>
        <v>46.1791123811252</v>
      </c>
      <c r="X155" s="110">
        <f>((Q155+T155)*100)/N155</f>
        <v>15.9641892912281</v>
      </c>
    </row>
    <row r="156" spans="1:24" s="168" customFormat="1" ht="22.500000" customHeight="1">
      <c r="A156" s="34">
        <v>154</v>
      </c>
      <c r="B156" s="107">
        <f>C156+D156+E156+F156+G156+H156</f>
        <v>144.259938069059</v>
      </c>
      <c r="C156" s="49">
        <v>110</v>
      </c>
      <c r="D156" s="49">
        <v>1</v>
      </c>
      <c r="E156" s="49">
        <v>5</v>
      </c>
      <c r="F156" s="49">
        <v>24.8687455007718</v>
      </c>
      <c r="G156" s="49">
        <v>2.26079504552471</v>
      </c>
      <c r="H156" s="49">
        <v>1.13039752276235</v>
      </c>
      <c r="I156" s="78">
        <f>(100*B156)/N156</f>
        <v>9.27810809329019</v>
      </c>
      <c r="J156" s="110">
        <f>((C156+F156)*100)/B156</f>
        <v>93.4900896991988</v>
      </c>
      <c r="K156" s="110">
        <f>((D156+G156)*100)/B156</f>
        <v>2.26036076901941</v>
      </c>
      <c r="L156" s="110">
        <f>((E156+H156)*100)/B156</f>
        <v>4.24954953178176</v>
      </c>
      <c r="M156" s="111">
        <f>N156-B155</f>
        <v>1551.84217923033</v>
      </c>
      <c r="N156" s="107">
        <f>O156+P156+Q156+R156+S156+T156</f>
        <v>1554.84217923033</v>
      </c>
      <c r="O156" s="49">
        <v>291</v>
      </c>
      <c r="P156" s="49">
        <v>319</v>
      </c>
      <c r="Q156" s="49">
        <v>114</v>
      </c>
      <c r="R156" s="49">
        <v>276.947393076777</v>
      </c>
      <c r="S156" s="49">
        <v>404.682313148923</v>
      </c>
      <c r="T156" s="49">
        <v>149.212473004631</v>
      </c>
      <c r="U156" s="49">
        <v>216</v>
      </c>
      <c r="V156" s="110">
        <f>((O156+R156)*100)/N156</f>
        <v>36.5276553893025</v>
      </c>
      <c r="W156" s="110">
        <f>((P156+S156)*100)/N156</f>
        <v>46.5437793504648</v>
      </c>
      <c r="X156" s="110">
        <f>((Q156+T156)*100)/N156</f>
        <v>16.9285652602327</v>
      </c>
    </row>
    <row r="157" spans="1:24" s="168" customFormat="1" ht="22.500000" customHeight="1">
      <c r="A157" s="34">
        <v>155</v>
      </c>
      <c r="B157" s="107">
        <f>C157+D157+E157+F157+G157+H157</f>
        <v>1</v>
      </c>
      <c r="C157" s="49">
        <v>0</v>
      </c>
      <c r="D157" s="49">
        <v>1</v>
      </c>
      <c r="E157" s="49">
        <v>0</v>
      </c>
      <c r="F157" s="49">
        <v>0</v>
      </c>
      <c r="G157" s="49">
        <v>0</v>
      </c>
      <c r="H157" s="49">
        <v>0</v>
      </c>
      <c r="I157" s="78">
        <f>(100*B157)/N157</f>
        <v>0.119462476323966</v>
      </c>
      <c r="J157" s="110">
        <f>((C157+F157)*100)/B157</f>
        <v>0</v>
      </c>
      <c r="K157" s="110">
        <f>((D157+G157)*100)/B157</f>
        <v>100</v>
      </c>
      <c r="L157" s="110">
        <f>((E157+H157)*100)/B157</f>
        <v>0</v>
      </c>
      <c r="M157" s="111">
        <f>N157-B156</f>
        <v>692.822994389276</v>
      </c>
      <c r="N157" s="107">
        <f>O157+P157+Q157+R157+S157+T157</f>
        <v>837.082932458335</v>
      </c>
      <c r="O157" s="49">
        <v>288</v>
      </c>
      <c r="P157" s="49">
        <v>314</v>
      </c>
      <c r="Q157" s="49">
        <v>113</v>
      </c>
      <c r="R157" s="49">
        <v>7.91278265933649</v>
      </c>
      <c r="S157" s="49">
        <v>70.0846464112661</v>
      </c>
      <c r="T157" s="49">
        <v>44.0855033877319</v>
      </c>
      <c r="U157" s="49">
        <v>109</v>
      </c>
      <c r="V157" s="110">
        <f>((O157+R157)*100)/N157</f>
        <v>35.3504737923999</v>
      </c>
      <c r="W157" s="110">
        <f>((P157+S157)*100)/N157</f>
        <v>45.8837029783048</v>
      </c>
      <c r="X157" s="110">
        <f>((Q157+T157)*100)/N157</f>
        <v>18.7658232292952</v>
      </c>
    </row>
    <row r="158" spans="1:24" s="168" customFormat="1" ht="22.500000" customHeight="1">
      <c r="A158" s="34">
        <v>156</v>
      </c>
      <c r="B158" s="107">
        <f>C158+D158+E158+F158+G158+H158</f>
        <v>57.1303975227624</v>
      </c>
      <c r="C158" s="49">
        <v>52</v>
      </c>
      <c r="D158" s="49">
        <v>1</v>
      </c>
      <c r="E158" s="49">
        <v>3</v>
      </c>
      <c r="F158" s="49">
        <v>0</v>
      </c>
      <c r="G158" s="49">
        <v>1.13039752276235</v>
      </c>
      <c r="H158" s="49">
        <v>0</v>
      </c>
      <c r="I158" s="78">
        <f>(100*B158)/N158</f>
        <v>7.12043162349821</v>
      </c>
      <c r="J158" s="110">
        <f>((C158+F158)*100)/B158</f>
        <v>91.0198462723487</v>
      </c>
      <c r="K158" s="110">
        <f>((D158+G158)*100)/B158</f>
        <v>3.72900875040042</v>
      </c>
      <c r="L158" s="110">
        <f>((E158+H158)*100)/B158</f>
        <v>5.25114497725089</v>
      </c>
      <c r="M158" s="111">
        <f>N158-B157</f>
        <v>801.344584480325</v>
      </c>
      <c r="N158" s="107">
        <f>O158+P158+Q158+R158+S158+T158</f>
        <v>802.344584480325</v>
      </c>
      <c r="O158" s="49">
        <v>270</v>
      </c>
      <c r="P158" s="49">
        <v>322</v>
      </c>
      <c r="Q158" s="49">
        <v>112</v>
      </c>
      <c r="R158" s="49">
        <v>50.867888524306</v>
      </c>
      <c r="S158" s="49">
        <v>37.3031182511577</v>
      </c>
      <c r="T158" s="49">
        <v>10.1735777048612</v>
      </c>
      <c r="U158" s="49">
        <v>131</v>
      </c>
      <c r="V158" s="110">
        <f>((O158+R158)*100)/N158</f>
        <v>39.991282390487</v>
      </c>
      <c r="W158" s="110">
        <f>((P158+S158)*100)/N158</f>
        <v>44.7816468386681</v>
      </c>
      <c r="X158" s="110">
        <f>((Q158+T158)*100)/N158</f>
        <v>15.227070770845</v>
      </c>
    </row>
    <row r="159" spans="1:24" s="168" customFormat="1" ht="22.500000" customHeight="1">
      <c r="A159" s="34">
        <v>157</v>
      </c>
      <c r="B159" s="107">
        <f>C159+D159+E159+F159+G159+H159</f>
        <v>101.259081092593</v>
      </c>
      <c r="C159" s="49">
        <v>4</v>
      </c>
      <c r="D159" s="49">
        <v>26</v>
      </c>
      <c r="E159" s="49">
        <v>17</v>
      </c>
      <c r="F159" s="49">
        <v>5.65198761381178</v>
      </c>
      <c r="G159" s="49">
        <v>39.5639132966824</v>
      </c>
      <c r="H159" s="49">
        <v>9.04318018209885</v>
      </c>
      <c r="I159" s="78">
        <f>(100*B159)/N159</f>
        <v>5.72842788570634</v>
      </c>
      <c r="J159" s="110">
        <f>((C159+F159)*100)/B159</f>
        <v>9.53197235217436</v>
      </c>
      <c r="K159" s="110">
        <f>((D159+G159)*100)/B159</f>
        <v>64.7486749724004</v>
      </c>
      <c r="L159" s="110">
        <f>((E159+H159)*100)/B159</f>
        <v>25.7193526754253</v>
      </c>
      <c r="M159" s="111">
        <f>N159-B158</f>
        <v>1710.52877726158</v>
      </c>
      <c r="N159" s="107">
        <f>O159+P159+Q159+R159+S159+T159</f>
        <v>1767.65917478435</v>
      </c>
      <c r="O159" s="49">
        <v>278</v>
      </c>
      <c r="P159" s="49">
        <v>277</v>
      </c>
      <c r="Q159" s="49">
        <v>106</v>
      </c>
      <c r="R159" s="49">
        <v>467.984574423615</v>
      </c>
      <c r="S159" s="49">
        <v>435.203046263507</v>
      </c>
      <c r="T159" s="49">
        <v>203.471554097224</v>
      </c>
      <c r="U159" s="49">
        <v>184</v>
      </c>
      <c r="V159" s="110">
        <f>((O159+R159)*100)/N159</f>
        <v>42.201833083271</v>
      </c>
      <c r="W159" s="110">
        <f>((P159+S159)*100)/N159</f>
        <v>40.2907447557245</v>
      </c>
      <c r="X159" s="110">
        <f>((Q159+T159)*100)/N159</f>
        <v>17.5074221610045</v>
      </c>
    </row>
    <row r="160" spans="1:24" s="168" customFormat="1" ht="22.500000" customHeight="1">
      <c r="A160" s="34">
        <v>158</v>
      </c>
      <c r="B160" s="107">
        <f>C160+D160+E160+F160+G160+H160</f>
        <v>50.3039752276236</v>
      </c>
      <c r="C160" s="49">
        <v>26</v>
      </c>
      <c r="D160" s="49">
        <v>11</v>
      </c>
      <c r="E160" s="49">
        <v>2</v>
      </c>
      <c r="F160" s="49">
        <v>2.26079504552471</v>
      </c>
      <c r="G160" s="49">
        <v>9.04318018209885</v>
      </c>
      <c r="H160" s="49">
        <v>0</v>
      </c>
      <c r="I160" s="78">
        <f>(100*B160)/N160</f>
        <v>5.29860347420888</v>
      </c>
      <c r="J160" s="110">
        <f>((C160+F160)*100)/B160</f>
        <v>56.1800432622784</v>
      </c>
      <c r="K160" s="110">
        <f>((D160+G160)*100)/B160</f>
        <v>39.8441278078009</v>
      </c>
      <c r="L160" s="110">
        <f>((E160+H160)*100)/B160</f>
        <v>3.9758289299207</v>
      </c>
      <c r="M160" s="111">
        <f>N160-B159</f>
        <v>848.122684734569</v>
      </c>
      <c r="N160" s="107">
        <f>O160+P160+Q160+R160+S160+T160</f>
        <v>949.381765827162</v>
      </c>
      <c r="O160" s="49">
        <v>281</v>
      </c>
      <c r="P160" s="49">
        <v>273</v>
      </c>
      <c r="Q160" s="49">
        <v>106</v>
      </c>
      <c r="R160" s="49">
        <v>100.605379525849</v>
      </c>
      <c r="S160" s="49">
        <v>119.822137412809</v>
      </c>
      <c r="T160" s="49">
        <v>68.9542488885037</v>
      </c>
      <c r="U160" s="49">
        <v>139</v>
      </c>
      <c r="V160" s="110">
        <f>((O160+R160)*100)/N160</f>
        <v>40.1951452262589</v>
      </c>
      <c r="W160" s="110">
        <f>((P160+S160)*100)/N160</f>
        <v>41.3766254579955</v>
      </c>
      <c r="X160" s="110">
        <f>((Q160+T160)*100)/N160</f>
        <v>18.4282293157455</v>
      </c>
    </row>
    <row r="161" spans="1:24" s="168" customFormat="1" ht="22.500000" customHeight="1">
      <c r="A161" s="34">
        <v>159</v>
      </c>
      <c r="B161" s="107">
        <f>C161+D161+E161+F161+G161+H161</f>
        <v>597.332586809802</v>
      </c>
      <c r="C161" s="49">
        <v>35</v>
      </c>
      <c r="D161" s="49">
        <v>53</v>
      </c>
      <c r="E161" s="49">
        <v>47</v>
      </c>
      <c r="F161" s="49">
        <v>110.77895723071</v>
      </c>
      <c r="G161" s="49">
        <v>159.386050709492</v>
      </c>
      <c r="H161" s="49">
        <v>192.1675788696</v>
      </c>
      <c r="I161" s="78">
        <f>(100*B161)/N161</f>
        <v>4.30463550910902</v>
      </c>
      <c r="J161" s="110">
        <f>((C161+F161)*100)/B161</f>
        <v>24.4049898582091</v>
      </c>
      <c r="K161" s="110">
        <f>((D161+G161)*100)/B161</f>
        <v>35.5557448897591</v>
      </c>
      <c r="L161" s="110">
        <f>((E161+H161)*100)/B161</f>
        <v>40.0392652520318</v>
      </c>
      <c r="M161" s="111">
        <f>N161-B160</f>
        <v>13826.1923168693</v>
      </c>
      <c r="N161" s="107">
        <f>O161+P161+Q161+R161+S161+T161</f>
        <v>13876.496292097</v>
      </c>
      <c r="O161" s="49">
        <v>743</v>
      </c>
      <c r="P161" s="49">
        <v>373</v>
      </c>
      <c r="Q161" s="49">
        <v>117</v>
      </c>
      <c r="R161" s="49">
        <v>8926.74923725433</v>
      </c>
      <c r="S161" s="49">
        <v>3145.89630584763</v>
      </c>
      <c r="T161" s="49">
        <v>570.85074899499</v>
      </c>
      <c r="U161" s="49">
        <v>257</v>
      </c>
      <c r="V161" s="110">
        <f>((O161+R161)*100)/N161</f>
        <v>69.6843715712411</v>
      </c>
      <c r="W161" s="110">
        <f>((P161+S161)*100)/N161</f>
        <v>25.3586801147473</v>
      </c>
      <c r="X161" s="110">
        <f>((Q161+T161)*100)/N161</f>
        <v>4.95694831401166</v>
      </c>
    </row>
    <row r="162" spans="1:24" s="168" customFormat="1" ht="22.500000" customHeight="1">
      <c r="A162" s="34">
        <v>160</v>
      </c>
      <c r="B162" s="107">
        <f>C162+D162+E162+F162+G162+H162</f>
        <v>63.1735777048612</v>
      </c>
      <c r="C162" s="49">
        <v>37</v>
      </c>
      <c r="D162" s="49">
        <v>9</v>
      </c>
      <c r="E162" s="49">
        <v>7</v>
      </c>
      <c r="F162" s="49">
        <v>6.78238513657414</v>
      </c>
      <c r="G162" s="49">
        <v>1.13039752276235</v>
      </c>
      <c r="H162" s="49">
        <v>2.26079504552471</v>
      </c>
      <c r="I162" s="78">
        <f>(100*B162)/N162</f>
        <v>4.22506658262546</v>
      </c>
      <c r="J162" s="110">
        <f>((C162+F162)*100)/B162</f>
        <v>69.3049004460691</v>
      </c>
      <c r="K162" s="110">
        <f>((D162+G162)*100)/B162</f>
        <v>16.0358141659956</v>
      </c>
      <c r="L162" s="110">
        <f>((E162+H162)*100)/B162</f>
        <v>14.6592853879354</v>
      </c>
      <c r="M162" s="111">
        <f>N162-B161</f>
        <v>897.876458288965</v>
      </c>
      <c r="N162" s="107">
        <f>O162+P162+Q162+R162+S162+T162</f>
        <v>1495.20904509877</v>
      </c>
      <c r="O162" s="49">
        <v>734</v>
      </c>
      <c r="P162" s="49">
        <v>384</v>
      </c>
      <c r="Q162" s="49">
        <v>124</v>
      </c>
      <c r="R162" s="49">
        <v>109.648559707948</v>
      </c>
      <c r="S162" s="49">
        <v>84.7798142071767</v>
      </c>
      <c r="T162" s="49">
        <v>58.7806711836425</v>
      </c>
      <c r="U162" s="49">
        <v>125</v>
      </c>
      <c r="V162" s="110">
        <f>((O162+R162)*100)/N162</f>
        <v>56.423452123527</v>
      </c>
      <c r="W162" s="110">
        <f>((P162+S162)*100)/N162</f>
        <v>31.3521253595822</v>
      </c>
      <c r="X162" s="110">
        <f>((Q162+T162)*100)/N162</f>
        <v>12.2244225168909</v>
      </c>
    </row>
    <row r="163" spans="1:24" s="168" customFormat="1" ht="22.500000" customHeight="1">
      <c r="A163" s="34">
        <v>161</v>
      </c>
      <c r="B163" s="107">
        <f>C163+D163+E163+F163+G163+H163</f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0</v>
      </c>
      <c r="H163" s="49">
        <v>0</v>
      </c>
      <c r="I163" s="78">
        <f>(100*B163)/N163</f>
        <v>0</v>
      </c>
      <c r="J163" s="110" t="e">
        <f>((C163+F163)*100)/B163</f>
        <v>#DIV/0!</v>
      </c>
      <c r="K163" s="110" t="e">
        <f>((D163+G163)*100)/B163</f>
        <v>#DIV/0!</v>
      </c>
      <c r="L163" s="110" t="e">
        <f>((E163+H163)*100)/B163</f>
        <v>#DIV/0!</v>
      </c>
      <c r="M163" s="111">
        <f>N163-B162</f>
        <v>1172.82642229514</v>
      </c>
      <c r="N163" s="107">
        <f>O163+P163+Q163+R163+S163+T163</f>
        <v>1236</v>
      </c>
      <c r="O163" s="49">
        <v>739</v>
      </c>
      <c r="P163" s="49">
        <v>373</v>
      </c>
      <c r="Q163" s="49">
        <v>124</v>
      </c>
      <c r="R163" s="49">
        <v>0</v>
      </c>
      <c r="S163" s="49">
        <v>0</v>
      </c>
      <c r="T163" s="49">
        <v>0</v>
      </c>
      <c r="U163" s="49">
        <v>102</v>
      </c>
      <c r="V163" s="110">
        <f>((O163+R163)*100)/N163</f>
        <v>59.789644012945</v>
      </c>
      <c r="W163" s="110">
        <f>((P163+S163)*100)/N163</f>
        <v>30.1779935275081</v>
      </c>
      <c r="X163" s="110">
        <f>((Q163+T163)*100)/N163</f>
        <v>10.0323624595469</v>
      </c>
    </row>
    <row r="164" spans="1:24" s="168" customFormat="1" ht="22.500000" customHeight="1">
      <c r="A164" s="34">
        <v>162</v>
      </c>
      <c r="B164" s="107">
        <f>C164+D164+E164+F164+G164+H164</f>
        <v>1</v>
      </c>
      <c r="C164" s="49">
        <v>1</v>
      </c>
      <c r="D164" s="49">
        <v>0</v>
      </c>
      <c r="E164" s="49">
        <v>0</v>
      </c>
      <c r="F164" s="49">
        <v>0</v>
      </c>
      <c r="G164" s="49">
        <v>0</v>
      </c>
      <c r="H164" s="49">
        <v>0</v>
      </c>
      <c r="I164" s="78">
        <f>(100*B164)/N164</f>
        <v>0.0816326530612245</v>
      </c>
      <c r="J164" s="110">
        <f>((C164+F164)*100)/B164</f>
        <v>100</v>
      </c>
      <c r="K164" s="110">
        <f>((D164+G164)*100)/B164</f>
        <v>0</v>
      </c>
      <c r="L164" s="110">
        <f>((E164+H164)*100)/B164</f>
        <v>0</v>
      </c>
      <c r="M164" s="111">
        <f>N164-B163</f>
        <v>1225</v>
      </c>
      <c r="N164" s="107">
        <f>O164+P164+Q164+R164+S164+T164</f>
        <v>1225</v>
      </c>
      <c r="O164" s="49">
        <v>734</v>
      </c>
      <c r="P164" s="49">
        <v>370</v>
      </c>
      <c r="Q164" s="49">
        <v>121</v>
      </c>
      <c r="R164" s="49">
        <v>0</v>
      </c>
      <c r="S164" s="49">
        <v>0</v>
      </c>
      <c r="T164" s="49">
        <v>0</v>
      </c>
      <c r="U164" s="49">
        <v>95</v>
      </c>
      <c r="V164" s="110">
        <f>((O164+R164)*100)/N164</f>
        <v>59.9183673469388</v>
      </c>
      <c r="W164" s="110">
        <f>((P164+S164)*100)/N164</f>
        <v>30.2040816326531</v>
      </c>
      <c r="X164" s="110">
        <f>((Q164+T164)*100)/N164</f>
        <v>9.87755102040816</v>
      </c>
    </row>
    <row r="165" spans="1:24" s="168" customFormat="1" ht="22.500000" customHeight="1">
      <c r="A165" s="34">
        <v>163</v>
      </c>
      <c r="B165" s="107">
        <f>C165+D165+E165+F165+G165+H165</f>
        <v>123.695167795911</v>
      </c>
      <c r="C165" s="49">
        <v>102</v>
      </c>
      <c r="D165" s="49">
        <v>4</v>
      </c>
      <c r="E165" s="49">
        <v>3</v>
      </c>
      <c r="F165" s="49">
        <v>9.04318018209885</v>
      </c>
      <c r="G165" s="49">
        <v>3.39119256828707</v>
      </c>
      <c r="H165" s="49">
        <v>2.26079504552471</v>
      </c>
      <c r="I165" s="78">
        <f>(100*B165)/N165</f>
        <v>5.46092356909708</v>
      </c>
      <c r="J165" s="110">
        <f>((C165+F165)*100)/B165</f>
        <v>89.7716395561331</v>
      </c>
      <c r="K165" s="110">
        <f>((D165+G165)*100)/B165</f>
        <v>5.97532846269474</v>
      </c>
      <c r="L165" s="110">
        <f>((E165+H165)*100)/B165</f>
        <v>4.25303198117221</v>
      </c>
      <c r="M165" s="111">
        <f>N165-B164</f>
        <v>2264.09611846413</v>
      </c>
      <c r="N165" s="107">
        <f>O165+P165+Q165+R165+S165+T165</f>
        <v>2265.09611846413</v>
      </c>
      <c r="O165" s="49">
        <v>731</v>
      </c>
      <c r="P165" s="49">
        <v>369</v>
      </c>
      <c r="Q165" s="49">
        <v>124</v>
      </c>
      <c r="R165" s="49">
        <v>691.803283930562</v>
      </c>
      <c r="S165" s="49">
        <v>284.860175736113</v>
      </c>
      <c r="T165" s="49">
        <v>64.4326587974543</v>
      </c>
      <c r="U165" s="49">
        <v>151</v>
      </c>
      <c r="V165" s="110">
        <f>((O165+R165)*100)/N165</f>
        <v>62.8142564164256</v>
      </c>
      <c r="W165" s="110">
        <f>((P165+S165)*100)/N165</f>
        <v>28.8667739265506</v>
      </c>
      <c r="X165" s="110">
        <f>((Q165+T165)*100)/N165</f>
        <v>8.31896965702378</v>
      </c>
    </row>
    <row r="166" spans="1:24" s="168" customFormat="1" ht="22.500000" customHeight="1">
      <c r="A166" s="34">
        <v>164</v>
      </c>
      <c r="B166" s="107">
        <f>C166+D166+E166+F166+G166+H166</f>
        <v>71.6079504552471</v>
      </c>
      <c r="C166" s="49">
        <v>47</v>
      </c>
      <c r="D166" s="49">
        <v>0</v>
      </c>
      <c r="E166" s="49">
        <v>2</v>
      </c>
      <c r="F166" s="49">
        <v>14.6951677959106</v>
      </c>
      <c r="G166" s="49">
        <v>6.78238513657414</v>
      </c>
      <c r="H166" s="49">
        <v>1.13039752276235</v>
      </c>
      <c r="I166" s="78">
        <f>(100*B166)/N166</f>
        <v>3.93425979710025</v>
      </c>
      <c r="J166" s="110">
        <f>((C166+F166)*100)/B166</f>
        <v>86.1568686209897</v>
      </c>
      <c r="K166" s="110">
        <f>((D166+G166)*100)/B166</f>
        <v>9.47155321923777</v>
      </c>
      <c r="L166" s="110">
        <f>((E166+H166)*100)/B166</f>
        <v>4.37157815977258</v>
      </c>
      <c r="M166" s="111">
        <f>N166-B165</f>
        <v>1696.41723322107</v>
      </c>
      <c r="N166" s="107">
        <f>O166+P166+Q166+R166+S166+T166</f>
        <v>1820.11240101698</v>
      </c>
      <c r="O166" s="49">
        <v>747</v>
      </c>
      <c r="P166" s="49">
        <v>385</v>
      </c>
      <c r="Q166" s="49">
        <v>141</v>
      </c>
      <c r="R166" s="49">
        <v>301.816138577549</v>
      </c>
      <c r="S166" s="49">
        <v>159.386050709492</v>
      </c>
      <c r="T166" s="49">
        <v>85.9102117299391</v>
      </c>
      <c r="U166" s="49">
        <v>140</v>
      </c>
      <c r="V166" s="110">
        <f>((O166+R166)*100)/N166</f>
        <v>57.623701590711</v>
      </c>
      <c r="W166" s="110">
        <f>((P166+S166)*100)/N166</f>
        <v>29.9094742942973</v>
      </c>
      <c r="X166" s="110">
        <f>((Q166+T166)*100)/N166</f>
        <v>12.4668241149917</v>
      </c>
    </row>
    <row r="167" spans="1:24" s="168" customFormat="1" ht="22.500000" customHeight="1">
      <c r="A167" s="34">
        <v>165</v>
      </c>
      <c r="B167" s="107">
        <f>C167+D167+E167+F167+G167+H167</f>
        <v>180.172720728395</v>
      </c>
      <c r="C167" s="49">
        <v>122</v>
      </c>
      <c r="D167" s="49">
        <v>5</v>
      </c>
      <c r="E167" s="49">
        <v>17</v>
      </c>
      <c r="F167" s="49">
        <v>19.21675788696</v>
      </c>
      <c r="G167" s="49">
        <v>9.04318018209885</v>
      </c>
      <c r="H167" s="49">
        <v>7.91278265933649</v>
      </c>
      <c r="I167" s="78">
        <f>(100*B167)/N167</f>
        <v>8.42690930080448</v>
      </c>
      <c r="J167" s="110">
        <f>((C167+F167)*100)/B167</f>
        <v>78.3785454957079</v>
      </c>
      <c r="K167" s="110">
        <f>((D167+G167)*100)/B167</f>
        <v>7.794287684243</v>
      </c>
      <c r="L167" s="110">
        <f>((E167+H167)*100)/B167</f>
        <v>13.8271668200491</v>
      </c>
      <c r="M167" s="111">
        <f>N167-B166</f>
        <v>2066.45612852084</v>
      </c>
      <c r="N167" s="107">
        <f>O167+P167+Q167+R167+S167+T167</f>
        <v>2138.06407897609</v>
      </c>
      <c r="O167" s="49">
        <v>877</v>
      </c>
      <c r="P167" s="49">
        <v>430</v>
      </c>
      <c r="Q167" s="49">
        <v>137</v>
      </c>
      <c r="R167" s="49">
        <v>233.992287211807</v>
      </c>
      <c r="S167" s="49">
        <v>282.599380690589</v>
      </c>
      <c r="T167" s="49">
        <v>177.47241107369</v>
      </c>
      <c r="U167" s="49">
        <v>168</v>
      </c>
      <c r="V167" s="110">
        <f>((O167+R167)*100)/N167</f>
        <v>51.962534618881</v>
      </c>
      <c r="W167" s="110">
        <f>((P167+S167)*100)/N167</f>
        <v>33.3291872632672</v>
      </c>
      <c r="X167" s="110">
        <f>((Q167+T167)*100)/N167</f>
        <v>14.7082781178518</v>
      </c>
    </row>
    <row r="168" spans="1:24" s="168" customFormat="1" ht="22.500000" customHeight="1">
      <c r="A168" s="34">
        <v>166</v>
      </c>
      <c r="B168" s="107">
        <f>C168+D168+E168+F168+G168+H168</f>
        <v>188.518162185186</v>
      </c>
      <c r="C168" s="49">
        <v>23</v>
      </c>
      <c r="D168" s="49">
        <v>28</v>
      </c>
      <c r="E168" s="49">
        <v>29</v>
      </c>
      <c r="F168" s="49">
        <v>21.4775529324847</v>
      </c>
      <c r="G168" s="49">
        <v>53.1286835698307</v>
      </c>
      <c r="H168" s="49">
        <v>33.9119256828707</v>
      </c>
      <c r="I168" s="78">
        <f>(100*B168)/N168</f>
        <v>4.87279507644652</v>
      </c>
      <c r="J168" s="110">
        <f>((C168+F168)*100)/B168</f>
        <v>23.5932455615567</v>
      </c>
      <c r="K168" s="110">
        <f>((D168+G168)*100)/B168</f>
        <v>43.0349429622256</v>
      </c>
      <c r="L168" s="110">
        <f>((E168+H168)*100)/B168</f>
        <v>33.3718114762177</v>
      </c>
      <c r="M168" s="111">
        <f>N168-B167</f>
        <v>3688.61632596106</v>
      </c>
      <c r="N168" s="107">
        <f>O168+P168+Q168+R168+S168+T168</f>
        <v>3868.78904668945</v>
      </c>
      <c r="O168" s="49">
        <v>883</v>
      </c>
      <c r="P168" s="49">
        <v>416</v>
      </c>
      <c r="Q168" s="49">
        <v>127</v>
      </c>
      <c r="R168" s="49">
        <v>1678.6403213021</v>
      </c>
      <c r="S168" s="49">
        <v>614.936252382722</v>
      </c>
      <c r="T168" s="49">
        <v>149.212473004631</v>
      </c>
      <c r="U168" s="49">
        <v>162</v>
      </c>
      <c r="V168" s="110">
        <f>((O168+R168)*100)/N168</f>
        <v>66.2129749228408</v>
      </c>
      <c r="W168" s="110">
        <f>((P168+S168)*100)/N168</f>
        <v>26.6475178651806</v>
      </c>
      <c r="X168" s="110">
        <f>((Q168+T168)*100)/N168</f>
        <v>7.13950721197858</v>
      </c>
    </row>
    <row r="169" spans="1:24" s="168" customFormat="1" ht="22.500000" customHeight="1">
      <c r="A169" s="34">
        <v>167</v>
      </c>
      <c r="B169" s="107">
        <f>C169+D169+E169+F169+G169+H169</f>
        <v>61.9991430235341</v>
      </c>
      <c r="C169" s="49">
        <v>7</v>
      </c>
      <c r="D169" s="49">
        <v>13</v>
      </c>
      <c r="E169" s="49">
        <v>16</v>
      </c>
      <c r="F169" s="49">
        <v>4.52159009104942</v>
      </c>
      <c r="G169" s="49">
        <v>11.3039752276235</v>
      </c>
      <c r="H169" s="49">
        <v>10.1735777048612</v>
      </c>
      <c r="I169" s="78">
        <f>(100*B169)/N169</f>
        <v>2.00152376823015</v>
      </c>
      <c r="J169" s="110">
        <f>((C169+F169)*100)/B169</f>
        <v>18.5834666886863</v>
      </c>
      <c r="K169" s="110">
        <f>((D169+G169)*100)/B169</f>
        <v>39.2005018817728</v>
      </c>
      <c r="L169" s="110">
        <f>((E169+H169)*100)/B169</f>
        <v>42.2160314295409</v>
      </c>
      <c r="M169" s="111">
        <f>N169-B168</f>
        <v>2909.07897893481</v>
      </c>
      <c r="N169" s="107">
        <f>O169+P169+Q169+R169+S169+T169</f>
        <v>3097.59714111999</v>
      </c>
      <c r="O169" s="49">
        <v>884</v>
      </c>
      <c r="P169" s="49">
        <v>416</v>
      </c>
      <c r="Q169" s="49">
        <v>128</v>
      </c>
      <c r="R169" s="49">
        <v>1097.61599460224</v>
      </c>
      <c r="S169" s="49">
        <v>431.81185369522</v>
      </c>
      <c r="T169" s="49">
        <v>140.169292822532</v>
      </c>
      <c r="U169" s="49">
        <v>183</v>
      </c>
      <c r="V169" s="110">
        <f>((O169+R169)*100)/N169</f>
        <v>63.9726828352428</v>
      </c>
      <c r="W169" s="110">
        <f>((P169+S169)*100)/N169</f>
        <v>27.3699843804956</v>
      </c>
      <c r="X169" s="110">
        <f>((Q169+T169)*100)/N169</f>
        <v>8.65733278426163</v>
      </c>
    </row>
    <row r="170" spans="1:24" s="168" customFormat="1" ht="22.500000" customHeight="1">
      <c r="A170" s="34">
        <v>168</v>
      </c>
      <c r="B170" s="107">
        <f>C170+D170+E170+F170+G170+H170</f>
        <v>66.9559628414353</v>
      </c>
      <c r="C170" s="49">
        <v>35</v>
      </c>
      <c r="D170" s="49">
        <v>9</v>
      </c>
      <c r="E170" s="49">
        <v>6</v>
      </c>
      <c r="F170" s="49">
        <v>14.6951677959106</v>
      </c>
      <c r="G170" s="49">
        <v>1.13039752276235</v>
      </c>
      <c r="H170" s="49">
        <v>1.13039752276235</v>
      </c>
      <c r="I170" s="78">
        <f>(100*B170)/N170</f>
        <v>3.99770258747942</v>
      </c>
      <c r="J170" s="110">
        <f>((C170+F170)*100)/B170</f>
        <v>74.2206753319318</v>
      </c>
      <c r="K170" s="110">
        <f>((D170+G170)*100)/B170</f>
        <v>15.1299407742864</v>
      </c>
      <c r="L170" s="110">
        <f>((E170+H170)*100)/B170</f>
        <v>10.6493838937818</v>
      </c>
      <c r="M170" s="111">
        <f>N170-B169</f>
        <v>1612.86188968904</v>
      </c>
      <c r="N170" s="107">
        <f>O170+P170+Q170+R170+S170+T170</f>
        <v>1674.86103271258</v>
      </c>
      <c r="O170" s="49">
        <v>880</v>
      </c>
      <c r="P170" s="49">
        <v>411</v>
      </c>
      <c r="Q170" s="49">
        <v>125</v>
      </c>
      <c r="R170" s="49">
        <v>132.256510163195</v>
      </c>
      <c r="S170" s="49">
        <v>82.519019161652</v>
      </c>
      <c r="T170" s="49">
        <v>44.0855033877319</v>
      </c>
      <c r="U170" s="49">
        <v>136</v>
      </c>
      <c r="V170" s="110">
        <f>((O170+R170)*100)/N170</f>
        <v>60.4382387787577</v>
      </c>
      <c r="W170" s="110">
        <f>((P170+S170)*100)/N170</f>
        <v>29.4662667243715</v>
      </c>
      <c r="X170" s="110">
        <f>((Q170+T170)*100)/N170</f>
        <v>10.0954944968708</v>
      </c>
    </row>
    <row r="171" spans="1:24" s="168" customFormat="1" ht="22.500000" customHeight="1">
      <c r="A171" s="34">
        <v>169</v>
      </c>
      <c r="B171" s="107">
        <f>C171+D171+E171+F171+G171+H171</f>
        <v>316.646845755016</v>
      </c>
      <c r="C171" s="49">
        <v>78</v>
      </c>
      <c r="D171" s="49">
        <v>39</v>
      </c>
      <c r="E171" s="49">
        <v>38</v>
      </c>
      <c r="F171" s="49">
        <v>103.996572094136</v>
      </c>
      <c r="G171" s="49">
        <v>27.1295405462965</v>
      </c>
      <c r="H171" s="49">
        <v>30.5207331145836</v>
      </c>
      <c r="I171" s="78">
        <f>(100*B171)/N171</f>
        <v>4.95675812411794</v>
      </c>
      <c r="J171" s="110">
        <f>((C171+F171)*100)/B171</f>
        <v>57.4761992844683</v>
      </c>
      <c r="K171" s="110">
        <f>((D171+G171)*100)/B171</f>
        <v>20.8843200028147</v>
      </c>
      <c r="L171" s="110">
        <f>((E171+H171)*100)/B171</f>
        <v>21.6394807127171</v>
      </c>
      <c r="M171" s="111">
        <f>N171-B170</f>
        <v>6321.22836703978</v>
      </c>
      <c r="N171" s="107">
        <f>O171+P171+Q171+R171+S171+T171</f>
        <v>6388.18432988121</v>
      </c>
      <c r="O171" s="49">
        <v>914</v>
      </c>
      <c r="P171" s="49">
        <v>403</v>
      </c>
      <c r="Q171" s="49">
        <v>111</v>
      </c>
      <c r="R171" s="49">
        <v>3365.19342526353</v>
      </c>
      <c r="S171" s="49">
        <v>1252.48045522069</v>
      </c>
      <c r="T171" s="49">
        <v>342.510449396994</v>
      </c>
      <c r="U171" s="49">
        <v>213</v>
      </c>
      <c r="V171" s="110">
        <f>((O171+R171)*100)/N171</f>
        <v>66.9860668429256</v>
      </c>
      <c r="W171" s="110">
        <f>((P171+S171)*100)/N171</f>
        <v>25.9147258396577</v>
      </c>
      <c r="X171" s="110">
        <f>((Q171+T171)*100)/N171</f>
        <v>7.0992073174167</v>
      </c>
    </row>
    <row r="172" spans="1:24" s="168" customFormat="1" ht="22.500000" customHeight="1">
      <c r="A172" s="34">
        <v>170</v>
      </c>
      <c r="B172" s="107">
        <f>C172+D172+E172+F172+G172+H172</f>
        <v>121.129540546296</v>
      </c>
      <c r="C172" s="49">
        <v>90</v>
      </c>
      <c r="D172" s="49">
        <v>2</v>
      </c>
      <c r="E172" s="49">
        <v>2</v>
      </c>
      <c r="F172" s="49">
        <v>23.7383479780094</v>
      </c>
      <c r="G172" s="49">
        <v>1.13039752276235</v>
      </c>
      <c r="H172" s="49">
        <v>2.26079504552471</v>
      </c>
      <c r="I172" s="78">
        <f>(100*B172)/N172</f>
        <v>6.17055458857881</v>
      </c>
      <c r="J172" s="110">
        <f>((C172+F172)*100)/B172</f>
        <v>93.8981089708153</v>
      </c>
      <c r="K172" s="110">
        <f>((D172+G172)*100)/B172</f>
        <v>2.58433864162631</v>
      </c>
      <c r="L172" s="110">
        <f>((E172+H172)*100)/B172</f>
        <v>3.51755238755835</v>
      </c>
      <c r="M172" s="111">
        <f>N172-B171</f>
        <v>1646.3783379213</v>
      </c>
      <c r="N172" s="107">
        <f>O172+P172+Q172+R172+S172+T172</f>
        <v>1963.02518367632</v>
      </c>
      <c r="O172" s="49">
        <v>897</v>
      </c>
      <c r="P172" s="49">
        <v>401</v>
      </c>
      <c r="Q172" s="49">
        <v>110</v>
      </c>
      <c r="R172" s="49">
        <v>306.337728668598</v>
      </c>
      <c r="S172" s="49">
        <v>179.733206119214</v>
      </c>
      <c r="T172" s="49">
        <v>68.9542488885037</v>
      </c>
      <c r="U172" s="49">
        <v>140</v>
      </c>
      <c r="V172" s="110">
        <f>((O172+R172)*100)/N172</f>
        <v>61.3001676532244</v>
      </c>
      <c r="W172" s="110">
        <f>((P172+S172)*100)/N172</f>
        <v>29.5835841001096</v>
      </c>
      <c r="X172" s="110">
        <f>((Q172+T172)*100)/N172</f>
        <v>9.11624824666598</v>
      </c>
    </row>
    <row r="173" spans="1:24" s="168" customFormat="1" ht="22.500000" customHeight="1">
      <c r="A173" s="34">
        <v>171</v>
      </c>
      <c r="B173" s="107">
        <f>C173+D173+E173+F173+G173+H173</f>
        <v>43.0863603641977</v>
      </c>
      <c r="C173" s="49">
        <v>19</v>
      </c>
      <c r="D173" s="49">
        <v>5</v>
      </c>
      <c r="E173" s="49">
        <v>1</v>
      </c>
      <c r="F173" s="49">
        <v>12.4343727503859</v>
      </c>
      <c r="G173" s="49">
        <v>3.39119256828707</v>
      </c>
      <c r="H173" s="49">
        <v>2.26079504552471</v>
      </c>
      <c r="I173" s="78">
        <f>(100*B173)/N173</f>
        <v>1.49054373378135</v>
      </c>
      <c r="J173" s="110">
        <f>((C173+F173)*100)/B173</f>
        <v>72.9566676894484</v>
      </c>
      <c r="K173" s="110">
        <f>((D173+G173)*100)/B173</f>
        <v>19.4752875326635</v>
      </c>
      <c r="L173" s="110">
        <f>((E173+H173)*100)/B173</f>
        <v>7.5680447778881</v>
      </c>
      <c r="M173" s="111">
        <f>N173-B172</f>
        <v>2769.51763656752</v>
      </c>
      <c r="N173" s="107">
        <f>O173+P173+Q173+R173+S173+T173</f>
        <v>2890.64717711382</v>
      </c>
      <c r="O173" s="49">
        <v>907</v>
      </c>
      <c r="P173" s="49">
        <v>400</v>
      </c>
      <c r="Q173" s="49">
        <v>113</v>
      </c>
      <c r="R173" s="49">
        <v>1067.09526148766</v>
      </c>
      <c r="S173" s="49">
        <v>333.467269214895</v>
      </c>
      <c r="T173" s="49">
        <v>70.0846464112661</v>
      </c>
      <c r="U173" s="49">
        <v>140</v>
      </c>
      <c r="V173" s="110">
        <f>((O173+R173)*100)/N173</f>
        <v>68.2925013165634</v>
      </c>
      <c r="W173" s="110">
        <f>((P173+S173)*100)/N173</f>
        <v>25.3738081569411</v>
      </c>
      <c r="X173" s="110">
        <f>((Q173+T173)*100)/N173</f>
        <v>6.33369052649545</v>
      </c>
    </row>
    <row r="174" spans="1:24" s="168" customFormat="1" ht="22.500000" customHeight="1">
      <c r="A174" s="34">
        <v>172</v>
      </c>
      <c r="B174" s="107">
        <f>C174+D174+E174+F174+G174+H174</f>
        <v>71.042323205633</v>
      </c>
      <c r="C174" s="49">
        <v>7</v>
      </c>
      <c r="D174" s="49">
        <v>13</v>
      </c>
      <c r="E174" s="49">
        <v>16</v>
      </c>
      <c r="F174" s="49">
        <v>7.91278265933649</v>
      </c>
      <c r="G174" s="49">
        <v>7.91278265933649</v>
      </c>
      <c r="H174" s="49">
        <v>19.21675788696</v>
      </c>
      <c r="I174" s="78">
        <f>(100*B174)/N174</f>
        <v>2.20921698377145</v>
      </c>
      <c r="J174" s="110">
        <f>((C174+F174)*100)/B174</f>
        <v>20.9914062300176</v>
      </c>
      <c r="K174" s="110">
        <f>((D174+G174)*100)/B174</f>
        <v>29.4370759790669</v>
      </c>
      <c r="L174" s="110">
        <f>((E174+H174)*100)/B174</f>
        <v>49.5715177909154</v>
      </c>
      <c r="M174" s="111">
        <f>N174-B173</f>
        <v>3172.6377503727</v>
      </c>
      <c r="N174" s="107">
        <f>O174+P174+Q174+R174+S174+T174</f>
        <v>3215.7241107369</v>
      </c>
      <c r="O174" s="49">
        <v>926</v>
      </c>
      <c r="P174" s="49">
        <v>400</v>
      </c>
      <c r="Q174" s="49">
        <v>115</v>
      </c>
      <c r="R174" s="49">
        <v>1176.74382119561</v>
      </c>
      <c r="S174" s="49">
        <v>457.810996718754</v>
      </c>
      <c r="T174" s="49">
        <v>140.169292822532</v>
      </c>
      <c r="U174" s="49">
        <v>205</v>
      </c>
      <c r="V174" s="110">
        <f>((O174+R174)*100)/N174</f>
        <v>65.3894348142247</v>
      </c>
      <c r="W174" s="110">
        <f>((P174+S174)*100)/N174</f>
        <v>26.6755159080542</v>
      </c>
      <c r="X174" s="110">
        <f>((Q174+T174)*100)/N174</f>
        <v>7.93504927772112</v>
      </c>
    </row>
    <row r="175" spans="1:24" s="168" customFormat="1" ht="22.500000" customHeight="1">
      <c r="A175" s="34">
        <v>173</v>
      </c>
      <c r="B175" s="107">
        <f>C175+D175+E175+F175+G175+H175</f>
        <v>109.520733114584</v>
      </c>
      <c r="C175" s="49">
        <v>74</v>
      </c>
      <c r="D175" s="49">
        <v>0</v>
      </c>
      <c r="E175" s="49">
        <v>5</v>
      </c>
      <c r="F175" s="49">
        <v>27.1295405462965</v>
      </c>
      <c r="G175" s="49">
        <v>0</v>
      </c>
      <c r="H175" s="49">
        <v>3.39119256828707</v>
      </c>
      <c r="I175" s="78">
        <f>(100*B175)/N175</f>
        <v>4.04005729397961</v>
      </c>
      <c r="J175" s="110">
        <f>((C175+F175)*100)/B175</f>
        <v>92.3382611404656</v>
      </c>
      <c r="K175" s="110">
        <f>((D175+G175)*100)/B175</f>
        <v>0</v>
      </c>
      <c r="L175" s="110">
        <f>((E175+H175)*100)/B175</f>
        <v>7.66173885953446</v>
      </c>
      <c r="M175" s="111">
        <f>N175-B174</f>
        <v>2639.82846760688</v>
      </c>
      <c r="N175" s="107">
        <f>O175+P175+Q175+R175+S175+T175</f>
        <v>2710.87079081251</v>
      </c>
      <c r="O175" s="49">
        <v>915</v>
      </c>
      <c r="P175" s="49">
        <v>403</v>
      </c>
      <c r="Q175" s="49">
        <v>111</v>
      </c>
      <c r="R175" s="49">
        <v>835.363769321381</v>
      </c>
      <c r="S175" s="49">
        <v>337.988859305944</v>
      </c>
      <c r="T175" s="49">
        <v>108.518162185186</v>
      </c>
      <c r="U175" s="49">
        <v>176</v>
      </c>
      <c r="V175" s="110">
        <f>((O175+R175)*100)/N175</f>
        <v>64.5683215612337</v>
      </c>
      <c r="W175" s="110">
        <f>((P175+S175)*100)/N175</f>
        <v>27.3339792445015</v>
      </c>
      <c r="X175" s="110">
        <f>((Q175+T175)*100)/N175</f>
        <v>8.09769919426485</v>
      </c>
    </row>
    <row r="176" spans="1:24" s="168" customFormat="1" ht="22.500000" customHeight="1">
      <c r="A176" s="34">
        <v>174</v>
      </c>
      <c r="B176" s="107">
        <f>C176+D176+E176+F176+G176+H176</f>
        <v>86.9559628414353</v>
      </c>
      <c r="C176" s="49">
        <v>53</v>
      </c>
      <c r="D176" s="49">
        <v>5</v>
      </c>
      <c r="E176" s="49">
        <v>12</v>
      </c>
      <c r="F176" s="49">
        <v>11.3039752276235</v>
      </c>
      <c r="G176" s="49">
        <v>3.39119256828707</v>
      </c>
      <c r="H176" s="49">
        <v>2.26079504552471</v>
      </c>
      <c r="I176" s="78">
        <f>(100*B176)/N176</f>
        <v>4.54412319514084</v>
      </c>
      <c r="J176" s="110">
        <f>((C176+F176)*100)/B176</f>
        <v>73.9500468126403</v>
      </c>
      <c r="K176" s="110">
        <f>((D176+G176)*100)/B176</f>
        <v>9.64993347677429</v>
      </c>
      <c r="L176" s="110">
        <f>((E176+H176)*100)/B176</f>
        <v>16.4000197105854</v>
      </c>
      <c r="M176" s="111">
        <f>N176-B175</f>
        <v>1804.07093478781</v>
      </c>
      <c r="N176" s="107">
        <f>O176+P176+Q176+R176+S176+T176</f>
        <v>1913.5916679024</v>
      </c>
      <c r="O176" s="49">
        <v>901</v>
      </c>
      <c r="P176" s="49">
        <v>399</v>
      </c>
      <c r="Q176" s="49">
        <v>97</v>
      </c>
      <c r="R176" s="49">
        <v>293.903355918212</v>
      </c>
      <c r="S176" s="49">
        <v>152.603665572918</v>
      </c>
      <c r="T176" s="49">
        <v>70.0846464112661</v>
      </c>
      <c r="U176" s="49">
        <v>120</v>
      </c>
      <c r="V176" s="110">
        <f>((O176+R176)*100)/N176</f>
        <v>62.4429639802946</v>
      </c>
      <c r="W176" s="110">
        <f>((P176+S176)*100)/N176</f>
        <v>28.8255679006778</v>
      </c>
      <c r="X176" s="110">
        <f>((Q176+T176)*100)/N176</f>
        <v>8.7314681190276</v>
      </c>
    </row>
    <row r="177" spans="1:24" s="168" customFormat="1" ht="22.500000" customHeight="1">
      <c r="A177" s="34">
        <v>175</v>
      </c>
      <c r="B177" s="107">
        <f>C177+D177+E177+F177+G177+H177</f>
        <v>276.169292822532</v>
      </c>
      <c r="C177" s="49">
        <v>112</v>
      </c>
      <c r="D177" s="49">
        <v>8</v>
      </c>
      <c r="E177" s="49">
        <v>16</v>
      </c>
      <c r="F177" s="49">
        <v>118.691739890047</v>
      </c>
      <c r="G177" s="49">
        <v>15.8255653186729</v>
      </c>
      <c r="H177" s="49">
        <v>5.65198761381178</v>
      </c>
      <c r="I177" s="78">
        <f>(100*B177)/N177</f>
        <v>6.63231210899248</v>
      </c>
      <c r="J177" s="110">
        <f>((C177+F177)*100)/B177</f>
        <v>83.532726441926</v>
      </c>
      <c r="K177" s="110">
        <f>((D177+G177)*100)/B177</f>
        <v>8.62715947713397</v>
      </c>
      <c r="L177" s="110">
        <f>((E177+H177)*100)/B177</f>
        <v>7.84011408094002</v>
      </c>
      <c r="M177" s="111">
        <f>N177-B176</f>
        <v>4077.04127197031</v>
      </c>
      <c r="N177" s="107">
        <f>O177+P177+Q177+R177+S177+T177</f>
        <v>4163.99723481175</v>
      </c>
      <c r="O177" s="49">
        <v>931</v>
      </c>
      <c r="P177" s="49">
        <v>405</v>
      </c>
      <c r="Q177" s="49">
        <v>106</v>
      </c>
      <c r="R177" s="49">
        <v>1844.80875714816</v>
      </c>
      <c r="S177" s="49">
        <v>708.759246771997</v>
      </c>
      <c r="T177" s="49">
        <v>168.429230891591</v>
      </c>
      <c r="U177" s="49">
        <v>191</v>
      </c>
      <c r="V177" s="110">
        <f>((O177+R177)*100)/N177</f>
        <v>66.6621181671763</v>
      </c>
      <c r="W177" s="110">
        <f>((P177+S177)*100)/N177</f>
        <v>26.7473579823919</v>
      </c>
      <c r="X177" s="110">
        <f>((Q177+T177)*100)/N177</f>
        <v>6.59052385043185</v>
      </c>
    </row>
    <row r="178" spans="1:24" s="168" customFormat="1" ht="22.500000" customHeight="1">
      <c r="A178" s="34">
        <v>176</v>
      </c>
      <c r="B178" s="107">
        <f>C178+D178+E178+F178+G178+H178</f>
        <v>334.951677959106</v>
      </c>
      <c r="C178" s="49">
        <v>152</v>
      </c>
      <c r="D178" s="49">
        <v>4</v>
      </c>
      <c r="E178" s="49">
        <v>32</v>
      </c>
      <c r="F178" s="49">
        <v>117.561342367285</v>
      </c>
      <c r="G178" s="49">
        <v>13.5647702731482</v>
      </c>
      <c r="H178" s="49">
        <v>15.8255653186729</v>
      </c>
      <c r="I178" s="78">
        <f>(100*B178)/N178</f>
        <v>9.3571703049197</v>
      </c>
      <c r="J178" s="110">
        <f>((C178+F178)*100)/B178</f>
        <v>80.4776808433232</v>
      </c>
      <c r="K178" s="110">
        <f>((D178+G178)*100)/B178</f>
        <v>5.24397142303394</v>
      </c>
      <c r="L178" s="110">
        <f>((E178+H178)*100)/B178</f>
        <v>14.2783477336429</v>
      </c>
      <c r="M178" s="111">
        <f>N178-B177</f>
        <v>3303.45645987964</v>
      </c>
      <c r="N178" s="107">
        <f>O178+P178+Q178+R178+S178+T178</f>
        <v>3579.62575270217</v>
      </c>
      <c r="O178" s="49">
        <v>944</v>
      </c>
      <c r="P178" s="49">
        <v>417</v>
      </c>
      <c r="Q178" s="49">
        <v>98</v>
      </c>
      <c r="R178" s="49">
        <v>1245.69807008411</v>
      </c>
      <c r="S178" s="49">
        <v>633.022612746919</v>
      </c>
      <c r="T178" s="49">
        <v>241.905069871144</v>
      </c>
      <c r="U178" s="49">
        <v>171</v>
      </c>
      <c r="V178" s="110">
        <f>((O178+R178)*100)/N178</f>
        <v>61.1711452916876</v>
      </c>
      <c r="W178" s="110">
        <f>((P178+S178)*100)/N178</f>
        <v>29.3333070350799</v>
      </c>
      <c r="X178" s="110">
        <f>((Q178+T178)*100)/N178</f>
        <v>9.49554767323254</v>
      </c>
    </row>
    <row r="179" spans="1:24" s="168" customFormat="1" ht="22.500000" customHeight="1">
      <c r="A179" s="34">
        <v>177</v>
      </c>
      <c r="B179" s="107">
        <f>C179+D179+E179+F179+G179+H179</f>
        <v>190.213329981097</v>
      </c>
      <c r="C179" s="49">
        <v>35</v>
      </c>
      <c r="D179" s="49">
        <v>15</v>
      </c>
      <c r="E179" s="49">
        <v>17</v>
      </c>
      <c r="F179" s="49">
        <v>73.4758389795531</v>
      </c>
      <c r="G179" s="49">
        <v>33.9119256828707</v>
      </c>
      <c r="H179" s="49">
        <v>15.8255653186729</v>
      </c>
      <c r="I179" s="78">
        <f>(100*B179)/N179</f>
        <v>2.71050065529138</v>
      </c>
      <c r="J179" s="110">
        <f>((C179+F179)*100)/B179</f>
        <v>57.0285158197553</v>
      </c>
      <c r="K179" s="110">
        <f>((D179+G179)*100)/B179</f>
        <v>25.7142470970523</v>
      </c>
      <c r="L179" s="110">
        <f>((E179+H179)*100)/B179</f>
        <v>17.2572370831924</v>
      </c>
      <c r="M179" s="111">
        <f>N179-B178</f>
        <v>6682.69392230174</v>
      </c>
      <c r="N179" s="107">
        <f>O179+P179+Q179+R179+S179+T179</f>
        <v>7017.64560026084</v>
      </c>
      <c r="O179" s="49">
        <v>977</v>
      </c>
      <c r="P179" s="49">
        <v>456</v>
      </c>
      <c r="Q179" s="49">
        <v>109</v>
      </c>
      <c r="R179" s="49">
        <v>3716.74705484262</v>
      </c>
      <c r="S179" s="49">
        <v>1494.38552509183</v>
      </c>
      <c r="T179" s="49">
        <v>264.513020326391</v>
      </c>
      <c r="U179" s="49">
        <v>206</v>
      </c>
      <c r="V179" s="110">
        <f>((O179+R179)*100)/N179</f>
        <v>66.8849258313665</v>
      </c>
      <c r="W179" s="110">
        <f>((P179+S179)*100)/N179</f>
        <v>27.7925907945442</v>
      </c>
      <c r="X179" s="110">
        <f>((Q179+T179)*100)/N179</f>
        <v>5.32248337408928</v>
      </c>
    </row>
    <row r="180" spans="1:24" s="168" customFormat="1" ht="22.500000" customHeight="1">
      <c r="A180" s="34">
        <v>178</v>
      </c>
      <c r="B180" s="107">
        <f>C180+D180+E180+F180+G180+H180</f>
        <v>231.213329981097</v>
      </c>
      <c r="C180" s="49">
        <v>50</v>
      </c>
      <c r="D180" s="49">
        <v>39</v>
      </c>
      <c r="E180" s="49">
        <v>19</v>
      </c>
      <c r="F180" s="49">
        <v>37.3031182511577</v>
      </c>
      <c r="G180" s="49">
        <v>47.4766959560189</v>
      </c>
      <c r="H180" s="49">
        <v>38.4335157739201</v>
      </c>
      <c r="I180" s="78">
        <f>(100*B180)/N180</f>
        <v>6.97369918577418</v>
      </c>
      <c r="J180" s="110">
        <f>((C180+F180)*100)/B180</f>
        <v>37.7586872946708</v>
      </c>
      <c r="K180" s="110">
        <f>((D180+G180)*100)/B180</f>
        <v>37.4012588128414</v>
      </c>
      <c r="L180" s="110">
        <f>((E180+H180)*100)/B180</f>
        <v>24.8400538924878</v>
      </c>
      <c r="M180" s="111">
        <f>N180-B179</f>
        <v>3125.29145193944</v>
      </c>
      <c r="N180" s="107">
        <f>O180+P180+Q180+R180+S180+T180</f>
        <v>3315.50478192054</v>
      </c>
      <c r="O180" s="49">
        <v>940</v>
      </c>
      <c r="P180" s="49">
        <v>442</v>
      </c>
      <c r="Q180" s="49">
        <v>100</v>
      </c>
      <c r="R180" s="49">
        <v>1119.09354753473</v>
      </c>
      <c r="S180" s="49">
        <v>523.374053038971</v>
      </c>
      <c r="T180" s="49">
        <v>191.037181346838</v>
      </c>
      <c r="U180" s="49">
        <v>145</v>
      </c>
      <c r="V180" s="110">
        <f>((O180+R180)*100)/N180</f>
        <v>62.1049789692048</v>
      </c>
      <c r="W180" s="110">
        <f>((P180+S180)*100)/N180</f>
        <v>29.1169555327792</v>
      </c>
      <c r="X180" s="110">
        <f>((Q180+T180)*100)/N180</f>
        <v>8.77806549801602</v>
      </c>
    </row>
    <row r="181" spans="1:24" s="168" customFormat="1" ht="22.500000" customHeight="1">
      <c r="A181" s="34">
        <v>179</v>
      </c>
      <c r="B181" s="107">
        <f>C181+D181+E181+F181+G181+H181</f>
        <v>95.2590810925931</v>
      </c>
      <c r="C181" s="49">
        <v>18</v>
      </c>
      <c r="D181" s="49">
        <v>14</v>
      </c>
      <c r="E181" s="49">
        <v>9</v>
      </c>
      <c r="F181" s="49">
        <v>33.9119256828707</v>
      </c>
      <c r="G181" s="49">
        <v>14.6951677959106</v>
      </c>
      <c r="H181" s="49">
        <v>5.65198761381178</v>
      </c>
      <c r="I181" s="78">
        <f>(100*B181)/N181</f>
        <v>1.85143778286949</v>
      </c>
      <c r="J181" s="110">
        <f>((C181+F181)*100)/B181</f>
        <v>54.4955138003186</v>
      </c>
      <c r="K181" s="110">
        <f>((D181+G181)*100)/B181</f>
        <v>30.1232884747424</v>
      </c>
      <c r="L181" s="110">
        <f>((E181+H181)*100)/B181</f>
        <v>15.3811977249391</v>
      </c>
      <c r="M181" s="111">
        <f>N181-B180</f>
        <v>4913.92748835921</v>
      </c>
      <c r="N181" s="107">
        <f>O181+P181+Q181+R181+S181+T181</f>
        <v>5145.1408183403</v>
      </c>
      <c r="O181" s="49">
        <v>957</v>
      </c>
      <c r="P181" s="49">
        <v>438</v>
      </c>
      <c r="Q181" s="49">
        <v>108</v>
      </c>
      <c r="R181" s="49">
        <v>2532.09045098767</v>
      </c>
      <c r="S181" s="49">
        <v>947.273124074855</v>
      </c>
      <c r="T181" s="49">
        <v>162.777243277779</v>
      </c>
      <c r="U181" s="49">
        <v>163</v>
      </c>
      <c r="V181" s="110">
        <f>((O181+R181)*100)/N181</f>
        <v>67.8133130691098</v>
      </c>
      <c r="W181" s="110">
        <f>((P181+S181)*100)/N181</f>
        <v>26.9239107924302</v>
      </c>
      <c r="X181" s="110">
        <f>((Q181+T181)*100)/N181</f>
        <v>5.26277613846</v>
      </c>
    </row>
    <row r="182" spans="1:24" s="168" customFormat="1" ht="22.500000" customHeight="1">
      <c r="A182" s="34">
        <v>180</v>
      </c>
      <c r="B182" s="107">
        <f>C182+D182+E182+F182+G182+H182</f>
        <v>72.6511306373459</v>
      </c>
      <c r="C182" s="49">
        <v>14</v>
      </c>
      <c r="D182" s="49">
        <v>25</v>
      </c>
      <c r="E182" s="49">
        <v>2</v>
      </c>
      <c r="F182" s="49">
        <v>5.65198761381178</v>
      </c>
      <c r="G182" s="49">
        <v>21.4775529324847</v>
      </c>
      <c r="H182" s="49">
        <v>4.52159009104942</v>
      </c>
      <c r="I182" s="78">
        <f>(100*B182)/N182</f>
        <v>2.64039556393424</v>
      </c>
      <c r="J182" s="110">
        <f>((C182+F182)*100)/B182</f>
        <v>27.0498028611681</v>
      </c>
      <c r="K182" s="110">
        <f>((D182+G182)*100)/B182</f>
        <v>63.9736126950145</v>
      </c>
      <c r="L182" s="110">
        <f>((E182+H182)*100)/B182</f>
        <v>8.97658444381736</v>
      </c>
      <c r="M182" s="111">
        <f>N182-B181</f>
        <v>2656.26541128666</v>
      </c>
      <c r="N182" s="107">
        <f>O182+P182+Q182+R182+S182+T182</f>
        <v>2751.52449237925</v>
      </c>
      <c r="O182" s="49">
        <v>969</v>
      </c>
      <c r="P182" s="49">
        <v>432</v>
      </c>
      <c r="Q182" s="49">
        <v>115</v>
      </c>
      <c r="R182" s="49">
        <v>730.236799704482</v>
      </c>
      <c r="S182" s="49">
        <v>347.032039488043</v>
      </c>
      <c r="T182" s="49">
        <v>158.255653186729</v>
      </c>
      <c r="U182" s="49">
        <v>103</v>
      </c>
      <c r="V182" s="110">
        <f>((O182+R182)*100)/N182</f>
        <v>61.7561938631026</v>
      </c>
      <c r="W182" s="110">
        <f>((P182+S182)*100)/N182</f>
        <v>28.3127423232352</v>
      </c>
      <c r="X182" s="110">
        <f>((Q182+T182)*100)/N182</f>
        <v>9.93106381366221</v>
      </c>
    </row>
    <row r="183" spans="1:24" s="168" customFormat="1" ht="22.500000" customHeight="1">
      <c r="A183" s="34">
        <v>181</v>
      </c>
      <c r="B183" s="107">
        <f>C183+D183+E183+F183+G183+H183</f>
        <v>146.649416684414</v>
      </c>
      <c r="C183" s="49">
        <v>53</v>
      </c>
      <c r="D183" s="49">
        <v>4</v>
      </c>
      <c r="E183" s="49">
        <v>6</v>
      </c>
      <c r="F183" s="49">
        <v>79.1278265933649</v>
      </c>
      <c r="G183" s="49">
        <v>2.26079504552471</v>
      </c>
      <c r="H183" s="49">
        <v>2.26079504552471</v>
      </c>
      <c r="I183" s="78">
        <f>(100*B183)/N183</f>
        <v>3.0601136296047</v>
      </c>
      <c r="J183" s="110">
        <f>((C183+F183)*100)/B183</f>
        <v>90.0977512087215</v>
      </c>
      <c r="K183" s="110">
        <f>((D183+G183)*100)/B183</f>
        <v>4.26922601335522</v>
      </c>
      <c r="L183" s="110">
        <f>((E183+H183)*100)/B183</f>
        <v>5.6330227779233</v>
      </c>
      <c r="M183" s="111">
        <f>N183-B182</f>
        <v>4719.63551080211</v>
      </c>
      <c r="N183" s="107">
        <f>O183+P183+Q183+R183+S183+T183</f>
        <v>4792.28664143946</v>
      </c>
      <c r="O183" s="49">
        <v>1011</v>
      </c>
      <c r="P183" s="49">
        <v>465</v>
      </c>
      <c r="Q183" s="49">
        <v>141</v>
      </c>
      <c r="R183" s="49">
        <v>2173.75443627201</v>
      </c>
      <c r="S183" s="49">
        <v>777.713495660501</v>
      </c>
      <c r="T183" s="49">
        <v>223.818709506946</v>
      </c>
      <c r="U183" s="49">
        <v>165</v>
      </c>
      <c r="V183" s="110">
        <f>((O183+R183)*100)/N183</f>
        <v>66.4558419509607</v>
      </c>
      <c r="W183" s="110">
        <f>((P183+S183)*100)/N183</f>
        <v>25.9315351655849</v>
      </c>
      <c r="X183" s="110">
        <f>((Q183+T183)*100)/N183</f>
        <v>7.61262288345435</v>
      </c>
    </row>
    <row r="184" spans="1:24" s="168" customFormat="1" ht="22.500000" customHeight="1">
      <c r="A184" s="34">
        <v>182</v>
      </c>
      <c r="B184" s="107">
        <f>C184+D184+E184+F184+G184+H184</f>
        <v>323.254796210264</v>
      </c>
      <c r="C184" s="49">
        <v>114</v>
      </c>
      <c r="D184" s="49">
        <v>9</v>
      </c>
      <c r="E184" s="49">
        <v>16</v>
      </c>
      <c r="F184" s="49">
        <v>133.386907685958</v>
      </c>
      <c r="G184" s="49">
        <v>35.042323205633</v>
      </c>
      <c r="H184" s="49">
        <v>15.8255653186729</v>
      </c>
      <c r="I184" s="78">
        <f>(100*B184)/N184</f>
        <v>5.46931242210719</v>
      </c>
      <c r="J184" s="110">
        <f>((C184+F184)*100)/B184</f>
        <v>76.5300037574827</v>
      </c>
      <c r="K184" s="110">
        <f>((D184+G184)*100)/B184</f>
        <v>13.6246464776304</v>
      </c>
      <c r="L184" s="110">
        <f>((E184+H184)*100)/B184</f>
        <v>9.84534976488692</v>
      </c>
      <c r="M184" s="111">
        <f>N184-B183</f>
        <v>5763.68759210767</v>
      </c>
      <c r="N184" s="107">
        <f>O184+P184+Q184+R184+S184+T184</f>
        <v>5910.33700879208</v>
      </c>
      <c r="O184" s="49">
        <v>1014</v>
      </c>
      <c r="P184" s="49">
        <v>470</v>
      </c>
      <c r="Q184" s="49">
        <v>141</v>
      </c>
      <c r="R184" s="49">
        <v>2923.20799386345</v>
      </c>
      <c r="S184" s="49">
        <v>1043.35691350965</v>
      </c>
      <c r="T184" s="49">
        <v>318.772101418984</v>
      </c>
      <c r="U184" s="49">
        <v>167</v>
      </c>
      <c r="V184" s="110">
        <f>((O184+R184)*100)/N184</f>
        <v>66.6156259449596</v>
      </c>
      <c r="W184" s="110">
        <f>((P184+S184)*100)/N184</f>
        <v>25.6052558637251</v>
      </c>
      <c r="X184" s="110">
        <f>((Q184+T184)*100)/N184</f>
        <v>7.77911819131527</v>
      </c>
    </row>
    <row r="185" spans="1:24" s="168" customFormat="1" ht="22.500000" customHeight="1">
      <c r="A185" s="34">
        <v>183</v>
      </c>
      <c r="B185" s="107">
        <f>C185+D185+E185+F185+G185+H185</f>
        <v>100.607950455247</v>
      </c>
      <c r="C185" s="49">
        <v>76</v>
      </c>
      <c r="D185" s="49">
        <v>1</v>
      </c>
      <c r="E185" s="49">
        <v>1</v>
      </c>
      <c r="F185" s="49">
        <v>21.4775529324847</v>
      </c>
      <c r="G185" s="49">
        <v>0</v>
      </c>
      <c r="H185" s="49">
        <v>1.13039752276235</v>
      </c>
      <c r="I185" s="78">
        <f>(100*B185)/N185</f>
        <v>3.13859509858108</v>
      </c>
      <c r="J185" s="110">
        <f>((C185+F185)*100)/B185</f>
        <v>96.8885187417124</v>
      </c>
      <c r="K185" s="110">
        <f>((D185+G185)*100)/B185</f>
        <v>0.993957232480176</v>
      </c>
      <c r="L185" s="110">
        <f>((E185+H185)*100)/B185</f>
        <v>2.11752402580749</v>
      </c>
      <c r="M185" s="111">
        <f>N185-B184</f>
        <v>2882.25427059261</v>
      </c>
      <c r="N185" s="107">
        <f>O185+P185+Q185+R185+S185+T185</f>
        <v>3205.50906680287</v>
      </c>
      <c r="O185" s="49">
        <v>952</v>
      </c>
      <c r="P185" s="49">
        <v>416</v>
      </c>
      <c r="Q185" s="49">
        <v>134</v>
      </c>
      <c r="R185" s="49">
        <v>1160.91825587694</v>
      </c>
      <c r="S185" s="49">
        <v>410.334300762735</v>
      </c>
      <c r="T185" s="49">
        <v>132.256510163195</v>
      </c>
      <c r="U185" s="49">
        <v>119</v>
      </c>
      <c r="V185" s="110">
        <f>((O185+R185)*100)/N185</f>
        <v>65.915216954427</v>
      </c>
      <c r="W185" s="110">
        <f>((P185+S185)*100)/N185</f>
        <v>25.7785669465259</v>
      </c>
      <c r="X185" s="110">
        <f>((Q185+T185)*100)/N185</f>
        <v>8.30621609904712</v>
      </c>
    </row>
    <row r="186" spans="1:24" s="168" customFormat="1" ht="22.500000" customHeight="1">
      <c r="A186" s="34">
        <v>184</v>
      </c>
      <c r="B186" s="107">
        <f>C186+D186+E186+F186+G186+H186</f>
        <v>22</v>
      </c>
      <c r="C186" s="49">
        <v>22</v>
      </c>
      <c r="D186" s="49">
        <v>0</v>
      </c>
      <c r="E186" s="49">
        <v>0</v>
      </c>
      <c r="F186" s="49">
        <v>0</v>
      </c>
      <c r="G186" s="49">
        <v>0</v>
      </c>
      <c r="H186" s="49">
        <v>0</v>
      </c>
      <c r="I186" s="78">
        <f>(100*B186)/N186</f>
        <v>1.36594601506153</v>
      </c>
      <c r="J186" s="110">
        <f>((C186+F186)*100)/B186</f>
        <v>100</v>
      </c>
      <c r="K186" s="110">
        <f>((D186+G186)*100)/B186</f>
        <v>0</v>
      </c>
      <c r="L186" s="110">
        <f>((E186+H186)*100)/B186</f>
        <v>0</v>
      </c>
      <c r="M186" s="111">
        <f>N186-B185</f>
        <v>1509.9974290706</v>
      </c>
      <c r="N186" s="107">
        <f>O186+P186+Q186+R186+S186+T186</f>
        <v>1610.60537952585</v>
      </c>
      <c r="O186" s="49">
        <v>957</v>
      </c>
      <c r="P186" s="49">
        <v>417</v>
      </c>
      <c r="Q186" s="49">
        <v>136</v>
      </c>
      <c r="R186" s="49">
        <v>12.4343727503859</v>
      </c>
      <c r="S186" s="49">
        <v>44.0855033877319</v>
      </c>
      <c r="T186" s="49">
        <v>44.0855033877319</v>
      </c>
      <c r="U186" s="49">
        <v>92</v>
      </c>
      <c r="V186" s="110">
        <f>((O186+R186)*100)/N186</f>
        <v>60.190682651003</v>
      </c>
      <c r="W186" s="110">
        <f>((P186+S186)*100)/N186</f>
        <v>28.6280866343233</v>
      </c>
      <c r="X186" s="110">
        <f>((Q186+T186)*100)/N186</f>
        <v>11.1812307146737</v>
      </c>
    </row>
    <row r="187" spans="1:24" s="168" customFormat="1" ht="22.500000" customHeight="1">
      <c r="A187" s="34">
        <v>185</v>
      </c>
      <c r="B187" s="107">
        <f>C187+D187+E187+F187+G187+H187</f>
        <v>126.390335591821</v>
      </c>
      <c r="C187" s="49">
        <v>81</v>
      </c>
      <c r="D187" s="49">
        <v>5</v>
      </c>
      <c r="E187" s="49">
        <v>11</v>
      </c>
      <c r="F187" s="49">
        <v>22.6079504552471</v>
      </c>
      <c r="G187" s="49">
        <v>1.13039752276235</v>
      </c>
      <c r="H187" s="49">
        <v>5.65198761381178</v>
      </c>
      <c r="I187" s="78">
        <f>(100*B187)/N187</f>
        <v>4.58940678171704</v>
      </c>
      <c r="J187" s="110">
        <f>((C187+F187)*100)/B187</f>
        <v>81.9745829221072</v>
      </c>
      <c r="K187" s="110">
        <f>((D187+G187)*100)/B187</f>
        <v>4.85036889415384</v>
      </c>
      <c r="L187" s="110">
        <f>((E187+H187)*100)/B187</f>
        <v>13.1750481837389</v>
      </c>
      <c r="M187" s="111">
        <f>N187-B186</f>
        <v>2731.95800815318</v>
      </c>
      <c r="N187" s="107">
        <f>O187+P187+Q187+R187+S187+T187</f>
        <v>2753.95800815318</v>
      </c>
      <c r="O187" s="49">
        <v>929</v>
      </c>
      <c r="P187" s="49">
        <v>417</v>
      </c>
      <c r="Q187" s="49">
        <v>134</v>
      </c>
      <c r="R187" s="49">
        <v>943.881931506568</v>
      </c>
      <c r="S187" s="49">
        <v>290.512163349925</v>
      </c>
      <c r="T187" s="49">
        <v>39.5639132966824</v>
      </c>
      <c r="U187" s="49">
        <v>101</v>
      </c>
      <c r="V187" s="110">
        <f>((O187+R187)*100)/N187</f>
        <v>68.0069168070771</v>
      </c>
      <c r="W187" s="110">
        <f>((P187+S187)*100)/N187</f>
        <v>25.6907389747888</v>
      </c>
      <c r="X187" s="110">
        <f>((Q187+T187)*100)/N187</f>
        <v>6.30234421813409</v>
      </c>
    </row>
    <row r="188" spans="1:24" s="168" customFormat="1" ht="22.500000" customHeight="1">
      <c r="A188" s="34">
        <v>186</v>
      </c>
      <c r="B188" s="107">
        <f>C188+D188+E188+F188+G188+H188</f>
        <v>197.171006775464</v>
      </c>
      <c r="C188" s="49">
        <v>94</v>
      </c>
      <c r="D188" s="49">
        <v>5</v>
      </c>
      <c r="E188" s="49">
        <v>10</v>
      </c>
      <c r="F188" s="49">
        <v>75.7366340250779</v>
      </c>
      <c r="G188" s="49">
        <v>4.52159009104942</v>
      </c>
      <c r="H188" s="49">
        <v>7.91278265933649</v>
      </c>
      <c r="I188" s="78">
        <f>(100*B188)/N188</f>
        <v>5.68918047152827</v>
      </c>
      <c r="J188" s="110">
        <f>((C188+F188)*100)/B188</f>
        <v>86.0860005742995</v>
      </c>
      <c r="K188" s="110">
        <f>((D188+G188)*100)/B188</f>
        <v>4.82910253731803</v>
      </c>
      <c r="L188" s="110">
        <f>((E188+H188)*100)/B188</f>
        <v>9.08489688838246</v>
      </c>
      <c r="M188" s="111">
        <f>N188-B187</f>
        <v>3339.32863328628</v>
      </c>
      <c r="N188" s="107">
        <f>O188+P188+Q188+R188+S188+T188</f>
        <v>3465.7189688781</v>
      </c>
      <c r="O188" s="49">
        <v>969</v>
      </c>
      <c r="P188" s="49">
        <v>423</v>
      </c>
      <c r="Q188" s="49">
        <v>143</v>
      </c>
      <c r="R188" s="49">
        <v>1171.0918335818</v>
      </c>
      <c r="S188" s="49">
        <v>506.418090197535</v>
      </c>
      <c r="T188" s="49">
        <v>253.209045098767</v>
      </c>
      <c r="U188" s="49">
        <v>150</v>
      </c>
      <c r="V188" s="110">
        <f>((O188+R188)*100)/N188</f>
        <v>61.7502992250574</v>
      </c>
      <c r="W188" s="110">
        <f>((P188+S188)*100)/N188</f>
        <v>26.8174684255602</v>
      </c>
      <c r="X188" s="110">
        <f>((Q188+T188)*100)/N188</f>
        <v>11.4322323493825</v>
      </c>
    </row>
    <row r="189" spans="1:24" s="168" customFormat="1" ht="22.500000" customHeight="1">
      <c r="A189" s="34">
        <v>187</v>
      </c>
      <c r="B189" s="107">
        <f>C189+D189+E189+F189+G189+H189</f>
        <v>159.475838979553</v>
      </c>
      <c r="C189" s="49">
        <v>69</v>
      </c>
      <c r="D189" s="49">
        <v>5</v>
      </c>
      <c r="E189" s="49">
        <v>12</v>
      </c>
      <c r="F189" s="49">
        <v>71.2150439340284</v>
      </c>
      <c r="G189" s="49">
        <v>1.13039752276235</v>
      </c>
      <c r="H189" s="49">
        <v>1.13039752276235</v>
      </c>
      <c r="I189" s="78">
        <f>(100*B189)/N189</f>
        <v>4.32702451596409</v>
      </c>
      <c r="J189" s="110">
        <f>((C189+F189)*100)/B189</f>
        <v>87.9224369228782</v>
      </c>
      <c r="K189" s="110">
        <f>((D189+G189)*100)/B189</f>
        <v>3.84409172072037</v>
      </c>
      <c r="L189" s="110">
        <f>((E189+H189)*100)/B189</f>
        <v>8.23347135640142</v>
      </c>
      <c r="M189" s="111">
        <f>N189-B188</f>
        <v>3488.40642388582</v>
      </c>
      <c r="N189" s="107">
        <f>O189+P189+Q189+R189+S189+T189</f>
        <v>3685.57743066129</v>
      </c>
      <c r="O189" s="49">
        <v>918</v>
      </c>
      <c r="P189" s="49">
        <v>382</v>
      </c>
      <c r="Q189" s="49">
        <v>118</v>
      </c>
      <c r="R189" s="49">
        <v>1386.99776042941</v>
      </c>
      <c r="S189" s="49">
        <v>591.197904404712</v>
      </c>
      <c r="T189" s="49">
        <v>289.381765827163</v>
      </c>
      <c r="U189" s="49">
        <v>151</v>
      </c>
      <c r="V189" s="110">
        <f>((O189+R189)*100)/N189</f>
        <v>62.5410211505402</v>
      </c>
      <c r="W189" s="110">
        <f>((P189+S189)*100)/N189</f>
        <v>26.405574776653</v>
      </c>
      <c r="X189" s="110">
        <f>((Q189+T189)*100)/N189</f>
        <v>11.0534040728068</v>
      </c>
    </row>
    <row r="190" spans="1:24" s="168" customFormat="1" ht="22.500000" customHeight="1">
      <c r="A190" s="34">
        <v>188</v>
      </c>
      <c r="B190" s="107">
        <f>C190+D190+E190+F190+G190+H190</f>
        <v>14.1303975227624</v>
      </c>
      <c r="C190" s="49">
        <v>13</v>
      </c>
      <c r="D190" s="49">
        <v>0</v>
      </c>
      <c r="E190" s="49">
        <v>0</v>
      </c>
      <c r="F190" s="49">
        <v>1.13039752276235</v>
      </c>
      <c r="G190" s="49">
        <v>0</v>
      </c>
      <c r="H190" s="49">
        <v>0</v>
      </c>
      <c r="I190" s="78">
        <f>(100*B190)/N190</f>
        <v>0.93318195358509</v>
      </c>
      <c r="J190" s="110">
        <f>((C190+F190)*100)/B190</f>
        <v>100</v>
      </c>
      <c r="K190" s="110">
        <f>((D190+G190)*100)/B190</f>
        <v>0</v>
      </c>
      <c r="L190" s="110">
        <f>((E190+H190)*100)/B190</f>
        <v>0</v>
      </c>
      <c r="M190" s="111">
        <f>N190-B189</f>
        <v>1354.74091890741</v>
      </c>
      <c r="N190" s="107">
        <f>O190+P190+Q190+R190+S190+T190</f>
        <v>1514.21675788696</v>
      </c>
      <c r="O190" s="49">
        <v>947</v>
      </c>
      <c r="P190" s="49">
        <v>408</v>
      </c>
      <c r="Q190" s="49">
        <v>140</v>
      </c>
      <c r="R190" s="49">
        <v>12.4343727503859</v>
      </c>
      <c r="S190" s="49">
        <v>2.26079504552471</v>
      </c>
      <c r="T190" s="49">
        <v>4.52159009104942</v>
      </c>
      <c r="U190" s="49">
        <v>88</v>
      </c>
      <c r="V190" s="110">
        <f>((O190+R190)*100)/N190</f>
        <v>63.361758992104</v>
      </c>
      <c r="W190" s="110">
        <f>((P190+S190)*100)/N190</f>
        <v>27.0939277952537</v>
      </c>
      <c r="X190" s="110">
        <f>((Q190+T190)*100)/N190</f>
        <v>9.54431321264233</v>
      </c>
    </row>
    <row r="191" spans="1:24" s="168" customFormat="1" ht="22.500000" customHeight="1">
      <c r="A191" s="34">
        <v>189</v>
      </c>
      <c r="B191" s="107">
        <f>C191+D191+E191+F191+G191+H191</f>
        <v>371.210759051699</v>
      </c>
      <c r="C191" s="49">
        <v>102</v>
      </c>
      <c r="D191" s="49">
        <v>20</v>
      </c>
      <c r="E191" s="49">
        <v>48</v>
      </c>
      <c r="F191" s="49">
        <v>185.385193733026</v>
      </c>
      <c r="G191" s="49">
        <v>4.52159009104942</v>
      </c>
      <c r="H191" s="49">
        <v>11.3039752276235</v>
      </c>
      <c r="I191" s="78">
        <f>(100*B191)/N191</f>
        <v>15.214313274365</v>
      </c>
      <c r="J191" s="110">
        <f>((C191+F191)*100)/B191</f>
        <v>77.4183362753776</v>
      </c>
      <c r="K191" s="110">
        <f>((D191+G191)*100)/B191</f>
        <v>6.60584034624769</v>
      </c>
      <c r="L191" s="110">
        <f>((E191+H191)*100)/B191</f>
        <v>15.9758233783747</v>
      </c>
      <c r="M191" s="111">
        <f>N191-B190</f>
        <v>2425.74810607794</v>
      </c>
      <c r="N191" s="107">
        <f>O191+P191+Q191+R191+S191+T191</f>
        <v>2439.8785036007</v>
      </c>
      <c r="O191" s="49">
        <v>945</v>
      </c>
      <c r="P191" s="49">
        <v>355</v>
      </c>
      <c r="Q191" s="49">
        <v>92</v>
      </c>
      <c r="R191" s="49">
        <v>477.027754605714</v>
      </c>
      <c r="S191" s="49">
        <v>343.640846919756</v>
      </c>
      <c r="T191" s="49">
        <v>227.209902075233</v>
      </c>
      <c r="U191" s="49">
        <v>154</v>
      </c>
      <c r="V191" s="110">
        <f>((O191+R191)*100)/N191</f>
        <v>58.282728115647</v>
      </c>
      <c r="W191" s="110">
        <f>((P191+S191)*100)/N191</f>
        <v>28.6342473975127</v>
      </c>
      <c r="X191" s="110">
        <f>((Q191+T191)*100)/N191</f>
        <v>13.0830244868403</v>
      </c>
    </row>
    <row r="192" spans="1:24" s="168" customFormat="1" ht="22.500000" customHeight="1">
      <c r="A192" s="34">
        <v>190</v>
      </c>
      <c r="B192" s="107">
        <f>C192+D192+E192+F192+G192+H192</f>
        <v>76.3903355918212</v>
      </c>
      <c r="C192" s="49">
        <v>30</v>
      </c>
      <c r="D192" s="49">
        <v>6</v>
      </c>
      <c r="E192" s="49">
        <v>11</v>
      </c>
      <c r="F192" s="49">
        <v>21.4775529324847</v>
      </c>
      <c r="G192" s="49">
        <v>7.91278265933649</v>
      </c>
      <c r="H192" s="49">
        <v>0</v>
      </c>
      <c r="I192" s="78">
        <f>(100*B192)/N192</f>
        <v>2.69545550304996</v>
      </c>
      <c r="J192" s="110">
        <f>((C192+F192)*100)/B192</f>
        <v>67.3875203370571</v>
      </c>
      <c r="K192" s="110">
        <f>((D192+G192)*100)/B192</f>
        <v>18.2127523744327</v>
      </c>
      <c r="L192" s="110">
        <f>((E192+H192)*100)/B192</f>
        <v>14.3997272885102</v>
      </c>
      <c r="M192" s="111">
        <f>N192-B191</f>
        <v>2462.83103853628</v>
      </c>
      <c r="N192" s="107">
        <f>O192+P192+Q192+R192+S192+T192</f>
        <v>2834.04179758797</v>
      </c>
      <c r="O192" s="49">
        <v>966</v>
      </c>
      <c r="P192" s="49">
        <v>385</v>
      </c>
      <c r="Q192" s="49">
        <v>113</v>
      </c>
      <c r="R192" s="49">
        <v>891.883645459499</v>
      </c>
      <c r="S192" s="49">
        <v>358.336014715667</v>
      </c>
      <c r="T192" s="49">
        <v>119.822137412809</v>
      </c>
      <c r="U192" s="49">
        <v>129</v>
      </c>
      <c r="V192" s="110">
        <f>((O192+R192)*100)/N192</f>
        <v>65.5559719352314</v>
      </c>
      <c r="W192" s="110">
        <f>((P192+S192)*100)/N192</f>
        <v>26.2288303351176</v>
      </c>
      <c r="X192" s="110">
        <f>((Q192+T192)*100)/N192</f>
        <v>8.21519772965105</v>
      </c>
    </row>
    <row r="193" spans="1:24" s="168" customFormat="1" ht="22.500000" customHeight="1">
      <c r="A193" s="34">
        <v>191</v>
      </c>
      <c r="B193" s="107">
        <f>C193+D193+E193+F193+G193+H193</f>
        <v>41.6519876138118</v>
      </c>
      <c r="C193" s="49">
        <v>34</v>
      </c>
      <c r="D193" s="49">
        <v>1</v>
      </c>
      <c r="E193" s="49">
        <v>1</v>
      </c>
      <c r="F193" s="49">
        <v>3.39119256828707</v>
      </c>
      <c r="G193" s="49">
        <v>1.13039752276235</v>
      </c>
      <c r="H193" s="49">
        <v>1.13039752276235</v>
      </c>
      <c r="I193" s="78">
        <f>(100*B193)/N193</f>
        <v>1.51488061639741</v>
      </c>
      <c r="J193" s="110">
        <f>((C193+F193)*100)/B193</f>
        <v>89.7704880616266</v>
      </c>
      <c r="K193" s="110">
        <f>((D193+G193)*100)/B193</f>
        <v>5.11475596918672</v>
      </c>
      <c r="L193" s="110">
        <f>((E193+H193)*100)/B193</f>
        <v>5.11475596918672</v>
      </c>
      <c r="M193" s="111">
        <f>N193-B192</f>
        <v>2673.1324428345</v>
      </c>
      <c r="N193" s="107">
        <f>O193+P193+Q193+R193+S193+T193</f>
        <v>2749.52277842632</v>
      </c>
      <c r="O193" s="49">
        <v>961</v>
      </c>
      <c r="P193" s="49">
        <v>387</v>
      </c>
      <c r="Q193" s="49">
        <v>114</v>
      </c>
      <c r="R193" s="49">
        <v>938.229943892756</v>
      </c>
      <c r="S193" s="49">
        <v>291.642560872688</v>
      </c>
      <c r="T193" s="49">
        <v>57.6502736608802</v>
      </c>
      <c r="U193" s="49">
        <v>94</v>
      </c>
      <c r="V193" s="110">
        <f>((O193+R193)*100)/N193</f>
        <v>69.074893970501</v>
      </c>
      <c r="W193" s="110">
        <f>((P193+S193)*100)/N193</f>
        <v>24.6821945319946</v>
      </c>
      <c r="X193" s="110">
        <f>((Q193+T193)*100)/N193</f>
        <v>6.24291149750443</v>
      </c>
    </row>
    <row r="194" spans="1:24" s="168" customFormat="1" ht="22.500000" customHeight="1">
      <c r="A194" s="34">
        <v>192</v>
      </c>
      <c r="B194" s="107">
        <f>C194+D194+E194+F194+G194+H194</f>
        <v>128.346298433257</v>
      </c>
      <c r="C194" s="49">
        <v>65</v>
      </c>
      <c r="D194" s="49">
        <v>9</v>
      </c>
      <c r="E194" s="49">
        <v>8</v>
      </c>
      <c r="F194" s="49">
        <v>35.042323205633</v>
      </c>
      <c r="G194" s="49">
        <v>11.3039752276235</v>
      </c>
      <c r="H194" s="49">
        <v>0</v>
      </c>
      <c r="I194" s="78">
        <f>(100*B194)/N194</f>
        <v>2.5783750119799</v>
      </c>
      <c r="J194" s="110">
        <f>((C194+F194)*100)/B194</f>
        <v>77.9471822926453</v>
      </c>
      <c r="K194" s="110">
        <f>((D194+G194)*100)/B194</f>
        <v>15.8196811871299</v>
      </c>
      <c r="L194" s="110">
        <f>((E194+H194)*100)/B194</f>
        <v>6.23313652022478</v>
      </c>
      <c r="M194" s="111">
        <f>N194-B193</f>
        <v>4936.14596019911</v>
      </c>
      <c r="N194" s="107">
        <f>O194+P194+Q194+R194+S194+T194</f>
        <v>4977.79794781292</v>
      </c>
      <c r="O194" s="49">
        <v>989</v>
      </c>
      <c r="P194" s="49">
        <v>383</v>
      </c>
      <c r="Q194" s="49">
        <v>114</v>
      </c>
      <c r="R194" s="49">
        <v>2379.48678541476</v>
      </c>
      <c r="S194" s="49">
        <v>854.580527208341</v>
      </c>
      <c r="T194" s="49">
        <v>257.730635189817</v>
      </c>
      <c r="U194" s="49">
        <v>118</v>
      </c>
      <c r="V194" s="110">
        <f>((O194+R194)*100)/N194</f>
        <v>67.6702192561826</v>
      </c>
      <c r="W194" s="110">
        <f>((P194+S194)*100)/N194</f>
        <v>24.8620080642705</v>
      </c>
      <c r="X194" s="110">
        <f>((Q194+T194)*100)/N194</f>
        <v>7.46777267954685</v>
      </c>
    </row>
    <row r="195" spans="1:24" s="168" customFormat="1" ht="22.500000" customHeight="1">
      <c r="A195" s="34">
        <v>193</v>
      </c>
      <c r="B195" s="107">
        <f>C195+D195+E195+F195+G195+H195</f>
        <v>227.213329981097</v>
      </c>
      <c r="C195" s="49">
        <v>51</v>
      </c>
      <c r="D195" s="49">
        <v>20</v>
      </c>
      <c r="E195" s="49">
        <v>33</v>
      </c>
      <c r="F195" s="49">
        <v>54.2590810925931</v>
      </c>
      <c r="G195" s="49">
        <v>30.5207331145836</v>
      </c>
      <c r="H195" s="49">
        <v>38.4335157739201</v>
      </c>
      <c r="I195" s="78">
        <f>(100*B195)/N195</f>
        <v>6.06815031571162</v>
      </c>
      <c r="J195" s="110">
        <f>((C195+F195)*100)/B195</f>
        <v>46.3261029189398</v>
      </c>
      <c r="K195" s="110">
        <f>((D195+G195)*100)/B195</f>
        <v>22.2349336276999</v>
      </c>
      <c r="L195" s="110">
        <f>((E195+H195)*100)/B195</f>
        <v>31.4389634533604</v>
      </c>
      <c r="M195" s="111">
        <f>N195-B194</f>
        <v>3616.01266038814</v>
      </c>
      <c r="N195" s="107">
        <f>O195+P195+Q195+R195+S195+T195</f>
        <v>3744.35895882139</v>
      </c>
      <c r="O195" s="49">
        <v>977</v>
      </c>
      <c r="P195" s="49">
        <v>367</v>
      </c>
      <c r="Q195" s="49">
        <v>100</v>
      </c>
      <c r="R195" s="49">
        <v>1588.20851948111</v>
      </c>
      <c r="S195" s="49">
        <v>533.547630743832</v>
      </c>
      <c r="T195" s="49">
        <v>178.602808596452</v>
      </c>
      <c r="U195" s="49">
        <v>149</v>
      </c>
      <c r="V195" s="110">
        <f>((O195+R195)*100)/N195</f>
        <v>68.5086164999671</v>
      </c>
      <c r="W195" s="110">
        <f>((P195+S195)*100)/N195</f>
        <v>24.0507825410867</v>
      </c>
      <c r="X195" s="110">
        <f>((Q195+T195)*100)/N195</f>
        <v>7.44060095894619</v>
      </c>
    </row>
    <row r="196" spans="1:24" s="168" customFormat="1" ht="22.500000" customHeight="1">
      <c r="A196" s="34">
        <v>194</v>
      </c>
      <c r="B196" s="107">
        <f>C196+D196+E196+F196+G196+H196</f>
        <v>95.5198761381177</v>
      </c>
      <c r="C196" s="49">
        <v>26</v>
      </c>
      <c r="D196" s="49">
        <v>7</v>
      </c>
      <c r="E196" s="49">
        <v>6</v>
      </c>
      <c r="F196" s="49">
        <v>40.6943108194448</v>
      </c>
      <c r="G196" s="49">
        <v>11.3039752276235</v>
      </c>
      <c r="H196" s="49">
        <v>4.52159009104942</v>
      </c>
      <c r="I196" s="78">
        <f>(100*B196)/N196</f>
        <v>1.54670355293831</v>
      </c>
      <c r="J196" s="110">
        <f>((C196+F196)*100)/B196</f>
        <v>69.8224427374755</v>
      </c>
      <c r="K196" s="110">
        <f>((D196+G196)*100)/B196</f>
        <v>19.1624779759521</v>
      </c>
      <c r="L196" s="110">
        <f>((E196+H196)*100)/B196</f>
        <v>11.0150792865724</v>
      </c>
      <c r="M196" s="111">
        <f>N196-B195</f>
        <v>5948.49344696763</v>
      </c>
      <c r="N196" s="107">
        <f>O196+P196+Q196+R196+S196+T196</f>
        <v>6175.70677694873</v>
      </c>
      <c r="O196" s="49">
        <v>794</v>
      </c>
      <c r="P196" s="49">
        <v>343</v>
      </c>
      <c r="Q196" s="49">
        <v>100</v>
      </c>
      <c r="R196" s="49">
        <v>3850.13396252858</v>
      </c>
      <c r="S196" s="49">
        <v>852.319732162817</v>
      </c>
      <c r="T196" s="49">
        <v>236.253082257332</v>
      </c>
      <c r="U196" s="49">
        <v>127</v>
      </c>
      <c r="V196" s="110">
        <f>((O196+R196)*100)/N196</f>
        <v>75.2000399349131</v>
      </c>
      <c r="W196" s="110">
        <f>((P196+S196)*100)/N196</f>
        <v>19.3551892169563</v>
      </c>
      <c r="X196" s="110">
        <f>((Q196+T196)*100)/N196</f>
        <v>5.44477084813063</v>
      </c>
    </row>
    <row r="197" spans="1:24" s="168" customFormat="1" ht="22.500000" customHeight="1">
      <c r="A197" s="34">
        <v>195</v>
      </c>
      <c r="B197" s="107">
        <f>C197+D197+E197+F197+G197+H197</f>
        <v>257.342870527393</v>
      </c>
      <c r="C197" s="49">
        <v>77</v>
      </c>
      <c r="D197" s="49">
        <v>7</v>
      </c>
      <c r="E197" s="49">
        <v>23</v>
      </c>
      <c r="F197" s="49">
        <v>101.735777048612</v>
      </c>
      <c r="G197" s="49">
        <v>18.0863603641977</v>
      </c>
      <c r="H197" s="49">
        <v>30.5207331145836</v>
      </c>
      <c r="I197" s="78">
        <f>(100*B197)/N197</f>
        <v>8.68729323736756</v>
      </c>
      <c r="J197" s="110">
        <f>((C197+F197)*100)/B197</f>
        <v>69.4543340883369</v>
      </c>
      <c r="K197" s="110">
        <f>((D197+G197)*100)/B197</f>
        <v>9.74822434862338</v>
      </c>
      <c r="L197" s="110">
        <f>((E197+H197)*100)/B197</f>
        <v>20.7974415630397</v>
      </c>
      <c r="M197" s="111">
        <f>N197-B196</f>
        <v>2866.77071882485</v>
      </c>
      <c r="N197" s="107">
        <f>O197+P197+Q197+R197+S197+T197</f>
        <v>2962.29059496297</v>
      </c>
      <c r="O197" s="49">
        <v>762</v>
      </c>
      <c r="P197" s="49">
        <v>362</v>
      </c>
      <c r="Q197" s="49">
        <v>102</v>
      </c>
      <c r="R197" s="49">
        <v>1050.13929864622</v>
      </c>
      <c r="S197" s="49">
        <v>498.505307538199</v>
      </c>
      <c r="T197" s="49">
        <v>187.645988778551</v>
      </c>
      <c r="U197" s="49">
        <v>149</v>
      </c>
      <c r="V197" s="110">
        <f>((O197+R197)*100)/N197</f>
        <v>61.1735830957149</v>
      </c>
      <c r="W197" s="110">
        <f>((P197+S197)*100)/N197</f>
        <v>29.048645970162</v>
      </c>
      <c r="X197" s="110">
        <f>((Q197+T197)*100)/N197</f>
        <v>9.77777093412309</v>
      </c>
    </row>
    <row r="198" spans="1:24" s="168" customFormat="1" ht="22.500000" customHeight="1">
      <c r="A198" s="34">
        <v>196</v>
      </c>
      <c r="B198" s="107">
        <f>C198+D198+E198+F198+G198+H198</f>
        <v>103.042323205633</v>
      </c>
      <c r="C198" s="49">
        <v>59</v>
      </c>
      <c r="D198" s="49">
        <v>4</v>
      </c>
      <c r="E198" s="49">
        <v>5</v>
      </c>
      <c r="F198" s="49">
        <v>29.3903355918212</v>
      </c>
      <c r="G198" s="49">
        <v>4.52159009104942</v>
      </c>
      <c r="H198" s="49">
        <v>1.13039752276235</v>
      </c>
      <c r="I198" s="78">
        <f>(100*B198)/N198</f>
        <v>5.93418853370221</v>
      </c>
      <c r="J198" s="110">
        <f>((C198+F198)*100)/B198</f>
        <v>85.7806121232612</v>
      </c>
      <c r="K198" s="110">
        <f>((D198+G198)*100)/B198</f>
        <v>8.26999025831706</v>
      </c>
      <c r="L198" s="110">
        <f>((E198+H198)*100)/B198</f>
        <v>5.94939761842173</v>
      </c>
      <c r="M198" s="111">
        <f>N198-B197</f>
        <v>1479.07521967014</v>
      </c>
      <c r="N198" s="107">
        <f>O198+P198+Q198+R198+S198+T198</f>
        <v>1736.41809019754</v>
      </c>
      <c r="O198" s="49">
        <v>765</v>
      </c>
      <c r="P198" s="49">
        <v>360</v>
      </c>
      <c r="Q198" s="49">
        <v>105</v>
      </c>
      <c r="R198" s="49">
        <v>168.429230891591</v>
      </c>
      <c r="S198" s="49">
        <v>213.645131802085</v>
      </c>
      <c r="T198" s="49">
        <v>124.343727503859</v>
      </c>
      <c r="U198" s="49">
        <v>102</v>
      </c>
      <c r="V198" s="110">
        <f>((O198+R198)*100)/N198</f>
        <v>53.756018562638</v>
      </c>
      <c r="W198" s="110">
        <f>((P198+S198)*100)/N198</f>
        <v>33.0361181469163</v>
      </c>
      <c r="X198" s="110">
        <f>((Q198+T198)*100)/N198</f>
        <v>13.2078632904457</v>
      </c>
    </row>
    <row r="199" spans="1:24" s="168" customFormat="1" ht="22.500000" customHeight="1">
      <c r="A199" s="34">
        <v>197</v>
      </c>
      <c r="B199" s="107">
        <f>C199+D199+E199+F199+G199+H199</f>
        <v>119.129540546296</v>
      </c>
      <c r="C199" s="49">
        <v>76</v>
      </c>
      <c r="D199" s="49">
        <v>9</v>
      </c>
      <c r="E199" s="49">
        <v>7</v>
      </c>
      <c r="F199" s="49">
        <v>23.7383479780094</v>
      </c>
      <c r="G199" s="49">
        <v>0</v>
      </c>
      <c r="H199" s="49">
        <v>3.39119256828707</v>
      </c>
      <c r="I199" s="78">
        <f>(100*B199)/N199</f>
        <v>7.2617475423267</v>
      </c>
      <c r="J199" s="110">
        <f>((C199+F199)*100)/B199</f>
        <v>83.7225993826853</v>
      </c>
      <c r="K199" s="110">
        <f>((D199+G199)*100)/B199</f>
        <v>7.55480123462945</v>
      </c>
      <c r="L199" s="110">
        <f>((E199+H199)*100)/B199</f>
        <v>8.72259938268529</v>
      </c>
      <c r="M199" s="111">
        <f>N199-B198</f>
        <v>1537.46555526196</v>
      </c>
      <c r="N199" s="107">
        <f>O199+P199+Q199+R199+S199+T199</f>
        <v>1640.5078784676</v>
      </c>
      <c r="O199" s="49">
        <v>765</v>
      </c>
      <c r="P199" s="49">
        <v>353</v>
      </c>
      <c r="Q199" s="49">
        <v>102</v>
      </c>
      <c r="R199" s="49">
        <v>174.081218505402</v>
      </c>
      <c r="S199" s="49">
        <v>162.777243277779</v>
      </c>
      <c r="T199" s="49">
        <v>83.6494166844144</v>
      </c>
      <c r="U199" s="49">
        <v>129</v>
      </c>
      <c r="V199" s="110">
        <f>((O199+R199)*100)/N199</f>
        <v>57.243322682644</v>
      </c>
      <c r="W199" s="110">
        <f>((P199+S199)*100)/N199</f>
        <v>31.4400954757723</v>
      </c>
      <c r="X199" s="110">
        <f>((Q199+T199)*100)/N199</f>
        <v>11.3165818415837</v>
      </c>
    </row>
    <row r="200" spans="1:24" s="168" customFormat="1" ht="22.500000" customHeight="1">
      <c r="A200" s="34">
        <v>198</v>
      </c>
      <c r="B200" s="107">
        <f>C200+D200+E200+F200+G200+H200</f>
        <v>77.7815281601083</v>
      </c>
      <c r="C200" s="49">
        <v>40</v>
      </c>
      <c r="D200" s="49">
        <v>2</v>
      </c>
      <c r="E200" s="49">
        <v>3</v>
      </c>
      <c r="F200" s="49">
        <v>29.3903355918212</v>
      </c>
      <c r="G200" s="49">
        <v>0</v>
      </c>
      <c r="H200" s="49">
        <v>3.39119256828707</v>
      </c>
      <c r="I200" s="78">
        <f>(100*B200)/N200</f>
        <v>2.82797834428366</v>
      </c>
      <c r="J200" s="110">
        <f>((C200+F200)*100)/B200</f>
        <v>89.2118440370388</v>
      </c>
      <c r="K200" s="110">
        <f>((D200+G200)*100)/B200</f>
        <v>2.57130458517494</v>
      </c>
      <c r="L200" s="110">
        <f>((E200+H200)*100)/B200</f>
        <v>8.21685137778627</v>
      </c>
      <c r="M200" s="111">
        <f>N200-B199</f>
        <v>2631.29916472764</v>
      </c>
      <c r="N200" s="107">
        <f>O200+P200+Q200+R200+S200+T200</f>
        <v>2750.42870527393</v>
      </c>
      <c r="O200" s="49">
        <v>779</v>
      </c>
      <c r="P200" s="49">
        <v>360</v>
      </c>
      <c r="Q200" s="49">
        <v>108</v>
      </c>
      <c r="R200" s="49">
        <v>923.534776096845</v>
      </c>
      <c r="S200" s="49">
        <v>443.115828922843</v>
      </c>
      <c r="T200" s="49">
        <v>136.778100254245</v>
      </c>
      <c r="U200" s="49">
        <v>121</v>
      </c>
      <c r="V200" s="110">
        <f>((O200+R200)*100)/N200</f>
        <v>61.9007056184457</v>
      </c>
      <c r="W200" s="110">
        <f>((P200+S200)*100)/N200</f>
        <v>29.199659943298</v>
      </c>
      <c r="X200" s="110">
        <f>((Q200+T200)*100)/N200</f>
        <v>8.89963443825627</v>
      </c>
    </row>
    <row r="201" spans="1:24" s="168" customFormat="1" ht="22.500000" customHeight="1">
      <c r="A201" s="34">
        <v>199</v>
      </c>
      <c r="B201" s="107">
        <f>C201+D201+E201+F201+G201+H201</f>
        <v>79.0863603641977</v>
      </c>
      <c r="C201" s="49">
        <v>58</v>
      </c>
      <c r="D201" s="49">
        <v>1</v>
      </c>
      <c r="E201" s="49">
        <v>2</v>
      </c>
      <c r="F201" s="49">
        <v>16.9559628414353</v>
      </c>
      <c r="G201" s="49">
        <v>0</v>
      </c>
      <c r="H201" s="49">
        <v>1.13039752276235</v>
      </c>
      <c r="I201" s="78">
        <f>(100*B201)/N201</f>
        <v>3.28941770752083</v>
      </c>
      <c r="J201" s="110">
        <f>((C201+F201)*100)/B201</f>
        <v>94.7773579366384</v>
      </c>
      <c r="K201" s="110">
        <f>((D201+G201)*100)/B201</f>
        <v>1.26444053740106</v>
      </c>
      <c r="L201" s="110">
        <f>((E201+H201)*100)/B201</f>
        <v>3.95820152596057</v>
      </c>
      <c r="M201" s="111">
        <f>N201-B200</f>
        <v>2326.48474010302</v>
      </c>
      <c r="N201" s="107">
        <f>O201+P201+Q201+R201+S201+T201</f>
        <v>2404.26626826313</v>
      </c>
      <c r="O201" s="49">
        <v>780</v>
      </c>
      <c r="P201" s="49">
        <v>361</v>
      </c>
      <c r="Q201" s="49">
        <v>108</v>
      </c>
      <c r="R201" s="49">
        <v>781.104688228788</v>
      </c>
      <c r="S201" s="49">
        <v>283.729778213351</v>
      </c>
      <c r="T201" s="49">
        <v>90.4318018209885</v>
      </c>
      <c r="U201" s="49">
        <v>110</v>
      </c>
      <c r="V201" s="110">
        <f>((O201+R201)*100)/N201</f>
        <v>64.9306072640844</v>
      </c>
      <c r="W201" s="110">
        <f>((P201+S201)*100)/N201</f>
        <v>26.8160721931649</v>
      </c>
      <c r="X201" s="110">
        <f>((Q201+T201)*100)/N201</f>
        <v>8.25332054275079</v>
      </c>
    </row>
    <row r="202" spans="1:24" s="168" customFormat="1" ht="22.500000" customHeight="1">
      <c r="A202" s="34">
        <v>200</v>
      </c>
      <c r="B202" s="107">
        <f>C202+D202+E202+F202+G202+H202</f>
        <v>311.558771437887</v>
      </c>
      <c r="C202" s="49">
        <v>92</v>
      </c>
      <c r="D202" s="49">
        <v>11</v>
      </c>
      <c r="E202" s="49">
        <v>13</v>
      </c>
      <c r="F202" s="49">
        <v>132.256510163195</v>
      </c>
      <c r="G202" s="49">
        <v>35.042323205633</v>
      </c>
      <c r="H202" s="49">
        <v>28.2599380690589</v>
      </c>
      <c r="I202" s="78">
        <f>(100*B202)/N202</f>
        <v>5.87268962961711</v>
      </c>
      <c r="J202" s="110">
        <f>((C202+F202)*100)/B202</f>
        <v>71.9788786970176</v>
      </c>
      <c r="K202" s="110">
        <f>((D202+G202)*100)/B202</f>
        <v>14.7780539103879</v>
      </c>
      <c r="L202" s="110">
        <f>((E202+H202)*100)/B202</f>
        <v>13.2430673925945</v>
      </c>
      <c r="M202" s="111">
        <f>N202-B201</f>
        <v>5226.12796369332</v>
      </c>
      <c r="N202" s="107">
        <f>O202+P202+Q202+R202+S202+T202</f>
        <v>5305.21432405751</v>
      </c>
      <c r="O202" s="49">
        <v>804</v>
      </c>
      <c r="P202" s="49">
        <v>349</v>
      </c>
      <c r="Q202" s="49">
        <v>102</v>
      </c>
      <c r="R202" s="49">
        <v>2702.78047692479</v>
      </c>
      <c r="S202" s="49">
        <v>1004.92339773573</v>
      </c>
      <c r="T202" s="49">
        <v>342.510449396994</v>
      </c>
      <c r="U202" s="49">
        <v>149</v>
      </c>
      <c r="V202" s="110">
        <f>((O202+R202)*100)/N202</f>
        <v>66.1006372734579</v>
      </c>
      <c r="W202" s="110">
        <f>((P202+S202)*100)/N202</f>
        <v>25.5206164168732</v>
      </c>
      <c r="X202" s="110">
        <f>((Q202+T202)*100)/N202</f>
        <v>8.37874630966888</v>
      </c>
    </row>
    <row r="203" spans="1:24" s="168" customFormat="1" ht="22.500000" customHeight="1">
      <c r="A203" s="34">
        <v>201</v>
      </c>
      <c r="B203" s="0">
        <f>C203+D203+E203+F203+G203+H203</f>
        <v>0</v>
      </c>
      <c r="C203" s="49">
        <v>0</v>
      </c>
      <c r="D203" s="49">
        <v>0</v>
      </c>
      <c r="E203" s="49">
        <v>0</v>
      </c>
      <c r="F203" s="49">
        <v>0</v>
      </c>
      <c r="G203" s="49">
        <v>0</v>
      </c>
      <c r="H203" s="49">
        <v>0</v>
      </c>
      <c r="I203" s="78">
        <f>(100*B203)/N203</f>
        <v>0</v>
      </c>
      <c r="J203" s="110" t="e">
        <f>((C203+F203)*100)/B203</f>
        <v>#DIV/0!</v>
      </c>
      <c r="K203" s="110" t="e">
        <f>((D203+G203)*100)/B203</f>
        <v>#DIV/0!</v>
      </c>
      <c r="L203" s="110" t="e">
        <f>((E203+H203)*100)/B203</f>
        <v>#DIV/0!</v>
      </c>
      <c r="M203" s="111"/>
      <c r="N203" s="0">
        <f>O203+P203+Q203+R203+S203+T203</f>
        <v>1283.26079504552</v>
      </c>
      <c r="O203" s="49">
        <v>841</v>
      </c>
      <c r="P203" s="49">
        <v>337</v>
      </c>
      <c r="Q203" s="49">
        <v>103</v>
      </c>
      <c r="R203" s="49">
        <v>2.26079504552471</v>
      </c>
      <c r="S203" s="49">
        <v>0</v>
      </c>
      <c r="T203" s="49">
        <v>0</v>
      </c>
      <c r="U203" s="49">
        <v>79</v>
      </c>
      <c r="V203" s="110">
        <f>((O203+R203)*100)/N203</f>
        <v>65.7123476616154</v>
      </c>
      <c r="W203" s="110">
        <f>((P203+S203)*100)/N203</f>
        <v>26.2612246318991</v>
      </c>
      <c r="X203" s="110">
        <f>((Q203+T203)*100)/N203</f>
        <v>8.02642770648549</v>
      </c>
    </row>
    <row r="204" spans="1:24" s="168" customFormat="1" ht="22.500000" customHeight="1">
      <c r="A204" s="34">
        <v>202</v>
      </c>
      <c r="B204" s="0">
        <f>C204+D204+E204+F204+G204+H204</f>
        <v>7</v>
      </c>
      <c r="C204" s="49">
        <v>7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78">
        <f>(100*B204)/N204</f>
        <v>0.544157954472967</v>
      </c>
      <c r="J204" s="110">
        <f>((C204+F204)*100)/B204</f>
        <v>100</v>
      </c>
      <c r="K204" s="110">
        <f>((D204+G204)*100)/B204</f>
        <v>0</v>
      </c>
      <c r="L204" s="110">
        <f>((E204+H204)*100)/B204</f>
        <v>0</v>
      </c>
      <c r="M204" s="111"/>
      <c r="N204" s="0">
        <f>O204+P204+Q204+R204+S204+T204</f>
        <v>1286.39119256829</v>
      </c>
      <c r="O204" s="49">
        <v>844</v>
      </c>
      <c r="P204" s="49">
        <v>338</v>
      </c>
      <c r="Q204" s="49">
        <v>101</v>
      </c>
      <c r="R204" s="49">
        <v>0</v>
      </c>
      <c r="S204" s="49">
        <v>1.13039752276235</v>
      </c>
      <c r="T204" s="49">
        <v>2.26079504552471</v>
      </c>
      <c r="U204" s="49">
        <v>67</v>
      </c>
      <c r="V204" s="110">
        <f>((O204+R204)*100)/N204</f>
        <v>65.6099019393121</v>
      </c>
      <c r="W204" s="110">
        <f>((P204+S204)*100)/N204</f>
        <v>26.3629290593701</v>
      </c>
      <c r="X204" s="110">
        <f>((Q204+T204)*100)/N204</f>
        <v>8.02716900131786</v>
      </c>
    </row>
    <row r="205" spans="1:24" s="168" customFormat="1" ht="22.500000" customHeight="1">
      <c r="A205" s="34">
        <v>203</v>
      </c>
      <c r="B205" s="0">
        <f>C205+D205+E205+F205+G205+H205</f>
        <v>194.257367139662</v>
      </c>
      <c r="C205" s="49">
        <v>77</v>
      </c>
      <c r="D205" s="49">
        <v>4</v>
      </c>
      <c r="E205" s="49">
        <v>7</v>
      </c>
      <c r="F205" s="49">
        <v>93.8229943892756</v>
      </c>
      <c r="G205" s="49">
        <v>7.91278265933649</v>
      </c>
      <c r="H205" s="49">
        <v>4.52159009104942</v>
      </c>
      <c r="I205" s="78">
        <f>(100*B205)/N205</f>
        <v>14.3357316443085</v>
      </c>
      <c r="J205" s="110">
        <f>((C205+F205)*100)/B205</f>
        <v>87.9364303678955</v>
      </c>
      <c r="K205" s="110">
        <f>((D205+G205)*100)/B205</f>
        <v>6.1324740650746</v>
      </c>
      <c r="L205" s="110">
        <f>((E205+H205)*100)/B205</f>
        <v>5.93109556702988</v>
      </c>
      <c r="M205" s="111"/>
      <c r="N205" s="0">
        <f>O205+P205+Q205+R205+S205+T205</f>
        <v>1355.05722316436</v>
      </c>
      <c r="O205" s="49">
        <v>211</v>
      </c>
      <c r="P205" s="49">
        <v>165</v>
      </c>
      <c r="Q205" s="49">
        <v>77</v>
      </c>
      <c r="R205" s="49">
        <v>412.59509580826</v>
      </c>
      <c r="S205" s="49">
        <v>280.338585645064</v>
      </c>
      <c r="T205" s="49">
        <v>209.123541711036</v>
      </c>
      <c r="U205" s="49">
        <v>127</v>
      </c>
      <c r="V205" s="110">
        <f>((O205+R205)*100)/N205</f>
        <v>46.0198348193759</v>
      </c>
      <c r="W205" s="110">
        <f>((P205+S205)*100)/N205</f>
        <v>32.8649283611137</v>
      </c>
      <c r="X205" s="110">
        <f>((Q205+T205)*100)/N205</f>
        <v>21.1152368195104</v>
      </c>
    </row>
    <row r="206" spans="1:24" s="168" customFormat="1" ht="22.500000" customHeight="1">
      <c r="A206" s="34">
        <v>204</v>
      </c>
      <c r="B206" s="0">
        <f>C206+D206+E206+F206+G206+H206</f>
        <v>119.128683569831</v>
      </c>
      <c r="C206" s="49">
        <v>57</v>
      </c>
      <c r="D206" s="49">
        <v>3</v>
      </c>
      <c r="E206" s="49">
        <v>6</v>
      </c>
      <c r="F206" s="49">
        <v>40.6943108194448</v>
      </c>
      <c r="G206" s="49">
        <v>5.65198761381178</v>
      </c>
      <c r="H206" s="49">
        <v>6.78238513657414</v>
      </c>
      <c r="I206" s="78">
        <f>(100*B206)/N206</f>
        <v>10.6694186133825</v>
      </c>
      <c r="J206" s="110">
        <f>((C206+F206)*100)/B206</f>
        <v>82.0073788208853</v>
      </c>
      <c r="K206" s="110">
        <f>((D206+G206)*100)/B206</f>
        <v>7.26272410182403</v>
      </c>
      <c r="L206" s="110">
        <f>((E206+H206)*100)/B206</f>
        <v>10.7298970772907</v>
      </c>
      <c r="M206" s="111"/>
      <c r="N206" s="0">
        <f>O206+P206+Q206+R206+S206+T206</f>
        <v>1116.5433458615</v>
      </c>
      <c r="O206" s="49">
        <v>206</v>
      </c>
      <c r="P206" s="49">
        <v>167</v>
      </c>
      <c r="Q206" s="49">
        <v>80</v>
      </c>
      <c r="R206" s="49">
        <v>289.381765827163</v>
      </c>
      <c r="S206" s="49">
        <v>233.992287211807</v>
      </c>
      <c r="T206" s="49">
        <v>140.169292822532</v>
      </c>
      <c r="U206" s="49">
        <v>103</v>
      </c>
      <c r="V206" s="110">
        <f>((O206+R206)*100)/N206</f>
        <v>44.367445980786</v>
      </c>
      <c r="W206" s="110">
        <f>((P206+S206)*100)/N206</f>
        <v>35.9137232511479</v>
      </c>
      <c r="X206" s="110">
        <f>((Q206+T206)*100)/N206</f>
        <v>19.7188307680661</v>
      </c>
    </row>
    <row r="207" spans="1:24" s="168" customFormat="1" ht="22.500000" customHeight="1">
      <c r="A207" s="34">
        <v>205</v>
      </c>
      <c r="B207" s="0">
        <f>C207+D207+E207+F207+G207+H207</f>
        <v>18</v>
      </c>
      <c r="C207" s="49">
        <v>17</v>
      </c>
      <c r="D207" s="49">
        <v>1</v>
      </c>
      <c r="E207" s="49">
        <v>0</v>
      </c>
      <c r="F207" s="49">
        <v>0</v>
      </c>
      <c r="G207" s="49">
        <v>0</v>
      </c>
      <c r="H207" s="49">
        <v>0</v>
      </c>
      <c r="I207" s="78">
        <f>(100*B207)/N207</f>
        <v>3.63861067457671</v>
      </c>
      <c r="J207" s="110">
        <f>((C207+F207)*100)/B207</f>
        <v>94.4444444444444</v>
      </c>
      <c r="K207" s="110">
        <f>((D207+G207)*100)/B207</f>
        <v>5.55555555555556</v>
      </c>
      <c r="L207" s="110">
        <f>((E207+H207)*100)/B207</f>
        <v>0</v>
      </c>
      <c r="M207" s="111"/>
      <c r="N207" s="0">
        <f>O207+P207+Q207+R207+S207+T207</f>
        <v>494.694310819445</v>
      </c>
      <c r="O207" s="49">
        <v>204</v>
      </c>
      <c r="P207" s="49">
        <v>168</v>
      </c>
      <c r="Q207" s="49">
        <v>82</v>
      </c>
      <c r="R207" s="49">
        <v>29.3903355918212</v>
      </c>
      <c r="S207" s="49">
        <v>7.91278265933649</v>
      </c>
      <c r="T207" s="49">
        <v>3.39119256828707</v>
      </c>
      <c r="U207" s="49">
        <v>77</v>
      </c>
      <c r="V207" s="110">
        <f>((O207+R207)*100)/N207</f>
        <v>47.1786981348578</v>
      </c>
      <c r="W207" s="110">
        <f>((P207+S207)*100)/N207</f>
        <v>35.5598960432641</v>
      </c>
      <c r="X207" s="110">
        <f>((Q207+T207)*100)/N207</f>
        <v>17.261405821878</v>
      </c>
    </row>
    <row r="208" spans="1:24" s="168" customFormat="1" ht="22.500000" customHeight="1">
      <c r="A208" s="34">
        <v>206</v>
      </c>
      <c r="B208" s="0">
        <f>C208+D208+E208+F208+G208+H208</f>
        <v>94.9559628414353</v>
      </c>
      <c r="C208" s="49">
        <v>70</v>
      </c>
      <c r="D208" s="49">
        <v>1</v>
      </c>
      <c r="E208" s="49">
        <v>7</v>
      </c>
      <c r="F208" s="49">
        <v>9.04318018209885</v>
      </c>
      <c r="G208" s="49">
        <v>3.39119256828707</v>
      </c>
      <c r="H208" s="49">
        <v>4.52159009104942</v>
      </c>
      <c r="I208" s="78">
        <f>(100*B208)/N208</f>
        <v>19.2831358564098</v>
      </c>
      <c r="J208" s="110">
        <f>((C208+F208)*100)/B208</f>
        <v>83.2419342786204</v>
      </c>
      <c r="K208" s="110">
        <f>((D208+G208)*100)/B208</f>
        <v>4.6244516267186</v>
      </c>
      <c r="L208" s="110">
        <f>((E208+H208)*100)/B208</f>
        <v>12.133614094661</v>
      </c>
      <c r="M208" s="111"/>
      <c r="N208" s="0">
        <f>O208+P208+Q208+R208+S208+T208</f>
        <v>492.430087868057</v>
      </c>
      <c r="O208" s="49">
        <v>158</v>
      </c>
      <c r="P208" s="49">
        <v>126</v>
      </c>
      <c r="Q208" s="49">
        <v>66</v>
      </c>
      <c r="R208" s="49">
        <v>44.0855033877319</v>
      </c>
      <c r="S208" s="49">
        <v>49.7374910015437</v>
      </c>
      <c r="T208" s="49">
        <v>48.6070934787813</v>
      </c>
      <c r="U208" s="49">
        <v>79</v>
      </c>
      <c r="V208" s="110">
        <f>((O208+R208)*100)/N208</f>
        <v>41.0384150697711</v>
      </c>
      <c r="W208" s="110">
        <f>((P208+S208)*100)/N208</f>
        <v>35.6878053009286</v>
      </c>
      <c r="X208" s="110">
        <f>((Q208+T208)*100)/N208</f>
        <v>23.2737796293003</v>
      </c>
    </row>
    <row r="209" spans="1:24" s="168" customFormat="1" ht="22.500000" customHeight="1">
      <c r="A209" s="34">
        <v>207</v>
      </c>
      <c r="B209" s="0">
        <f>C209+D209+E209+F209+G209+H209</f>
        <v>39.5215900910494</v>
      </c>
      <c r="C209" s="49">
        <v>34</v>
      </c>
      <c r="D209" s="49">
        <v>0</v>
      </c>
      <c r="E209" s="49">
        <v>1</v>
      </c>
      <c r="F209" s="49">
        <v>3.39119256828707</v>
      </c>
      <c r="G209" s="49">
        <v>0</v>
      </c>
      <c r="H209" s="49">
        <v>1.13039752276235</v>
      </c>
      <c r="I209" s="78">
        <f>(100*B209)/N209</f>
        <v>5.46377462441114</v>
      </c>
      <c r="J209" s="110">
        <f>((C209+F209)*100)/B209</f>
        <v>94.6095348950931</v>
      </c>
      <c r="K209" s="110">
        <f>((D209+G209)*100)/B209</f>
        <v>0</v>
      </c>
      <c r="L209" s="110">
        <f>((E209+H209)*100)/B209</f>
        <v>5.39046510490687</v>
      </c>
      <c r="M209" s="111"/>
      <c r="N209" s="0">
        <f>O209+P209+Q209+R209+S209+T209</f>
        <v>723.338585645064</v>
      </c>
      <c r="O209" s="49">
        <v>195</v>
      </c>
      <c r="P209" s="49">
        <v>168</v>
      </c>
      <c r="Q209" s="49">
        <v>80</v>
      </c>
      <c r="R209" s="49">
        <v>143.560485390819</v>
      </c>
      <c r="S209" s="49">
        <v>76.8670315478402</v>
      </c>
      <c r="T209" s="49">
        <v>59.9110687064049</v>
      </c>
      <c r="U209" s="49">
        <v>111</v>
      </c>
      <c r="V209" s="110">
        <f>((O209+R209)*100)/N209</f>
        <v>46.8052571934753</v>
      </c>
      <c r="W209" s="110">
        <f>((P209+S209)*100)/N209</f>
        <v>33.8523391959619</v>
      </c>
      <c r="X209" s="110">
        <f>((Q209+T209)*100)/N209</f>
        <v>19.3424036105628</v>
      </c>
    </row>
    <row r="210" spans="1:24" s="168" customFormat="1" ht="22.500000" customHeight="1">
      <c r="A210" s="34">
        <v>208</v>
      </c>
      <c r="B210" s="0">
        <f>C210+D210+E210+F210+G210+H210</f>
        <v>171.041466229167</v>
      </c>
      <c r="C210" s="49">
        <v>94</v>
      </c>
      <c r="D210" s="49">
        <v>2</v>
      </c>
      <c r="E210" s="49">
        <v>14</v>
      </c>
      <c r="F210" s="49">
        <v>57.6502736608802</v>
      </c>
      <c r="G210" s="49">
        <v>0</v>
      </c>
      <c r="H210" s="49">
        <v>3.39119256828707</v>
      </c>
      <c r="I210" s="78">
        <f>(100*B210)/N210</f>
        <v>15.4016020055914</v>
      </c>
      <c r="J210" s="110">
        <f>((C210+F210)*100)/B210</f>
        <v>88.6628704747502</v>
      </c>
      <c r="K210" s="110">
        <f>((D210+G210)*100)/B210</f>
        <v>1.16930709499434</v>
      </c>
      <c r="L210" s="110">
        <f>((E210+H210)*100)/B210</f>
        <v>10.1678224302555</v>
      </c>
      <c r="M210" s="111"/>
      <c r="N210" s="0">
        <f>O210+P210+Q210+R210+S210+T210</f>
        <v>1110.5433458615</v>
      </c>
      <c r="O210" s="49">
        <v>199</v>
      </c>
      <c r="P210" s="49">
        <v>167</v>
      </c>
      <c r="Q210" s="49">
        <v>81</v>
      </c>
      <c r="R210" s="49">
        <v>281.468983167826</v>
      </c>
      <c r="S210" s="49">
        <v>243.035467393906</v>
      </c>
      <c r="T210" s="49">
        <v>139.038895299769</v>
      </c>
      <c r="U210" s="49">
        <v>113</v>
      </c>
      <c r="V210" s="110">
        <f>((O210+R210)*100)/N210</f>
        <v>43.2643160627921</v>
      </c>
      <c r="W210" s="110">
        <f>((P210+S210)*100)/N210</f>
        <v>36.9220588212</v>
      </c>
      <c r="X210" s="110">
        <f>((Q210+T210)*100)/N210</f>
        <v>19.8136251160079</v>
      </c>
    </row>
    <row r="211" spans="1:24" s="168" customFormat="1" ht="22.500000" customHeight="1">
      <c r="A211" s="34">
        <v>209</v>
      </c>
      <c r="B211" s="0">
        <f>C211+D211+E211+F211+G211+H211</f>
        <v>92.3903355918212</v>
      </c>
      <c r="C211" s="49">
        <v>62</v>
      </c>
      <c r="D211" s="49">
        <v>0</v>
      </c>
      <c r="E211" s="49">
        <v>1</v>
      </c>
      <c r="F211" s="49">
        <v>29.3903355918212</v>
      </c>
      <c r="G211" s="49">
        <v>0</v>
      </c>
      <c r="H211" s="49">
        <v>0</v>
      </c>
      <c r="I211" s="78">
        <f>(100*B211)/N211</f>
        <v>10.1631602173472</v>
      </c>
      <c r="J211" s="110">
        <f>((C211+F211)*100)/B211</f>
        <v>98.9176357098453</v>
      </c>
      <c r="K211" s="110">
        <f>((D211+G211)*100)/B211</f>
        <v>0</v>
      </c>
      <c r="L211" s="110">
        <f>((E211+H211)*100)/B211</f>
        <v>1.08236429015474</v>
      </c>
      <c r="M211" s="111"/>
      <c r="N211" s="0">
        <f>O211+P211+Q211+R211+S211+T211</f>
        <v>909.070934787812</v>
      </c>
      <c r="O211" s="49">
        <v>176</v>
      </c>
      <c r="P211" s="49">
        <v>166</v>
      </c>
      <c r="Q211" s="49">
        <v>81</v>
      </c>
      <c r="R211" s="49">
        <v>203.471554097224</v>
      </c>
      <c r="S211" s="49">
        <v>153.73406309568</v>
      </c>
      <c r="T211" s="49">
        <v>128.865317594908</v>
      </c>
      <c r="U211" s="49">
        <v>102</v>
      </c>
      <c r="V211" s="110">
        <f>((O211+R211)*100)/N211</f>
        <v>41.7427881121067</v>
      </c>
      <c r="W211" s="110">
        <f>((P211+S211)*100)/N211</f>
        <v>35.1715197197796</v>
      </c>
      <c r="X211" s="110">
        <f>((Q211+T211)*100)/N211</f>
        <v>23.0856921681137</v>
      </c>
    </row>
    <row r="212" spans="1:24" s="168" customFormat="1" ht="22.500000" customHeight="1">
      <c r="A212" s="34">
        <v>210</v>
      </c>
      <c r="B212" s="0">
        <f>C212+D212+E212+F212+G212+H212</f>
        <v>461.33944262153</v>
      </c>
      <c r="C212" s="49">
        <v>35</v>
      </c>
      <c r="D212" s="49">
        <v>75</v>
      </c>
      <c r="E212" s="49">
        <v>97</v>
      </c>
      <c r="F212" s="49">
        <v>24.8687455007718</v>
      </c>
      <c r="G212" s="49">
        <v>99.4749820030874</v>
      </c>
      <c r="H212" s="49">
        <v>129.995715117671</v>
      </c>
      <c r="I212" s="78">
        <f>(100*B212)/N212</f>
        <v>54.3401991275822</v>
      </c>
      <c r="J212" s="110">
        <f>((C212+F212)*100)/B212</f>
        <v>12.977157374746</v>
      </c>
      <c r="K212" s="110">
        <f>((D212+G212)*100)/B212</f>
        <v>37.8192207047473</v>
      </c>
      <c r="L212" s="110">
        <f>((E212+H212)*100)/B212</f>
        <v>49.2036219205068</v>
      </c>
      <c r="M212" s="111"/>
      <c r="N212" s="0">
        <f>O212+P212+Q212+R212+S212+T212</f>
        <v>848.983717447149</v>
      </c>
      <c r="O212" s="49">
        <v>179</v>
      </c>
      <c r="P212" s="49">
        <v>125</v>
      </c>
      <c r="Q212" s="49">
        <v>51</v>
      </c>
      <c r="R212" s="49">
        <v>195.558771437887</v>
      </c>
      <c r="S212" s="49">
        <v>196.68916896065</v>
      </c>
      <c r="T212" s="49">
        <v>101.735777048612</v>
      </c>
      <c r="U212" s="49">
        <v>96</v>
      </c>
      <c r="V212" s="110">
        <f>((O212+R212)*100)/N212</f>
        <v>44.1184870499244</v>
      </c>
      <c r="W212" s="110">
        <f>((P212+S212)*100)/N212</f>
        <v>37.8910881739821</v>
      </c>
      <c r="X212" s="110">
        <f>((Q212+T212)*100)/N212</f>
        <v>17.9904247760936</v>
      </c>
    </row>
    <row r="213" spans="1:24" s="168" customFormat="1" ht="22.500000" customHeight="1">
      <c r="A213" s="34">
        <v>211</v>
      </c>
      <c r="B213" s="0">
        <f>C213+D213+E213+F213+G213+H213</f>
        <v>129.476695956019</v>
      </c>
      <c r="C213" s="49">
        <v>74</v>
      </c>
      <c r="D213" s="49">
        <v>3</v>
      </c>
      <c r="E213" s="49">
        <v>5</v>
      </c>
      <c r="F213" s="49">
        <v>42.9551058649695</v>
      </c>
      <c r="G213" s="49">
        <v>3.39119256828707</v>
      </c>
      <c r="H213" s="49">
        <v>1.13039752276235</v>
      </c>
      <c r="I213" s="78">
        <f>(100*B213)/N213</f>
        <v>16.6490656204237</v>
      </c>
      <c r="J213" s="110">
        <f>((C213+F213)*100)/B213</f>
        <v>90.3290781413647</v>
      </c>
      <c r="K213" s="110">
        <f>((D213+G213)*100)/B213</f>
        <v>4.93617212047027</v>
      </c>
      <c r="L213" s="110">
        <f>((E213+H213)*100)/B213</f>
        <v>4.73474973816504</v>
      </c>
      <c r="M213" s="111"/>
      <c r="N213" s="0">
        <f>O213+P213+Q213+R213+S213+T213</f>
        <v>777.681456172457</v>
      </c>
      <c r="O213" s="49">
        <v>165</v>
      </c>
      <c r="P213" s="49">
        <v>129</v>
      </c>
      <c r="Q213" s="49">
        <v>53</v>
      </c>
      <c r="R213" s="49">
        <v>229.470697120758</v>
      </c>
      <c r="S213" s="49">
        <v>128.865317594908</v>
      </c>
      <c r="T213" s="49">
        <v>72.3454414567908</v>
      </c>
      <c r="U213" s="49">
        <v>111</v>
      </c>
      <c r="V213" s="110">
        <f>((O213+R213)*100)/N213</f>
        <v>50.7239428161549</v>
      </c>
      <c r="W213" s="110">
        <f>((P213+S213)*100)/N213</f>
        <v>33.1582186444374</v>
      </c>
      <c r="X213" s="110">
        <f>((Q213+T213)*100)/N213</f>
        <v>16.1178385394076</v>
      </c>
    </row>
    <row r="214" spans="1:24" s="168" customFormat="1" ht="22.500000" customHeight="1">
      <c r="A214" s="34">
        <v>212</v>
      </c>
      <c r="B214" s="0">
        <f>C214+D214+E214+F214+G214+H214</f>
        <v>108.825565318673</v>
      </c>
      <c r="C214" s="49">
        <v>70</v>
      </c>
      <c r="D214" s="49">
        <v>14</v>
      </c>
      <c r="E214" s="49">
        <v>9</v>
      </c>
      <c r="F214" s="49">
        <v>3.39119256828707</v>
      </c>
      <c r="G214" s="49">
        <v>9.04318018209885</v>
      </c>
      <c r="H214" s="49">
        <v>3.39119256828707</v>
      </c>
      <c r="I214" s="78">
        <f>(100*B214)/N214</f>
        <v>18.5175920281034</v>
      </c>
      <c r="J214" s="110">
        <f>((C214+F214)*100)/B214</f>
        <v>67.4392936562068</v>
      </c>
      <c r="K214" s="110">
        <f>((D214+G214)*100)/B214</f>
        <v>21.1744180833076</v>
      </c>
      <c r="L214" s="110">
        <f>((E214+H214)*100)/B214</f>
        <v>11.3862882604855</v>
      </c>
      <c r="M214" s="111"/>
      <c r="N214" s="0">
        <f>O214+P214+Q214+R214+S214+T214</f>
        <v>587.687455007718</v>
      </c>
      <c r="O214" s="49">
        <v>162</v>
      </c>
      <c r="P214" s="49">
        <v>126</v>
      </c>
      <c r="Q214" s="49">
        <v>51</v>
      </c>
      <c r="R214" s="49">
        <v>102.866174571374</v>
      </c>
      <c r="S214" s="49">
        <v>93.8229943892756</v>
      </c>
      <c r="T214" s="49">
        <v>51.9982860470684</v>
      </c>
      <c r="U214" s="49">
        <v>106</v>
      </c>
      <c r="V214" s="110">
        <f>((O214+R214)*100)/N214</f>
        <v>45.069223839038</v>
      </c>
      <c r="W214" s="110">
        <f>((P214+S214)*100)/N214</f>
        <v>37.4047450760011</v>
      </c>
      <c r="X214" s="110">
        <f>((Q214+T214)*100)/N214</f>
        <v>17.5260310849609</v>
      </c>
    </row>
    <row r="215" spans="1:24" s="168" customFormat="1" ht="22.500000" customHeight="1">
      <c r="A215" s="34">
        <v>213</v>
      </c>
      <c r="B215" s="0">
        <f>C215+D215+E215+F215+G215+H215</f>
        <v>140.738347978009</v>
      </c>
      <c r="C215" s="49">
        <v>110</v>
      </c>
      <c r="D215" s="49">
        <v>2</v>
      </c>
      <c r="E215" s="49">
        <v>5</v>
      </c>
      <c r="F215" s="49">
        <v>18.0863603641977</v>
      </c>
      <c r="G215" s="49">
        <v>1.13039752276235</v>
      </c>
      <c r="H215" s="49">
        <v>4.52159009104942</v>
      </c>
      <c r="I215" s="78">
        <f>(100*B215)/N215</f>
        <v>27.6408233641094</v>
      </c>
      <c r="J215" s="110">
        <f>((C215+F215)*100)/B215</f>
        <v>91.0102770171861</v>
      </c>
      <c r="K215" s="110">
        <f>((D215+G215)*100)/B215</f>
        <v>2.22426763404348</v>
      </c>
      <c r="L215" s="110">
        <f>((E215+H215)*100)/B215</f>
        <v>6.76545534877046</v>
      </c>
      <c r="M215" s="111"/>
      <c r="N215" s="0">
        <f>O215+P215+Q215+R215+S215+T215</f>
        <v>509.168435846066</v>
      </c>
      <c r="O215" s="49">
        <v>173</v>
      </c>
      <c r="P215" s="49">
        <v>119</v>
      </c>
      <c r="Q215" s="49">
        <v>51</v>
      </c>
      <c r="R215" s="49">
        <v>109.648559707948</v>
      </c>
      <c r="S215" s="49">
        <v>48.6070934787813</v>
      </c>
      <c r="T215" s="49">
        <v>7.91278265933649</v>
      </c>
      <c r="U215" s="49">
        <v>110</v>
      </c>
      <c r="V215" s="110">
        <f>((O215+R215)*100)/N215</f>
        <v>55.5117992022191</v>
      </c>
      <c r="W215" s="110">
        <f>((P215+S215)*100)/N215</f>
        <v>32.9178090547335</v>
      </c>
      <c r="X215" s="110">
        <f>((Q215+T215)*100)/N215</f>
        <v>11.5703917430473</v>
      </c>
    </row>
    <row r="216" spans="1:24" s="168" customFormat="1" ht="22.500000" customHeight="1">
      <c r="A216" s="34">
        <v>214</v>
      </c>
      <c r="B216" s="0">
        <f>C216+D216+E216+F216+G216+H216</f>
        <v>127.128683569831</v>
      </c>
      <c r="C216" s="49">
        <v>70</v>
      </c>
      <c r="D216" s="49">
        <v>2</v>
      </c>
      <c r="E216" s="49">
        <v>2</v>
      </c>
      <c r="F216" s="49">
        <v>49.7374910015437</v>
      </c>
      <c r="G216" s="49">
        <v>1.13039752276235</v>
      </c>
      <c r="H216" s="49">
        <v>2.26079504552471</v>
      </c>
      <c r="I216" s="78">
        <f>(100*B216)/N216</f>
        <v>18.9871043436453</v>
      </c>
      <c r="J216" s="110">
        <f>((C216+F216)*100)/B216</f>
        <v>94.1860543500184</v>
      </c>
      <c r="K216" s="110">
        <f>((D216+G216)*100)/B216</f>
        <v>2.46238491177551</v>
      </c>
      <c r="L216" s="110">
        <f>((E216+H216)*100)/B216</f>
        <v>3.35156073820609</v>
      </c>
      <c r="M216" s="111"/>
      <c r="N216" s="0">
        <f>O216+P216+Q216+R216+S216+T216</f>
        <v>669.552772602626</v>
      </c>
      <c r="O216" s="49">
        <v>150</v>
      </c>
      <c r="P216" s="49">
        <v>91</v>
      </c>
      <c r="Q216" s="49">
        <v>51</v>
      </c>
      <c r="R216" s="49">
        <v>271.295405462965</v>
      </c>
      <c r="S216" s="49">
        <v>85.9102117299391</v>
      </c>
      <c r="T216" s="49">
        <v>20.3471554097224</v>
      </c>
      <c r="U216" s="49">
        <v>121</v>
      </c>
      <c r="V216" s="110">
        <f>((O216+R216)*100)/N216</f>
        <v>62.9219118644439</v>
      </c>
      <c r="W216" s="110">
        <f>((P216+S216)*100)/N216</f>
        <v>26.4221460904821</v>
      </c>
      <c r="X216" s="110">
        <f>((Q216+T216)*100)/N216</f>
        <v>10.6559420450741</v>
      </c>
    </row>
    <row r="217" spans="1:24" s="168" customFormat="1" ht="22.500000" customHeight="1">
      <c r="A217" s="34">
        <v>215</v>
      </c>
      <c r="B217" s="0">
        <f>C217+D217+E217+F217+G217+H217</f>
        <v>91.9119256828707</v>
      </c>
      <c r="C217" s="49">
        <v>52</v>
      </c>
      <c r="D217" s="49">
        <v>1</v>
      </c>
      <c r="E217" s="49">
        <v>5</v>
      </c>
      <c r="F217" s="49">
        <v>28.2599380690589</v>
      </c>
      <c r="G217" s="49">
        <v>2.26079504552471</v>
      </c>
      <c r="H217" s="49">
        <v>3.39119256828707</v>
      </c>
      <c r="I217" s="78">
        <f>(100*B217)/N217</f>
        <v>12.5961564404963</v>
      </c>
      <c r="J217" s="110">
        <f>((C217+F217)*100)/B217</f>
        <v>87.3226596796423</v>
      </c>
      <c r="K217" s="110">
        <f>((D217+G217)*100)/B217</f>
        <v>3.54773879591603</v>
      </c>
      <c r="L217" s="110">
        <f>((E217+H217)*100)/B217</f>
        <v>9.12960152444169</v>
      </c>
      <c r="M217" s="111"/>
      <c r="N217" s="0">
        <f>O217+P217+Q217+R217+S217+T217</f>
        <v>729.682313148923</v>
      </c>
      <c r="O217" s="49">
        <v>154</v>
      </c>
      <c r="P217" s="49">
        <v>121</v>
      </c>
      <c r="Q217" s="49">
        <v>50</v>
      </c>
      <c r="R217" s="49">
        <v>235.12268473457</v>
      </c>
      <c r="S217" s="49">
        <v>105.126969616899</v>
      </c>
      <c r="T217" s="49">
        <v>64.4326587974543</v>
      </c>
      <c r="U217" s="49">
        <v>130</v>
      </c>
      <c r="V217" s="110">
        <f>((O217+R217)*100)/N217</f>
        <v>53.3276849010252</v>
      </c>
      <c r="W217" s="110">
        <f>((P217+S217)*100)/N217</f>
        <v>30.9897835732176</v>
      </c>
      <c r="X217" s="110">
        <f>((Q217+T217)*100)/N217</f>
        <v>15.6825315257572</v>
      </c>
    </row>
    <row r="218" spans="1:24" s="168" customFormat="1" ht="22.500000" customHeight="1">
      <c r="A218" s="34">
        <v>216</v>
      </c>
      <c r="B218" s="0">
        <f>C218+D218+E218+F218+G218+H218</f>
        <v>53.6951677959106</v>
      </c>
      <c r="C218" s="49">
        <v>29</v>
      </c>
      <c r="D218" s="49">
        <v>5</v>
      </c>
      <c r="E218" s="49">
        <v>5</v>
      </c>
      <c r="F218" s="49">
        <v>6.78238513657414</v>
      </c>
      <c r="G218" s="49">
        <v>4.52159009104942</v>
      </c>
      <c r="H218" s="49">
        <v>3.39119256828707</v>
      </c>
      <c r="I218" s="78">
        <f>(100*B218)/N218</f>
        <v>9.98872239648964</v>
      </c>
      <c r="J218" s="110">
        <f>((C218+F218)*100)/B218</f>
        <v>66.6398609137027</v>
      </c>
      <c r="K218" s="110">
        <f>((D218+G218)*100)/B218</f>
        <v>17.7326759220493</v>
      </c>
      <c r="L218" s="110">
        <f>((E218+H218)*100)/B218</f>
        <v>15.627463164248</v>
      </c>
      <c r="M218" s="111"/>
      <c r="N218" s="0">
        <f>O218+P218+Q218+R218+S218+T218</f>
        <v>537.557914461422</v>
      </c>
      <c r="O218" s="49">
        <v>150</v>
      </c>
      <c r="P218" s="49">
        <v>119</v>
      </c>
      <c r="Q218" s="49">
        <v>47</v>
      </c>
      <c r="R218" s="49">
        <v>84.7798142071767</v>
      </c>
      <c r="S218" s="49">
        <v>88.1710067754638</v>
      </c>
      <c r="T218" s="49">
        <v>48.6070934787813</v>
      </c>
      <c r="U218" s="49">
        <v>99</v>
      </c>
      <c r="V218" s="110">
        <f>((O218+R218)*100)/N218</f>
        <v>43.6752595192282</v>
      </c>
      <c r="W218" s="110">
        <f>((P218+S218)*100)/N218</f>
        <v>38.5392905958845</v>
      </c>
      <c r="X218" s="110">
        <f>((Q218+T218)*100)/N218</f>
        <v>17.7854498848873</v>
      </c>
    </row>
    <row r="219" spans="1:24" s="168" customFormat="1" ht="22.500000" customHeight="1">
      <c r="A219" s="34">
        <v>217</v>
      </c>
      <c r="B219" s="0">
        <f>C219+D219+E219+F219+G219+H219</f>
        <v>91.4775529324848</v>
      </c>
      <c r="C219" s="49">
        <v>70</v>
      </c>
      <c r="D219" s="49">
        <v>0</v>
      </c>
      <c r="E219" s="49">
        <v>0</v>
      </c>
      <c r="F219" s="49">
        <v>20.3471554097224</v>
      </c>
      <c r="G219" s="49">
        <v>0</v>
      </c>
      <c r="H219" s="49">
        <v>1.13039752276235</v>
      </c>
      <c r="I219" s="78">
        <f>(100*B219)/N219</f>
        <v>12.237670741346</v>
      </c>
      <c r="J219" s="110">
        <f>((C219+F219)*100)/B219</f>
        <v>98.7642897229699</v>
      </c>
      <c r="K219" s="110">
        <f>((D219+G219)*100)/B219</f>
        <v>0</v>
      </c>
      <c r="L219" s="110">
        <f>((E219+H219)*100)/B219</f>
        <v>1.23571027703009</v>
      </c>
      <c r="M219" s="111"/>
      <c r="N219" s="0">
        <f>O219+P219+Q219+R219+S219+T219</f>
        <v>747.507878467595</v>
      </c>
      <c r="O219" s="49">
        <v>150</v>
      </c>
      <c r="P219" s="49">
        <v>125</v>
      </c>
      <c r="Q219" s="49">
        <v>52</v>
      </c>
      <c r="R219" s="49">
        <v>205.732349142748</v>
      </c>
      <c r="S219" s="49">
        <v>150.342870527393</v>
      </c>
      <c r="T219" s="49">
        <v>64.4326587974543</v>
      </c>
      <c r="U219" s="49">
        <v>114</v>
      </c>
      <c r="V219" s="110">
        <f>((O219+R219)*100)/N219</f>
        <v>47.5891103478409</v>
      </c>
      <c r="W219" s="110">
        <f>((P219+S219)*100)/N219</f>
        <v>36.8347783961623</v>
      </c>
      <c r="X219" s="110">
        <f>((Q219+T219)*100)/N219</f>
        <v>15.5761112559968</v>
      </c>
    </row>
    <row r="220" spans="1:24" s="168" customFormat="1" ht="22.500000" customHeight="1">
      <c r="A220" s="34">
        <v>218</v>
      </c>
      <c r="B220" s="0">
        <f>C220+D220+E220+F220+G220+H220</f>
        <v>193.214186957563</v>
      </c>
      <c r="C220" s="49">
        <v>82</v>
      </c>
      <c r="D220" s="49">
        <v>2</v>
      </c>
      <c r="E220" s="49">
        <v>12</v>
      </c>
      <c r="F220" s="49">
        <v>93.8229943892756</v>
      </c>
      <c r="G220" s="49">
        <v>2.26079504552471</v>
      </c>
      <c r="H220" s="49">
        <v>1.13039752276235</v>
      </c>
      <c r="I220" s="78">
        <f>(100*B220)/N220</f>
        <v>23.3649674290796</v>
      </c>
      <c r="J220" s="110">
        <f>((C220+F220)*100)/B220</f>
        <v>90.999008487867</v>
      </c>
      <c r="K220" s="110">
        <f>((D220+G220)*100)/B220</f>
        <v>2.20521852593596</v>
      </c>
      <c r="L220" s="110">
        <f>((E220+H220)*100)/B220</f>
        <v>6.79577298619707</v>
      </c>
      <c r="M220" s="111"/>
      <c r="N220" s="0">
        <f>O220+P220+Q220+R220+S220+T220</f>
        <v>826.939680288585</v>
      </c>
      <c r="O220" s="49">
        <v>136</v>
      </c>
      <c r="P220" s="49">
        <v>129</v>
      </c>
      <c r="Q220" s="49">
        <v>51</v>
      </c>
      <c r="R220" s="49">
        <v>193.297976392363</v>
      </c>
      <c r="S220" s="49">
        <v>209.123541711036</v>
      </c>
      <c r="T220" s="49">
        <v>108.518162185186</v>
      </c>
      <c r="U220" s="49">
        <v>111</v>
      </c>
      <c r="V220" s="110">
        <f>((O220+R220)*100)/N220</f>
        <v>39.8212813149134</v>
      </c>
      <c r="W220" s="110">
        <f>((P220+S220)*100)/N220</f>
        <v>40.8885375524655</v>
      </c>
      <c r="X220" s="110">
        <f>((Q220+T220)*100)/N220</f>
        <v>19.2901811326211</v>
      </c>
    </row>
    <row r="221" spans="1:24" s="168" customFormat="1" ht="22.500000" customHeight="1">
      <c r="A221" s="34">
        <v>219</v>
      </c>
      <c r="B221" s="0">
        <f>C221+D221+E221+F221+G221+H221</f>
        <v>21.3911925682871</v>
      </c>
      <c r="C221" s="49">
        <v>15</v>
      </c>
      <c r="D221" s="49">
        <v>1</v>
      </c>
      <c r="E221" s="49">
        <v>2</v>
      </c>
      <c r="F221" s="49">
        <v>1.13039752276235</v>
      </c>
      <c r="G221" s="49">
        <v>0</v>
      </c>
      <c r="H221" s="49">
        <v>2.26079504552471</v>
      </c>
      <c r="I221" s="78">
        <f>(100*B221)/N221</f>
        <v>5.51260481931433</v>
      </c>
      <c r="J221" s="110">
        <f>((C221+F221)*100)/B221</f>
        <v>75.4067239181234</v>
      </c>
      <c r="K221" s="110">
        <f>((D221+G221)*100)/B221</f>
        <v>4.67482117608779</v>
      </c>
      <c r="L221" s="110">
        <f>((E221+H221)*100)/B221</f>
        <v>19.9184549057888</v>
      </c>
      <c r="M221" s="111"/>
      <c r="N221" s="0">
        <f>O221+P221+Q221+R221+S221+T221</f>
        <v>388.041466229167</v>
      </c>
      <c r="O221" s="49">
        <v>146</v>
      </c>
      <c r="P221" s="49">
        <v>130</v>
      </c>
      <c r="Q221" s="49">
        <v>51</v>
      </c>
      <c r="R221" s="49">
        <v>33.9119256828707</v>
      </c>
      <c r="S221" s="49">
        <v>15.8255653186729</v>
      </c>
      <c r="T221" s="49">
        <v>11.3039752276235</v>
      </c>
      <c r="U221" s="49">
        <v>73</v>
      </c>
      <c r="V221" s="110">
        <f>((O221+R221)*100)/N221</f>
        <v>46.3640979999337</v>
      </c>
      <c r="W221" s="110">
        <f>((P221+S221)*100)/N221</f>
        <v>37.5798923593779</v>
      </c>
      <c r="X221" s="110">
        <f>((Q221+T221)*100)/N221</f>
        <v>16.0560096406884</v>
      </c>
    </row>
    <row r="222" spans="1:24" s="168" customFormat="1" ht="22.500000" customHeight="1">
      <c r="A222" s="34">
        <v>220</v>
      </c>
      <c r="B222" s="0">
        <f>C222+D222+E222+F222+G222+H222</f>
        <v>168.606236502315</v>
      </c>
      <c r="C222" s="49">
        <v>84</v>
      </c>
      <c r="D222" s="49">
        <v>1</v>
      </c>
      <c r="E222" s="49">
        <v>9</v>
      </c>
      <c r="F222" s="49">
        <v>68.9542488885037</v>
      </c>
      <c r="G222" s="49">
        <v>1.13039752276235</v>
      </c>
      <c r="H222" s="49">
        <v>4.52159009104942</v>
      </c>
      <c r="I222" s="78">
        <f>(100*B222)/N222</f>
        <v>22.1651566676407</v>
      </c>
      <c r="J222" s="110">
        <f>((C222+F222)*100)/B222</f>
        <v>90.7168394606822</v>
      </c>
      <c r="K222" s="110">
        <f>((D222+G222)*100)/B222</f>
        <v>1.26353423631106</v>
      </c>
      <c r="L222" s="110">
        <f>((E222+H222)*100)/B222</f>
        <v>8.01962630300673</v>
      </c>
      <c r="M222" s="111"/>
      <c r="N222" s="0">
        <f>O222+P222+Q222+R222+S222+T222</f>
        <v>760.681456172457</v>
      </c>
      <c r="O222" s="49">
        <v>143</v>
      </c>
      <c r="P222" s="49">
        <v>134</v>
      </c>
      <c r="Q222" s="49">
        <v>53</v>
      </c>
      <c r="R222" s="49">
        <v>218.166721893134</v>
      </c>
      <c r="S222" s="49">
        <v>152.603665572918</v>
      </c>
      <c r="T222" s="49">
        <v>59.9110687064049</v>
      </c>
      <c r="U222" s="49">
        <v>107</v>
      </c>
      <c r="V222" s="110">
        <f>((O222+R222)*100)/N222</f>
        <v>47.4793645832287</v>
      </c>
      <c r="W222" s="110">
        <f>((P222+S222)*100)/N222</f>
        <v>37.6772252363072</v>
      </c>
      <c r="X222" s="110">
        <f>((Q222+T222)*100)/N222</f>
        <v>14.8434101804641</v>
      </c>
    </row>
    <row r="223" spans="1:24" s="168" customFormat="1" ht="22.500000" customHeight="1">
      <c r="A223" s="34">
        <v>221</v>
      </c>
      <c r="B223" s="0">
        <f>C223+D223+E223+F223+G223+H223</f>
        <v>71.1735777048612</v>
      </c>
      <c r="C223" s="49">
        <v>59</v>
      </c>
      <c r="D223" s="49">
        <v>0</v>
      </c>
      <c r="E223" s="49">
        <v>2</v>
      </c>
      <c r="F223" s="49">
        <v>9.04318018209885</v>
      </c>
      <c r="G223" s="49">
        <v>0</v>
      </c>
      <c r="H223" s="49">
        <v>1.13039752276235</v>
      </c>
      <c r="I223" s="78">
        <f>(100*B223)/N223</f>
        <v>14.5009405279321</v>
      </c>
      <c r="J223" s="110">
        <f>((C223+F223)*100)/B223</f>
        <v>95.6017420738026</v>
      </c>
      <c r="K223" s="110">
        <f>((D223+G223)*100)/B223</f>
        <v>0</v>
      </c>
      <c r="L223" s="110">
        <f>((E223+H223)*100)/B223</f>
        <v>4.39825792619744</v>
      </c>
      <c r="M223" s="111"/>
      <c r="N223" s="0">
        <f>O223+P223+Q223+R223+S223+T223</f>
        <v>490.820423459878</v>
      </c>
      <c r="O223" s="49">
        <v>131</v>
      </c>
      <c r="P223" s="49">
        <v>135</v>
      </c>
      <c r="Q223" s="49">
        <v>53</v>
      </c>
      <c r="R223" s="49">
        <v>80.2582241161273</v>
      </c>
      <c r="S223" s="49">
        <v>74.6062365023155</v>
      </c>
      <c r="T223" s="49">
        <v>16.9559628414353</v>
      </c>
      <c r="U223" s="49">
        <v>96</v>
      </c>
      <c r="V223" s="110">
        <f>((O223+R223)*100)/N223</f>
        <v>43.0418568622168</v>
      </c>
      <c r="W223" s="110">
        <f>((P223+S223)*100)/N223</f>
        <v>42.705280074689</v>
      </c>
      <c r="X223" s="110">
        <f>((Q223+T223)*100)/N223</f>
        <v>14.2528630630942</v>
      </c>
    </row>
    <row r="224" spans="1:24" s="168" customFormat="1" ht="22.500000" customHeight="1">
      <c r="A224" s="34">
        <v>222</v>
      </c>
      <c r="B224" s="0">
        <f>C224+D224+E224+F224+G224+H224</f>
        <v>222.126112640433</v>
      </c>
      <c r="C224" s="49">
        <v>83</v>
      </c>
      <c r="D224" s="49">
        <v>3</v>
      </c>
      <c r="E224" s="49">
        <v>5</v>
      </c>
      <c r="F224" s="49">
        <v>118.691739890047</v>
      </c>
      <c r="G224" s="49">
        <v>2.26079504552471</v>
      </c>
      <c r="H224" s="49">
        <v>10.1735777048612</v>
      </c>
      <c r="I224" s="78">
        <f>(100*B224)/N224</f>
        <v>18.7810992522061</v>
      </c>
      <c r="J224" s="110">
        <f>((C224+F224)*100)/B224</f>
        <v>90.8005535650534</v>
      </c>
      <c r="K224" s="110">
        <f>((D224+G224)*100)/B224</f>
        <v>2.36838207943639</v>
      </c>
      <c r="L224" s="110">
        <f>((E224+H224)*100)/B224</f>
        <v>6.83106435551027</v>
      </c>
      <c r="M224" s="111"/>
      <c r="N224" s="0">
        <f>O224+P224+Q224+R224+S224+T224</f>
        <v>1182.7109247311</v>
      </c>
      <c r="O224" s="49">
        <v>138</v>
      </c>
      <c r="P224" s="49">
        <v>136</v>
      </c>
      <c r="Q224" s="49">
        <v>53</v>
      </c>
      <c r="R224" s="49">
        <v>396.769530489587</v>
      </c>
      <c r="S224" s="49">
        <v>365.118399852241</v>
      </c>
      <c r="T224" s="49">
        <v>93.8229943892756</v>
      </c>
      <c r="U224" s="49">
        <v>125</v>
      </c>
      <c r="V224" s="110">
        <f>((O224+R224)*100)/N224</f>
        <v>45.2155737557907</v>
      </c>
      <c r="W224" s="110">
        <f>((P224+S224)*100)/N224</f>
        <v>42.3703196929692</v>
      </c>
      <c r="X224" s="110">
        <f>((Q224+T224)*100)/N224</f>
        <v>12.41410655124</v>
      </c>
    </row>
    <row r="225" spans="1:24" s="168" customFormat="1" ht="22.500000" customHeight="1">
      <c r="A225" s="34">
        <v>223</v>
      </c>
      <c r="B225" s="0">
        <f>C225+D225+E225+F225+G225+H225</f>
        <v>78.7383479780095</v>
      </c>
      <c r="C225" s="49">
        <v>51</v>
      </c>
      <c r="D225" s="49">
        <v>2</v>
      </c>
      <c r="E225" s="49">
        <v>2</v>
      </c>
      <c r="F225" s="49">
        <v>20.3471554097224</v>
      </c>
      <c r="G225" s="49">
        <v>2.26079504552471</v>
      </c>
      <c r="H225" s="49">
        <v>1.13039752276235</v>
      </c>
      <c r="I225" s="78">
        <f>(100*B225)/N225</f>
        <v>7.12945765307437</v>
      </c>
      <c r="J225" s="110">
        <f>((C225+F225)*100)/B225</f>
        <v>90.6129697179431</v>
      </c>
      <c r="K225" s="110">
        <f>((D225+G225)*100)/B225</f>
        <v>5.41133406394898</v>
      </c>
      <c r="L225" s="110">
        <f>((E225+H225)*100)/B225</f>
        <v>3.97569621810789</v>
      </c>
      <c r="M225" s="111"/>
      <c r="N225" s="0">
        <f>O225+P225+Q225+R225+S225+T225</f>
        <v>1104.40866345641</v>
      </c>
      <c r="O225" s="49">
        <v>126</v>
      </c>
      <c r="P225" s="49">
        <v>133</v>
      </c>
      <c r="Q225" s="49">
        <v>53</v>
      </c>
      <c r="R225" s="49">
        <v>299.555343532024</v>
      </c>
      <c r="S225" s="49">
        <v>327.815281601083</v>
      </c>
      <c r="T225" s="49">
        <v>165.038038323304</v>
      </c>
      <c r="U225" s="49">
        <v>120</v>
      </c>
      <c r="V225" s="110">
        <f>((O225+R225)*100)/N225</f>
        <v>38.5324162706389</v>
      </c>
      <c r="W225" s="110">
        <f>((P225+S225)*100)/N225</f>
        <v>41.7250694284571</v>
      </c>
      <c r="X225" s="110">
        <f>((Q225+T225)*100)/N225</f>
        <v>19.7425143009039</v>
      </c>
    </row>
    <row r="226" spans="1:24" s="168" customFormat="1" ht="22.500000" customHeight="1">
      <c r="A226" s="34">
        <v>224</v>
      </c>
      <c r="B226" s="0">
        <f>C226+D226+E226+F226+G226+H226</f>
        <v>116.824708342207</v>
      </c>
      <c r="C226" s="49">
        <v>72</v>
      </c>
      <c r="D226" s="49">
        <v>1</v>
      </c>
      <c r="E226" s="49">
        <v>2</v>
      </c>
      <c r="F226" s="49">
        <v>38.4335157739201</v>
      </c>
      <c r="G226" s="49">
        <v>2.26079504552471</v>
      </c>
      <c r="H226" s="49">
        <v>1.13039752276235</v>
      </c>
      <c r="I226" s="78">
        <f>(100*B226)/N226</f>
        <v>20.3330341294404</v>
      </c>
      <c r="J226" s="110">
        <f>((C226+F226)*100)/B226</f>
        <v>94.5292458599034</v>
      </c>
      <c r="K226" s="110">
        <f>((D226+G226)*100)/B226</f>
        <v>2.79118612132381</v>
      </c>
      <c r="L226" s="110">
        <f>((E226+H226)*100)/B226</f>
        <v>2.67956801877277</v>
      </c>
      <c r="M226" s="111"/>
      <c r="N226" s="0">
        <f>O226+P226+Q226+R226+S226+T226</f>
        <v>574.55620050849</v>
      </c>
      <c r="O226" s="49">
        <v>119</v>
      </c>
      <c r="P226" s="49">
        <v>131</v>
      </c>
      <c r="Q226" s="49">
        <v>51</v>
      </c>
      <c r="R226" s="49">
        <v>88.1710067754638</v>
      </c>
      <c r="S226" s="49">
        <v>125.474125026621</v>
      </c>
      <c r="T226" s="49">
        <v>59.9110687064049</v>
      </c>
      <c r="U226" s="49">
        <v>96</v>
      </c>
      <c r="V226" s="110">
        <f>((O226+R226)*100)/N226</f>
        <v>36.0575704503954</v>
      </c>
      <c r="W226" s="110">
        <f>((P226+S226)*100)/N226</f>
        <v>44.6386488910289</v>
      </c>
      <c r="X226" s="110">
        <f>((Q226+T226)*100)/N226</f>
        <v>19.3037806585756</v>
      </c>
    </row>
    <row r="227" spans="1:24" s="168" customFormat="1" ht="22.500000" customHeight="1">
      <c r="A227" s="34">
        <v>225</v>
      </c>
      <c r="B227" s="0">
        <f>C227+D227+E227+F227+G227+H227</f>
        <v>243.038038323304</v>
      </c>
      <c r="C227" s="49">
        <v>73</v>
      </c>
      <c r="D227" s="49">
        <v>1</v>
      </c>
      <c r="E227" s="49">
        <v>4</v>
      </c>
      <c r="F227" s="49">
        <v>152.603665572918</v>
      </c>
      <c r="G227" s="49">
        <v>5.65198761381178</v>
      </c>
      <c r="H227" s="49">
        <v>6.78238513657414</v>
      </c>
      <c r="I227" s="78">
        <f>(100*B227)/N227</f>
        <v>19.4943779418968</v>
      </c>
      <c r="J227" s="110">
        <f>((C227+F227)*100)/B227</f>
        <v>92.8264839238072</v>
      </c>
      <c r="K227" s="110">
        <f>((D227+G227)*100)/B227</f>
        <v>2.73701502024259</v>
      </c>
      <c r="L227" s="110">
        <f>((E227+H227)*100)/B227</f>
        <v>4.43650105595025</v>
      </c>
      <c r="M227" s="111"/>
      <c r="N227" s="0">
        <f>O227+P227+Q227+R227+S227+T227</f>
        <v>1246.70835380171</v>
      </c>
      <c r="O227" s="49">
        <v>129</v>
      </c>
      <c r="P227" s="49">
        <v>133</v>
      </c>
      <c r="Q227" s="49">
        <v>51</v>
      </c>
      <c r="R227" s="49">
        <v>373.031182511577</v>
      </c>
      <c r="S227" s="49">
        <v>411.464698285497</v>
      </c>
      <c r="T227" s="49">
        <v>149.212473004631</v>
      </c>
      <c r="U227" s="49">
        <v>124</v>
      </c>
      <c r="V227" s="110">
        <f>((O227+R227)*100)/N227</f>
        <v>40.2685344155019</v>
      </c>
      <c r="W227" s="110">
        <f>((P227+S227)*100)/N227</f>
        <v>43.6721785512393</v>
      </c>
      <c r="X227" s="110">
        <f>((Q227+T227)*100)/N227</f>
        <v>16.0592870332588</v>
      </c>
    </row>
    <row r="228" spans="1:24" s="168" customFormat="1" ht="22.500000" customHeight="1">
      <c r="A228" s="34">
        <v>226</v>
      </c>
      <c r="B228" s="0">
        <f>C228+D228+E228+F228+G228+H228</f>
        <v>96.3031182511577</v>
      </c>
      <c r="C228" s="49">
        <v>51</v>
      </c>
      <c r="D228" s="49">
        <v>5</v>
      </c>
      <c r="E228" s="49">
        <v>3</v>
      </c>
      <c r="F228" s="49">
        <v>6.78238513657414</v>
      </c>
      <c r="G228" s="49">
        <v>3.39119256828707</v>
      </c>
      <c r="H228" s="49">
        <v>27.1295405462965</v>
      </c>
      <c r="I228" s="78">
        <f>(100*B228)/N228</f>
        <v>19.0505066857152</v>
      </c>
      <c r="J228" s="110">
        <f>((C228+F228)*100)/B228</f>
        <v>60.0005339244345</v>
      </c>
      <c r="K228" s="110">
        <f>((D228+G228)*100)/B228</f>
        <v>8.71331346343627</v>
      </c>
      <c r="L228" s="110">
        <f>((E228+H228)*100)/B228</f>
        <v>31.2861526121293</v>
      </c>
      <c r="M228" s="111"/>
      <c r="N228" s="0">
        <f>O228+P228+Q228+R228+S228+T228</f>
        <v>505.514734279323</v>
      </c>
      <c r="O228" s="49">
        <v>111</v>
      </c>
      <c r="P228" s="49">
        <v>131</v>
      </c>
      <c r="Q228" s="49">
        <v>51</v>
      </c>
      <c r="R228" s="49">
        <v>67.8238513657414</v>
      </c>
      <c r="S228" s="49">
        <v>94.9533919120379</v>
      </c>
      <c r="T228" s="49">
        <v>49.7374910015437</v>
      </c>
      <c r="U228" s="49">
        <v>104</v>
      </c>
      <c r="V228" s="110">
        <f>((O228+R228)*100)/N228</f>
        <v>35.3746071557495</v>
      </c>
      <c r="W228" s="110">
        <f>((P228+S228)*100)/N228</f>
        <v>44.697686652826</v>
      </c>
      <c r="X228" s="110">
        <f>((Q228+T228)*100)/N228</f>
        <v>19.9277061914245</v>
      </c>
    </row>
    <row r="229" spans="1:24" s="168" customFormat="1" ht="22.500000" customHeight="1">
      <c r="A229" s="34">
        <v>227</v>
      </c>
      <c r="B229" s="0">
        <f>C229+D229+E229+F229+G229+H229</f>
        <v>63.9127826593365</v>
      </c>
      <c r="C229" s="49">
        <v>52</v>
      </c>
      <c r="D229" s="49">
        <v>2</v>
      </c>
      <c r="E229" s="49">
        <v>2</v>
      </c>
      <c r="F229" s="49">
        <v>6.78238513657414</v>
      </c>
      <c r="G229" s="49">
        <v>0</v>
      </c>
      <c r="H229" s="49">
        <v>1.13039752276235</v>
      </c>
      <c r="I229" s="78">
        <f>(100*B229)/N229</f>
        <v>15.2950675655967</v>
      </c>
      <c r="J229" s="110">
        <f>((C229+F229)*100)/B229</f>
        <v>91.9728146557035</v>
      </c>
      <c r="K229" s="110">
        <f>((D229+G229)*100)/B229</f>
        <v>3.12926447070888</v>
      </c>
      <c r="L229" s="110">
        <f>((E229+H229)*100)/B229</f>
        <v>4.89792087358765</v>
      </c>
      <c r="M229" s="111"/>
      <c r="N229" s="0">
        <f>O229+P229+Q229+R229+S229+T229</f>
        <v>417.865317594909</v>
      </c>
      <c r="O229" s="49">
        <v>113</v>
      </c>
      <c r="P229" s="49">
        <v>128</v>
      </c>
      <c r="Q229" s="49">
        <v>48</v>
      </c>
      <c r="R229" s="49">
        <v>92.6925968665132</v>
      </c>
      <c r="S229" s="49">
        <v>27.1295405462965</v>
      </c>
      <c r="T229" s="49">
        <v>9.04318018209885</v>
      </c>
      <c r="U229" s="49">
        <v>83</v>
      </c>
      <c r="V229" s="110">
        <f>((O229+R229)*100)/N229</f>
        <v>49.2246157327462</v>
      </c>
      <c r="W229" s="110">
        <f>((P229+S229)*100)/N229</f>
        <v>37.1242919702381</v>
      </c>
      <c r="X229" s="110">
        <f>((Q229+T229)*100)/N229</f>
        <v>13.6510922970157</v>
      </c>
    </row>
    <row r="230" spans="1:24" s="168" customFormat="1" ht="22.500000" customHeight="1">
      <c r="A230" s="34">
        <v>228</v>
      </c>
      <c r="B230" s="0">
        <f>C230+D230+E230+F230+G230+H230</f>
        <v>1</v>
      </c>
      <c r="C230" s="49">
        <v>1</v>
      </c>
      <c r="D230" s="49">
        <v>0</v>
      </c>
      <c r="E230" s="49">
        <v>0</v>
      </c>
      <c r="F230" s="49">
        <v>0</v>
      </c>
      <c r="G230" s="49">
        <v>0</v>
      </c>
      <c r="H230" s="49">
        <v>0</v>
      </c>
      <c r="I230" s="78">
        <f>(100*B230)/N230</f>
        <v>0.333333333333333</v>
      </c>
      <c r="J230" s="110">
        <f>((C230+F230)*100)/B230</f>
        <v>100</v>
      </c>
      <c r="K230" s="110">
        <f>((D230+G230)*100)/B230</f>
        <v>0</v>
      </c>
      <c r="L230" s="110">
        <f>((E230+H230)*100)/B230</f>
        <v>0</v>
      </c>
      <c r="M230" s="111"/>
      <c r="N230" s="0">
        <f>O230+P230+Q230+R230+S230+T230</f>
        <v>300</v>
      </c>
      <c r="O230" s="49">
        <v>122</v>
      </c>
      <c r="P230" s="49">
        <v>129</v>
      </c>
      <c r="Q230" s="49">
        <v>49</v>
      </c>
      <c r="R230" s="49">
        <v>0</v>
      </c>
      <c r="S230" s="49">
        <v>0</v>
      </c>
      <c r="T230" s="49">
        <v>0</v>
      </c>
      <c r="U230" s="49">
        <v>63</v>
      </c>
      <c r="V230" s="110">
        <f>((O230+R230)*100)/N230</f>
        <v>40.6666666666667</v>
      </c>
      <c r="W230" s="110">
        <f>((P230+S230)*100)/N230</f>
        <v>43</v>
      </c>
      <c r="X230" s="110">
        <f>((Q230+T230)*100)/N230</f>
        <v>16.3333333333333</v>
      </c>
    </row>
    <row r="231" spans="1:24" s="168" customFormat="1" ht="22.500000" customHeight="1">
      <c r="A231" s="34">
        <v>229</v>
      </c>
      <c r="B231" s="0">
        <f>C231+D231+E231+F231+G231+H231</f>
        <v>71.1303975227624</v>
      </c>
      <c r="C231" s="49">
        <v>67</v>
      </c>
      <c r="D231" s="49">
        <v>1</v>
      </c>
      <c r="E231" s="49">
        <v>2</v>
      </c>
      <c r="F231" s="49">
        <v>1.13039752276235</v>
      </c>
      <c r="G231" s="49">
        <v>0</v>
      </c>
      <c r="H231" s="49">
        <v>0</v>
      </c>
      <c r="I231" s="78">
        <f>(100*B231)/N231</f>
        <v>15.1750284797769</v>
      </c>
      <c r="J231" s="110">
        <f>((C231+F231)*100)/B231</f>
        <v>95.7823938787352</v>
      </c>
      <c r="K231" s="110">
        <f>((D231+G231)*100)/B231</f>
        <v>1.40586870708826</v>
      </c>
      <c r="L231" s="110">
        <f>((E231+H231)*100)/B231</f>
        <v>2.81173741417652</v>
      </c>
      <c r="M231" s="111"/>
      <c r="N231" s="0">
        <f>O231+P231+Q231+R231+S231+T231</f>
        <v>468.733206119215</v>
      </c>
      <c r="O231" s="49">
        <v>112</v>
      </c>
      <c r="P231" s="49">
        <v>129</v>
      </c>
      <c r="Q231" s="49">
        <v>48</v>
      </c>
      <c r="R231" s="49">
        <v>101.735777048612</v>
      </c>
      <c r="S231" s="49">
        <v>59.9110687064049</v>
      </c>
      <c r="T231" s="49">
        <v>18.0863603641977</v>
      </c>
      <c r="U231" s="49">
        <v>93</v>
      </c>
      <c r="V231" s="110">
        <f>((O231+R231)*100)/N231</f>
        <v>45.5985994289152</v>
      </c>
      <c r="W231" s="110">
        <f>((P231+S231)*100)/N231</f>
        <v>40.3024719051713</v>
      </c>
      <c r="X231" s="110">
        <f>((Q231+T231)*100)/N231</f>
        <v>14.0989286659136</v>
      </c>
    </row>
    <row r="232" spans="1:24" s="168" customFormat="1" ht="22.500000" customHeight="1">
      <c r="A232" s="34">
        <v>230</v>
      </c>
      <c r="B232" s="0">
        <f>C232+D232+E232+F232+G232+H232</f>
        <v>118.998286047068</v>
      </c>
      <c r="C232" s="49">
        <v>61</v>
      </c>
      <c r="D232" s="49">
        <v>3</v>
      </c>
      <c r="E232" s="49">
        <v>3</v>
      </c>
      <c r="F232" s="49">
        <v>48.6070934787813</v>
      </c>
      <c r="G232" s="49">
        <v>2.26079504552471</v>
      </c>
      <c r="H232" s="49">
        <v>1.13039752276235</v>
      </c>
      <c r="I232" s="78">
        <f>(100*B232)/N232</f>
        <v>25.8964632128942</v>
      </c>
      <c r="J232" s="110">
        <f>((C232+F232)*100)/B232</f>
        <v>92.1081278728901</v>
      </c>
      <c r="K232" s="110">
        <f>((D232+G232)*100)/B232</f>
        <v>4.42089984677919</v>
      </c>
      <c r="L232" s="110">
        <f>((E232+H232)*100)/B232</f>
        <v>3.47097228033068</v>
      </c>
      <c r="M232" s="111"/>
      <c r="N232" s="0">
        <f>O232+P232+Q232+R232+S232+T232</f>
        <v>459.515591255788</v>
      </c>
      <c r="O232" s="49">
        <v>101</v>
      </c>
      <c r="P232" s="49">
        <v>124</v>
      </c>
      <c r="Q232" s="49">
        <v>48</v>
      </c>
      <c r="R232" s="49">
        <v>118.691739890047</v>
      </c>
      <c r="S232" s="49">
        <v>58.7806711836425</v>
      </c>
      <c r="T232" s="49">
        <v>9.04318018209885</v>
      </c>
      <c r="U232" s="49">
        <v>110</v>
      </c>
      <c r="V232" s="110">
        <f>((O232+R232)*100)/N232</f>
        <v>47.8094201960943</v>
      </c>
      <c r="W232" s="110">
        <f>((P232+S232)*100)/N232</f>
        <v>39.7768159909721</v>
      </c>
      <c r="X232" s="110">
        <f>((Q232+T232)*100)/N232</f>
        <v>12.4137638129336</v>
      </c>
    </row>
    <row r="233" spans="1:24" s="168" customFormat="1" ht="22.500000" customHeight="1">
      <c r="A233" s="34">
        <v>231</v>
      </c>
      <c r="B233" s="0">
        <f>C233+D233+E233+F233+G233+H233</f>
        <v>102.346298433257</v>
      </c>
      <c r="C233" s="49">
        <v>47</v>
      </c>
      <c r="D233" s="49">
        <v>4</v>
      </c>
      <c r="E233" s="49">
        <v>5</v>
      </c>
      <c r="F233" s="49">
        <v>39.5639132966824</v>
      </c>
      <c r="G233" s="49">
        <v>4.52159009104942</v>
      </c>
      <c r="H233" s="49">
        <v>2.26079504552471</v>
      </c>
      <c r="I233" s="78">
        <f>(100*B233)/N233</f>
        <v>16.9267919881105</v>
      </c>
      <c r="J233" s="110">
        <f>((C233+F233)*100)/B233</f>
        <v>84.5794275140626</v>
      </c>
      <c r="K233" s="110">
        <f>((D233+G233)*100)/B233</f>
        <v>8.3262318437502</v>
      </c>
      <c r="L233" s="110">
        <f>((E233+H233)*100)/B233</f>
        <v>7.09434064218719</v>
      </c>
      <c r="M233" s="111"/>
      <c r="N233" s="0">
        <f>O233+P233+Q233+R233+S233+T233</f>
        <v>604.640846919756</v>
      </c>
      <c r="O233" s="49">
        <v>89</v>
      </c>
      <c r="P233" s="49">
        <v>121</v>
      </c>
      <c r="Q233" s="49">
        <v>51</v>
      </c>
      <c r="R233" s="49">
        <v>155.994858141205</v>
      </c>
      <c r="S233" s="49">
        <v>127.734920072146</v>
      </c>
      <c r="T233" s="49">
        <v>59.9110687064049</v>
      </c>
      <c r="U233" s="49">
        <v>122</v>
      </c>
      <c r="V233" s="110">
        <f>((O233+R233)*100)/N233</f>
        <v>40.5190716752418</v>
      </c>
      <c r="W233" s="110">
        <f>((P233+S233)*100)/N233</f>
        <v>41.1376309323602</v>
      </c>
      <c r="X233" s="110">
        <f>((Q233+T233)*100)/N233</f>
        <v>18.343297392398</v>
      </c>
    </row>
    <row r="234" spans="1:24" s="168" customFormat="1" ht="22.500000" customHeight="1">
      <c r="A234" s="34">
        <v>232</v>
      </c>
      <c r="B234" s="0">
        <f>C234+D234+E234+F234+G234+H234</f>
        <v>51.1735777048612</v>
      </c>
      <c r="C234" s="49">
        <v>41</v>
      </c>
      <c r="D234" s="49">
        <v>0</v>
      </c>
      <c r="E234" s="49">
        <v>0</v>
      </c>
      <c r="F234" s="49">
        <v>10.1735777048612</v>
      </c>
      <c r="G234" s="49">
        <v>0</v>
      </c>
      <c r="H234" s="49">
        <v>0</v>
      </c>
      <c r="I234" s="78">
        <f>(100*B234)/N234</f>
        <v>10.3409638429402</v>
      </c>
      <c r="J234" s="110">
        <f>((C234+F234)*100)/B234</f>
        <v>100</v>
      </c>
      <c r="K234" s="110">
        <f>((D234+G234)*100)/B234</f>
        <v>0</v>
      </c>
      <c r="L234" s="110">
        <f>((E234+H234)*100)/B234</f>
        <v>0</v>
      </c>
      <c r="M234" s="111"/>
      <c r="N234" s="0">
        <f>O234+P234+Q234+R234+S234+T234</f>
        <v>494.86274666551</v>
      </c>
      <c r="O234" s="49">
        <v>101</v>
      </c>
      <c r="P234" s="49">
        <v>128</v>
      </c>
      <c r="Q234" s="49">
        <v>59</v>
      </c>
      <c r="R234" s="49">
        <v>74.6062365023155</v>
      </c>
      <c r="S234" s="49">
        <v>123.213329981096</v>
      </c>
      <c r="T234" s="49">
        <v>9.04318018209885</v>
      </c>
      <c r="U234" s="49">
        <v>105</v>
      </c>
      <c r="V234" s="110">
        <f>((O234+R234)*100)/N234</f>
        <v>35.4858468707914</v>
      </c>
      <c r="W234" s="110">
        <f>((P234+S234)*100)/N234</f>
        <v>50.7642435551725</v>
      </c>
      <c r="X234" s="110">
        <f>((Q234+T234)*100)/N234</f>
        <v>13.7499095740361</v>
      </c>
    </row>
    <row r="235" spans="1:24" s="168" customFormat="1" ht="22.500000" customHeight="1">
      <c r="A235" s="34">
        <v>233</v>
      </c>
      <c r="B235" s="0">
        <f>C235+D235+E235+F235+G235+H235</f>
        <v>117.824708342207</v>
      </c>
      <c r="C235" s="49">
        <v>65</v>
      </c>
      <c r="D235" s="49">
        <v>2</v>
      </c>
      <c r="E235" s="49">
        <v>9</v>
      </c>
      <c r="F235" s="49">
        <v>30.5207331145836</v>
      </c>
      <c r="G235" s="49">
        <v>5.65198761381178</v>
      </c>
      <c r="H235" s="49">
        <v>5.65198761381178</v>
      </c>
      <c r="I235" s="78">
        <f>(100*B235)/N235</f>
        <v>19.5316383707392</v>
      </c>
      <c r="J235" s="110">
        <f>((C235+F235)*100)/B235</f>
        <v>81.0702054421009</v>
      </c>
      <c r="K235" s="110">
        <f>((D235+G235)*100)/B235</f>
        <v>6.49438281789549</v>
      </c>
      <c r="L235" s="110">
        <f>((E235+H235)*100)/B235</f>
        <v>12.4354117400036</v>
      </c>
      <c r="M235" s="111"/>
      <c r="N235" s="0">
        <f>O235+P235+Q235+R235+S235+T235</f>
        <v>603.250511327935</v>
      </c>
      <c r="O235" s="49">
        <v>104</v>
      </c>
      <c r="P235" s="49">
        <v>127</v>
      </c>
      <c r="Q235" s="49">
        <v>58</v>
      </c>
      <c r="R235" s="49">
        <v>88.1710067754638</v>
      </c>
      <c r="S235" s="49">
        <v>127.734920072146</v>
      </c>
      <c r="T235" s="49">
        <v>98.344584480325</v>
      </c>
      <c r="U235" s="49">
        <v>99</v>
      </c>
      <c r="V235" s="110">
        <f>((O235+R235)*100)/N235</f>
        <v>31.8559210753818</v>
      </c>
      <c r="W235" s="110">
        <f>((P235+S235)*100)/N235</f>
        <v>42.2270541489303</v>
      </c>
      <c r="X235" s="110">
        <f>((Q235+T235)*100)/N235</f>
        <v>25.9170247756879</v>
      </c>
    </row>
    <row r="236" spans="1:24" s="168" customFormat="1" ht="22.500000" customHeight="1">
      <c r="A236" s="34">
        <v>234</v>
      </c>
      <c r="B236" s="0">
        <f>C236+D236+E236+F236+G236+H236</f>
        <v>82.4775529324847</v>
      </c>
      <c r="C236" s="49">
        <v>58</v>
      </c>
      <c r="D236" s="49">
        <v>1</v>
      </c>
      <c r="E236" s="49">
        <v>2</v>
      </c>
      <c r="F236" s="49">
        <v>19.21675788696</v>
      </c>
      <c r="G236" s="49">
        <v>1.13039752276235</v>
      </c>
      <c r="H236" s="49">
        <v>1.13039752276235</v>
      </c>
      <c r="I236" s="78">
        <f>(100*B236)/N236</f>
        <v>14.9253560368857</v>
      </c>
      <c r="J236" s="110">
        <f>((C236+F236)*100)/B236</f>
        <v>93.621543246038</v>
      </c>
      <c r="K236" s="110">
        <f>((D236+G236)*100)/B236</f>
        <v>2.58300282563702</v>
      </c>
      <c r="L236" s="110">
        <f>((E236+H236)*100)/B236</f>
        <v>3.79545392832503</v>
      </c>
      <c r="M236" s="111"/>
      <c r="N236" s="0">
        <f>O236+P236+Q236+R236+S236+T236</f>
        <v>552.600237667055</v>
      </c>
      <c r="O236" s="49">
        <v>112</v>
      </c>
      <c r="P236" s="49">
        <v>127</v>
      </c>
      <c r="Q236" s="49">
        <v>57</v>
      </c>
      <c r="R236" s="49">
        <v>51.9982860470684</v>
      </c>
      <c r="S236" s="49">
        <v>114.170149798998</v>
      </c>
      <c r="T236" s="49">
        <v>90.4318018209885</v>
      </c>
      <c r="U236" s="49">
        <v>87</v>
      </c>
      <c r="V236" s="110">
        <f>((O236+R236)*100)/N236</f>
        <v>29.6775634298367</v>
      </c>
      <c r="W236" s="110">
        <f>((P236+S236)*100)/N236</f>
        <v>43.6427879251664</v>
      </c>
      <c r="X236" s="110">
        <f>((Q236+T236)*100)/N236</f>
        <v>26.679648644997</v>
      </c>
    </row>
    <row r="237" spans="1:24" s="168" customFormat="1" ht="22.500000" customHeight="1">
      <c r="A237" s="34">
        <v>235</v>
      </c>
      <c r="B237" s="0">
        <f>C237+D237+E237+F237+G237+H237</f>
        <v>5</v>
      </c>
      <c r="C237" s="49">
        <v>5</v>
      </c>
      <c r="D237" s="49">
        <v>0</v>
      </c>
      <c r="E237" s="49">
        <v>0</v>
      </c>
      <c r="F237" s="49">
        <v>0</v>
      </c>
      <c r="G237" s="49">
        <v>0</v>
      </c>
      <c r="H237" s="49">
        <v>0</v>
      </c>
      <c r="I237" s="78">
        <f>(100*B237)/N237</f>
        <v>1.26277488768445</v>
      </c>
      <c r="J237" s="110">
        <f>((C237+F237)*100)/B237</f>
        <v>100</v>
      </c>
      <c r="K237" s="110">
        <f>((D237+G237)*100)/B237</f>
        <v>0</v>
      </c>
      <c r="L237" s="110">
        <f>((E237+H237)*100)/B237</f>
        <v>0</v>
      </c>
      <c r="M237" s="111"/>
      <c r="N237" s="0">
        <f>O237+P237+Q237+R237+S237+T237</f>
        <v>395.953391912038</v>
      </c>
      <c r="O237" s="49">
        <v>116</v>
      </c>
      <c r="P237" s="49">
        <v>127</v>
      </c>
      <c r="Q237" s="49">
        <v>58</v>
      </c>
      <c r="R237" s="49">
        <v>5.65198761381178</v>
      </c>
      <c r="S237" s="49">
        <v>47.4766959560189</v>
      </c>
      <c r="T237" s="49">
        <v>41.8247083422072</v>
      </c>
      <c r="U237" s="49">
        <v>63</v>
      </c>
      <c r="V237" s="110">
        <f>((O237+R237)*100)/N237</f>
        <v>30.7238149991242</v>
      </c>
      <c r="W237" s="110">
        <f>((P237+S237)*100)/N237</f>
        <v>44.0649580278831</v>
      </c>
      <c r="X237" s="110">
        <f>((Q237+T237)*100)/N237</f>
        <v>25.2112269729927</v>
      </c>
    </row>
    <row r="238" spans="1:24" s="168" customFormat="1" ht="22.500000" customHeight="1">
      <c r="A238" s="34">
        <v>236</v>
      </c>
      <c r="B238" s="0">
        <f>C238+D238+E238+F238+G238+H238</f>
        <v>141.65027366088</v>
      </c>
      <c r="C238" s="49">
        <v>68</v>
      </c>
      <c r="D238" s="49">
        <v>14</v>
      </c>
      <c r="E238" s="49">
        <v>2</v>
      </c>
      <c r="F238" s="49">
        <v>32.7815281601083</v>
      </c>
      <c r="G238" s="49">
        <v>24.8687455007718</v>
      </c>
      <c r="H238" s="49">
        <v>0</v>
      </c>
      <c r="I238" s="78">
        <f>(100*B238)/N238</f>
        <v>18.7307293875154</v>
      </c>
      <c r="J238" s="110">
        <f>((C238+F238)*100)/B238</f>
        <v>71.1481351609569</v>
      </c>
      <c r="K238" s="110">
        <f>((D238+G238)*100)/B238</f>
        <v>27.4399367514291</v>
      </c>
      <c r="L238" s="110">
        <f>((E238+H238)*100)/B238</f>
        <v>1.41192808761396</v>
      </c>
      <c r="M238" s="111"/>
      <c r="N238" s="0">
        <f>O238+P238+Q238+R238+S238+T238</f>
        <v>756.245369469139</v>
      </c>
      <c r="O238" s="49">
        <v>107</v>
      </c>
      <c r="P238" s="49">
        <v>119</v>
      </c>
      <c r="Q238" s="49">
        <v>60</v>
      </c>
      <c r="R238" s="49">
        <v>119.822137412809</v>
      </c>
      <c r="S238" s="49">
        <v>200.080361528937</v>
      </c>
      <c r="T238" s="49">
        <v>150.342870527393</v>
      </c>
      <c r="U238" s="49">
        <v>110</v>
      </c>
      <c r="V238" s="110">
        <f>((O238+R238)*100)/N238</f>
        <v>29.9931935546305</v>
      </c>
      <c r="W238" s="110">
        <f>((P238+S238)*100)/N238</f>
        <v>42.1927028462894</v>
      </c>
      <c r="X238" s="110">
        <f>((Q238+T238)*100)/N238</f>
        <v>27.8141035990802</v>
      </c>
    </row>
    <row r="239" spans="1:24" s="168" customFormat="1" ht="22.500000" customHeight="1">
      <c r="A239" s="34">
        <v>237</v>
      </c>
      <c r="B239" s="0">
        <f>C239+D239+E239+F239+G239+H239</f>
        <v>116.43351577392</v>
      </c>
      <c r="C239" s="49">
        <v>51</v>
      </c>
      <c r="D239" s="49">
        <v>15</v>
      </c>
      <c r="E239" s="49">
        <v>12</v>
      </c>
      <c r="F239" s="49">
        <v>23.7383479780094</v>
      </c>
      <c r="G239" s="49">
        <v>7.91278265933649</v>
      </c>
      <c r="H239" s="49">
        <v>6.78238513657414</v>
      </c>
      <c r="I239" s="78">
        <f>(100*B239)/N239</f>
        <v>24.0655256785286</v>
      </c>
      <c r="J239" s="110">
        <f>((C239+F239)*100)/B239</f>
        <v>64.1897201860068</v>
      </c>
      <c r="K239" s="110">
        <f>((D239+G239)*100)/B239</f>
        <v>19.6788549302474</v>
      </c>
      <c r="L239" s="110">
        <f>((E239+H239)*100)/B239</f>
        <v>16.1314248837457</v>
      </c>
      <c r="M239" s="111"/>
      <c r="N239" s="0">
        <f>O239+P239+Q239+R239+S239+T239</f>
        <v>483.818709506946</v>
      </c>
      <c r="O239" s="49">
        <v>90</v>
      </c>
      <c r="P239" s="49">
        <v>114</v>
      </c>
      <c r="Q239" s="49">
        <v>56</v>
      </c>
      <c r="R239" s="49">
        <v>85.9102117299391</v>
      </c>
      <c r="S239" s="49">
        <v>73.4758389795531</v>
      </c>
      <c r="T239" s="49">
        <v>64.4326587974543</v>
      </c>
      <c r="U239" s="49">
        <v>93</v>
      </c>
      <c r="V239" s="110">
        <f>((O239+R239)*100)/N239</f>
        <v>36.3587038436788</v>
      </c>
      <c r="W239" s="110">
        <f>((P239+S239)*100)/N239</f>
        <v>38.7491916487908</v>
      </c>
      <c r="X239" s="110">
        <f>((Q239+T239)*100)/N239</f>
        <v>24.8921045075305</v>
      </c>
    </row>
    <row r="240" spans="1:24" s="168" customFormat="1" ht="22.500000" customHeight="1">
      <c r="A240" s="34">
        <v>238</v>
      </c>
      <c r="B240" s="0">
        <f>C240+D240+E240+F240+G240+H240</f>
        <v>167.693453842979</v>
      </c>
      <c r="C240" s="49">
        <v>88</v>
      </c>
      <c r="D240" s="49">
        <v>4</v>
      </c>
      <c r="E240" s="49">
        <v>9</v>
      </c>
      <c r="F240" s="49">
        <v>59.9110687064049</v>
      </c>
      <c r="G240" s="49">
        <v>0</v>
      </c>
      <c r="H240" s="49">
        <v>6.78238513657414</v>
      </c>
      <c r="I240" s="78">
        <f>(100*B240)/N240</f>
        <v>21.9099753138755</v>
      </c>
      <c r="J240" s="110">
        <f>((C240+F240)*100)/B240</f>
        <v>88.2032454557842</v>
      </c>
      <c r="K240" s="110">
        <f>((D240+G240)*100)/B240</f>
        <v>2.38530479773255</v>
      </c>
      <c r="L240" s="110">
        <f>((E240+H240)*100)/B240</f>
        <v>9.4114497464833</v>
      </c>
      <c r="M240" s="111"/>
      <c r="N240" s="0">
        <f>O240+P240+Q240+R240+S240+T240</f>
        <v>765.374910015436</v>
      </c>
      <c r="O240" s="49">
        <v>108</v>
      </c>
      <c r="P240" s="49">
        <v>111</v>
      </c>
      <c r="Q240" s="49">
        <v>49</v>
      </c>
      <c r="R240" s="49">
        <v>152.603665572918</v>
      </c>
      <c r="S240" s="49">
        <v>215.90592684761</v>
      </c>
      <c r="T240" s="49">
        <v>128.865317594908</v>
      </c>
      <c r="U240" s="49">
        <v>109</v>
      </c>
      <c r="V240" s="110">
        <f>((O240+R240)*100)/N240</f>
        <v>34.0491518813521</v>
      </c>
      <c r="W240" s="110">
        <f>((P240+S240)*100)/N240</f>
        <v>42.7118687286231</v>
      </c>
      <c r="X240" s="110">
        <f>((Q240+T240)*100)/N240</f>
        <v>23.2389793900248</v>
      </c>
    </row>
    <row r="241" spans="1:24" s="168" customFormat="1" ht="22.500000" customHeight="1">
      <c r="A241" s="34">
        <v>239</v>
      </c>
      <c r="B241" s="0">
        <f>C241+D241+E241+F241+G241+H241</f>
        <v>81.8687455007718</v>
      </c>
      <c r="C241" s="49">
        <v>37</v>
      </c>
      <c r="D241" s="49">
        <v>8</v>
      </c>
      <c r="E241" s="49">
        <v>12</v>
      </c>
      <c r="F241" s="49">
        <v>23.7383479780094</v>
      </c>
      <c r="G241" s="49">
        <v>0</v>
      </c>
      <c r="H241" s="49">
        <v>1.13039752276235</v>
      </c>
      <c r="I241" s="78">
        <f>(100*B241)/N241</f>
        <v>13.8365250030914</v>
      </c>
      <c r="J241" s="110">
        <f>((C241+F241)*100)/B241</f>
        <v>74.1899092339663</v>
      </c>
      <c r="K241" s="110">
        <f>((D241+G241)*100)/B241</f>
        <v>9.77173883765519</v>
      </c>
      <c r="L241" s="110">
        <f>((E241+H241)*100)/B241</f>
        <v>16.0383519283785</v>
      </c>
      <c r="M241" s="111"/>
      <c r="N241" s="0">
        <f>O241+P241+Q241+R241+S241+T241</f>
        <v>591.685741054786</v>
      </c>
      <c r="O241" s="49">
        <v>120</v>
      </c>
      <c r="P241" s="49">
        <v>116</v>
      </c>
      <c r="Q241" s="49">
        <v>55</v>
      </c>
      <c r="R241" s="49">
        <v>139.038895299769</v>
      </c>
      <c r="S241" s="49">
        <v>106.257367139661</v>
      </c>
      <c r="T241" s="49">
        <v>55.3894786153554</v>
      </c>
      <c r="U241" s="49">
        <v>102</v>
      </c>
      <c r="V241" s="110">
        <f>((O241+R241)*100)/N241</f>
        <v>43.7798103496606</v>
      </c>
      <c r="W241" s="110">
        <f>((P241+S241)*100)/N241</f>
        <v>37.5634144475829</v>
      </c>
      <c r="X241" s="110">
        <f>((Q241+T241)*100)/N241</f>
        <v>18.6567752027565</v>
      </c>
    </row>
    <row r="242" spans="1:24" s="168" customFormat="1" ht="22.500000" customHeight="1">
      <c r="A242" s="34">
        <v>240</v>
      </c>
      <c r="B242" s="0">
        <f>C242+D242+E242+F242+G242+H242</f>
        <v>65.3911925682871</v>
      </c>
      <c r="C242" s="49">
        <v>60</v>
      </c>
      <c r="D242" s="49">
        <v>0</v>
      </c>
      <c r="E242" s="49">
        <v>2</v>
      </c>
      <c r="F242" s="49">
        <v>2.26079504552471</v>
      </c>
      <c r="G242" s="49">
        <v>0</v>
      </c>
      <c r="H242" s="49">
        <v>1.13039752276235</v>
      </c>
      <c r="I242" s="78">
        <f>(100*B242)/N242</f>
        <v>14.9266989516428</v>
      </c>
      <c r="J242" s="110">
        <f>((C242+F242)*100)/B242</f>
        <v>95.2128147540767</v>
      </c>
      <c r="K242" s="110">
        <f>((D242+G242)*100)/B242</f>
        <v>0</v>
      </c>
      <c r="L242" s="110">
        <f>((E242+H242)*100)/B242</f>
        <v>4.78718524592333</v>
      </c>
      <c r="M242" s="111"/>
      <c r="N242" s="0">
        <f>O242+P242+Q242+R242+S242+T242</f>
        <v>438.082075481869</v>
      </c>
      <c r="O242" s="49">
        <v>119</v>
      </c>
      <c r="P242" s="49">
        <v>116</v>
      </c>
      <c r="Q242" s="49">
        <v>55</v>
      </c>
      <c r="R242" s="49">
        <v>63.3022612746919</v>
      </c>
      <c r="S242" s="49">
        <v>65.5630563202166</v>
      </c>
      <c r="T242" s="49">
        <v>19.21675788696</v>
      </c>
      <c r="U242" s="49">
        <v>86</v>
      </c>
      <c r="V242" s="110">
        <f>((O242+R242)*100)/N242</f>
        <v>41.6137229705572</v>
      </c>
      <c r="W242" s="110">
        <f>((P242+S242)*100)/N242</f>
        <v>41.4449863351534</v>
      </c>
      <c r="X242" s="110">
        <f>((Q242+T242)*100)/N242</f>
        <v>16.9412906942895</v>
      </c>
    </row>
    <row r="243" spans="1:24" s="168" customFormat="1" ht="22.500000" customHeight="1">
      <c r="A243" s="34">
        <v>241</v>
      </c>
      <c r="B243" s="0">
        <f>C243+D243+E243+F243+G243+H243</f>
        <v>124.519876138118</v>
      </c>
      <c r="C243" s="49">
        <v>47</v>
      </c>
      <c r="D243" s="49">
        <v>10</v>
      </c>
      <c r="E243" s="49">
        <v>11</v>
      </c>
      <c r="F243" s="49">
        <v>46.3462984332566</v>
      </c>
      <c r="G243" s="49">
        <v>3.39119256828707</v>
      </c>
      <c r="H243" s="49">
        <v>6.78238513657414</v>
      </c>
      <c r="I243" s="78">
        <f>(100*B243)/N243</f>
        <v>11.3543670950966</v>
      </c>
      <c r="J243" s="110">
        <f>((C243+F243)*100)/B243</f>
        <v>74.9649785466512</v>
      </c>
      <c r="K243" s="110">
        <f>((D243+G243)*100)/B243</f>
        <v>10.754261073496</v>
      </c>
      <c r="L243" s="110">
        <f>((E243+H243)*100)/B243</f>
        <v>14.2807603798528</v>
      </c>
      <c r="M243" s="111"/>
      <c r="N243" s="0">
        <f>O243+P243+Q243+R243+S243+T243</f>
        <v>1096.66945850194</v>
      </c>
      <c r="O243" s="49">
        <v>121</v>
      </c>
      <c r="P243" s="49">
        <v>122</v>
      </c>
      <c r="Q243" s="49">
        <v>59</v>
      </c>
      <c r="R243" s="49">
        <v>229.470697120758</v>
      </c>
      <c r="S243" s="49">
        <v>344.771244442518</v>
      </c>
      <c r="T243" s="49">
        <v>220.427516938659</v>
      </c>
      <c r="U243" s="49">
        <v>109</v>
      </c>
      <c r="V243" s="110">
        <f>((O243+R243)*100)/N243</f>
        <v>31.9577329708357</v>
      </c>
      <c r="W243" s="110">
        <f>((P243+S243)*100)/N243</f>
        <v>42.5626191031283</v>
      </c>
      <c r="X243" s="110">
        <f>((Q243+T243)*100)/N243</f>
        <v>25.479647926036</v>
      </c>
    </row>
    <row r="244" spans="1:24" s="168" customFormat="1" ht="22.500000" customHeight="1">
      <c r="A244" s="34">
        <v>242</v>
      </c>
      <c r="B244" s="0">
        <f>C244+D244+E244+F244+G244+H244</f>
        <v>108.694310819445</v>
      </c>
      <c r="C244" s="49">
        <v>64</v>
      </c>
      <c r="D244" s="49">
        <v>3</v>
      </c>
      <c r="E244" s="49">
        <v>1</v>
      </c>
      <c r="F244" s="49">
        <v>38.4335157739201</v>
      </c>
      <c r="G244" s="49">
        <v>2.26079504552471</v>
      </c>
      <c r="H244" s="49">
        <v>0</v>
      </c>
      <c r="I244" s="78">
        <f>(100*B244)/N244</f>
        <v>13.9806566770113</v>
      </c>
      <c r="J244" s="110">
        <f>((C244+F244)*100)/B244</f>
        <v>94.2399974770302</v>
      </c>
      <c r="K244" s="110">
        <f>((D244+G244)*100)/B244</f>
        <v>4.83999116960552</v>
      </c>
      <c r="L244" s="110">
        <f>((E244+H244)*100)/B244</f>
        <v>0.920011353364325</v>
      </c>
      <c r="M244" s="111"/>
      <c r="N244" s="0">
        <f>O244+P244+Q244+R244+S244+T244</f>
        <v>777.462127356099</v>
      </c>
      <c r="O244" s="49">
        <v>109</v>
      </c>
      <c r="P244" s="49">
        <v>121</v>
      </c>
      <c r="Q244" s="49">
        <v>58</v>
      </c>
      <c r="R244" s="49">
        <v>133.386907685958</v>
      </c>
      <c r="S244" s="49">
        <v>202.341156574461</v>
      </c>
      <c r="T244" s="49">
        <v>153.73406309568</v>
      </c>
      <c r="U244" s="49">
        <v>96</v>
      </c>
      <c r="V244" s="110">
        <f>((O244+R244)*100)/N244</f>
        <v>31.176683616762</v>
      </c>
      <c r="W244" s="110">
        <f>((P244+S244)*100)/N244</f>
        <v>41.5893128677588</v>
      </c>
      <c r="X244" s="110">
        <f>((Q244+T244)*100)/N244</f>
        <v>27.2340035154793</v>
      </c>
    </row>
    <row r="245" spans="1:24" s="168" customFormat="1" ht="22.500000" customHeight="1">
      <c r="A245" s="34">
        <v>243</v>
      </c>
      <c r="B245" s="0">
        <f>C245+D245+E245+F245+G245+H245</f>
        <v>519.204760216439</v>
      </c>
      <c r="C245" s="49">
        <v>94</v>
      </c>
      <c r="D245" s="49">
        <v>9</v>
      </c>
      <c r="E245" s="49">
        <v>33</v>
      </c>
      <c r="F245" s="49">
        <v>319.902498941747</v>
      </c>
      <c r="G245" s="49">
        <v>19.21675788696</v>
      </c>
      <c r="H245" s="49">
        <v>44.0855033877319</v>
      </c>
      <c r="I245" s="78">
        <f>(100*B245)/N245</f>
        <v>33.1235237088388</v>
      </c>
      <c r="J245" s="110">
        <f>((C245+F245)*100)/B245</f>
        <v>79.7185485682383</v>
      </c>
      <c r="K245" s="110">
        <f>((D245+G245)*100)/B245</f>
        <v>5.43461078345996</v>
      </c>
      <c r="L245" s="110">
        <f>((E245+H245)*100)/B245</f>
        <v>14.8468406483018</v>
      </c>
      <c r="M245" s="111"/>
      <c r="N245" s="0">
        <f>O245+P245+Q245+R245+S245+T245</f>
        <v>1567.48045522069</v>
      </c>
      <c r="O245" s="49">
        <v>145</v>
      </c>
      <c r="P245" s="49">
        <v>116</v>
      </c>
      <c r="Q245" s="49">
        <v>54</v>
      </c>
      <c r="R245" s="49">
        <v>646.587383020068</v>
      </c>
      <c r="S245" s="49">
        <v>410.334300762735</v>
      </c>
      <c r="T245" s="49">
        <v>195.558771437887</v>
      </c>
      <c r="U245" s="49">
        <v>120</v>
      </c>
      <c r="V245" s="110">
        <f>((O245+R245)*100)/N245</f>
        <v>50.5006222172396</v>
      </c>
      <c r="W245" s="110">
        <f>((P245+S245)*100)/N245</f>
        <v>33.5783645027096</v>
      </c>
      <c r="X245" s="110">
        <f>((Q245+T245)*100)/N245</f>
        <v>15.9210132800508</v>
      </c>
    </row>
    <row r="246" spans="1:24" s="168" customFormat="1" ht="22.500000" customHeight="1">
      <c r="A246" s="34">
        <v>244</v>
      </c>
      <c r="B246" s="0">
        <f>C246+D246+E246+F246+G246+H246</f>
        <v>94.8687455007718</v>
      </c>
      <c r="C246" s="49">
        <v>62</v>
      </c>
      <c r="D246" s="49">
        <v>4</v>
      </c>
      <c r="E246" s="49">
        <v>4</v>
      </c>
      <c r="F246" s="49">
        <v>21.4775529324847</v>
      </c>
      <c r="G246" s="49">
        <v>1.13039752276235</v>
      </c>
      <c r="H246" s="49">
        <v>2.26079504552471</v>
      </c>
      <c r="I246" s="78">
        <f>(100*B246)/N246</f>
        <v>18.8071786613523</v>
      </c>
      <c r="J246" s="110">
        <f>((C246+F246)*100)/B246</f>
        <v>87.9926813534238</v>
      </c>
      <c r="K246" s="110">
        <f>((D246+G246)*100)/B246</f>
        <v>5.4078901282832</v>
      </c>
      <c r="L246" s="110">
        <f>((E246+H246)*100)/B246</f>
        <v>6.59942851829297</v>
      </c>
      <c r="M246" s="111"/>
      <c r="N246" s="0">
        <f>O246+P246+Q246+R246+S246+T246</f>
        <v>504.428373915125</v>
      </c>
      <c r="O246" s="49">
        <v>139</v>
      </c>
      <c r="P246" s="49">
        <v>116</v>
      </c>
      <c r="Q246" s="49">
        <v>55</v>
      </c>
      <c r="R246" s="49">
        <v>55.3894786153554</v>
      </c>
      <c r="S246" s="49">
        <v>90.4318018209885</v>
      </c>
      <c r="T246" s="49">
        <v>48.6070934787813</v>
      </c>
      <c r="U246" s="49">
        <v>73</v>
      </c>
      <c r="V246" s="110">
        <f>((O246+R246)*100)/N246</f>
        <v>38.5365868907413</v>
      </c>
      <c r="W246" s="110">
        <f>((P246+S246)*100)/N246</f>
        <v>40.9239076340544</v>
      </c>
      <c r="X246" s="110">
        <f>((Q246+T246)*100)/N246</f>
        <v>20.5395054752043</v>
      </c>
    </row>
    <row r="247" spans="1:24" s="168" customFormat="1" ht="22.500000" customHeight="1">
      <c r="A247" s="34">
        <v>245</v>
      </c>
      <c r="B247" s="0">
        <f>C247+D247+E247+F247+G247+H247</f>
        <v>133.390335591821</v>
      </c>
      <c r="C247" s="49">
        <v>85</v>
      </c>
      <c r="D247" s="49">
        <v>5</v>
      </c>
      <c r="E247" s="49">
        <v>14</v>
      </c>
      <c r="F247" s="49">
        <v>27.1295405462965</v>
      </c>
      <c r="G247" s="49">
        <v>0</v>
      </c>
      <c r="H247" s="49">
        <v>2.26079504552471</v>
      </c>
      <c r="I247" s="78">
        <f>(100*B247)/N247</f>
        <v>37.0936201375229</v>
      </c>
      <c r="J247" s="110">
        <f>((C247+F247)*100)/B247</f>
        <v>84.0612178152221</v>
      </c>
      <c r="K247" s="110">
        <f>((D247+G247)*100)/B247</f>
        <v>3.74839749657739</v>
      </c>
      <c r="L247" s="110">
        <f>((E247+H247)*100)/B247</f>
        <v>12.1903846882006</v>
      </c>
      <c r="M247" s="111"/>
      <c r="N247" s="0">
        <f>O247+P247+Q247+R247+S247+T247</f>
        <v>359.604522549384</v>
      </c>
      <c r="O247" s="49">
        <v>104</v>
      </c>
      <c r="P247" s="49">
        <v>79</v>
      </c>
      <c r="Q247" s="49">
        <v>50</v>
      </c>
      <c r="R247" s="49">
        <v>68.9542488885037</v>
      </c>
      <c r="S247" s="49">
        <v>39.5639132966824</v>
      </c>
      <c r="T247" s="49">
        <v>18.0863603641977</v>
      </c>
      <c r="U247" s="49">
        <v>87</v>
      </c>
      <c r="V247" s="110">
        <f>((O247+R247)*100)/N247</f>
        <v>48.0956823519238</v>
      </c>
      <c r="W247" s="110">
        <f>((P247+S247)*100)/N247</f>
        <v>32.9706402066732</v>
      </c>
      <c r="X247" s="110">
        <f>((Q247+T247)*100)/N247</f>
        <v>18.933677441403</v>
      </c>
    </row>
    <row r="248" spans="1:24" s="168" customFormat="1" ht="22.500000" customHeight="1">
      <c r="A248" s="34">
        <v>246</v>
      </c>
      <c r="B248" s="0">
        <f>C248+D248+E248+F248+G248+H248</f>
        <v>120.129540546297</v>
      </c>
      <c r="C248" s="49">
        <v>81</v>
      </c>
      <c r="D248" s="49">
        <v>4</v>
      </c>
      <c r="E248" s="49">
        <v>8</v>
      </c>
      <c r="F248" s="49">
        <v>27.1295405462965</v>
      </c>
      <c r="G248" s="49">
        <v>0</v>
      </c>
      <c r="H248" s="49">
        <v>0</v>
      </c>
      <c r="I248" s="78">
        <f>(100*B248)/N248</f>
        <v>24.1882045859192</v>
      </c>
      <c r="J248" s="110">
        <f>((C248+F248)*100)/B248</f>
        <v>90.0107834047902</v>
      </c>
      <c r="K248" s="110">
        <f>((D248+G248)*100)/B248</f>
        <v>3.32973886506995</v>
      </c>
      <c r="L248" s="110">
        <f>((E248+H248)*100)/B248</f>
        <v>6.6594777301399</v>
      </c>
      <c r="M248" s="111"/>
      <c r="N248" s="0">
        <f>O248+P248+Q248+R248+S248+T248</f>
        <v>496.645131802085</v>
      </c>
      <c r="O248" s="49">
        <v>112</v>
      </c>
      <c r="P248" s="49">
        <v>120</v>
      </c>
      <c r="Q248" s="49">
        <v>51</v>
      </c>
      <c r="R248" s="49">
        <v>62.1718637519296</v>
      </c>
      <c r="S248" s="49">
        <v>98.344584480325</v>
      </c>
      <c r="T248" s="49">
        <v>53.1286835698307</v>
      </c>
      <c r="U248" s="49">
        <v>77</v>
      </c>
      <c r="V248" s="110">
        <f>((O248+R248)*100)/N248</f>
        <v>35.0696810658234</v>
      </c>
      <c r="W248" s="110">
        <f>((P248+S248)*100)/N248</f>
        <v>43.9639030967762</v>
      </c>
      <c r="X248" s="110">
        <f>((Q248+T248)*100)/N248</f>
        <v>20.9664158374004</v>
      </c>
    </row>
    <row r="249" spans="1:24" s="168" customFormat="1" ht="22.500000" customHeight="1">
      <c r="A249" s="34">
        <v>247</v>
      </c>
      <c r="B249" s="0">
        <f>C249+D249+E249+F249+G249+H249</f>
        <v>9.26079504552471</v>
      </c>
      <c r="C249" s="49">
        <v>2</v>
      </c>
      <c r="D249" s="49">
        <v>3</v>
      </c>
      <c r="E249" s="49">
        <v>2</v>
      </c>
      <c r="F249" s="49">
        <v>0</v>
      </c>
      <c r="G249" s="49">
        <v>2.26079504552471</v>
      </c>
      <c r="H249" s="49">
        <v>0</v>
      </c>
      <c r="I249" s="78">
        <f>(100*B249)/N249</f>
        <v>2.31246272456939</v>
      </c>
      <c r="J249" s="110">
        <f>((C249+F249)*100)/B249</f>
        <v>21.5964179119427</v>
      </c>
      <c r="K249" s="110">
        <f>((D249+G249)*100)/B249</f>
        <v>56.8071641761146</v>
      </c>
      <c r="L249" s="110">
        <f>((E249+H249)*100)/B249</f>
        <v>21.5964179119427</v>
      </c>
      <c r="M249" s="111"/>
      <c r="N249" s="0">
        <f>O249+P249+Q249+R249+S249+T249</f>
        <v>400.473268050156</v>
      </c>
      <c r="O249" s="49">
        <v>118</v>
      </c>
      <c r="P249" s="49">
        <v>82</v>
      </c>
      <c r="Q249" s="49">
        <v>49</v>
      </c>
      <c r="R249" s="49">
        <v>84.7798142071767</v>
      </c>
      <c r="S249" s="49">
        <v>57.6502736608802</v>
      </c>
      <c r="T249" s="49">
        <v>9.04318018209885</v>
      </c>
      <c r="U249" s="49">
        <v>76</v>
      </c>
      <c r="V249" s="110">
        <f>((O249+R249)*100)/N249</f>
        <v>50.6350436808133</v>
      </c>
      <c r="W249" s="110">
        <f>((P249+S249)*100)/N249</f>
        <v>34.8713097233222</v>
      </c>
      <c r="X249" s="110">
        <f>((Q249+T249)*100)/N249</f>
        <v>14.4936465958645</v>
      </c>
    </row>
    <row r="250" spans="1:24" s="168" customFormat="1" ht="22.500000" customHeight="1">
      <c r="A250" s="34">
        <v>248</v>
      </c>
      <c r="B250" s="0">
        <f>C250+D250+E250+F250+G250+H250</f>
        <v>126.215900910494</v>
      </c>
      <c r="C250" s="49">
        <v>77</v>
      </c>
      <c r="D250" s="49">
        <v>0</v>
      </c>
      <c r="E250" s="49">
        <v>4</v>
      </c>
      <c r="F250" s="49">
        <v>44.0855033877319</v>
      </c>
      <c r="G250" s="49">
        <v>0</v>
      </c>
      <c r="H250" s="49">
        <v>1.13039752276235</v>
      </c>
      <c r="I250" s="78">
        <f>(100*B250)/N250</f>
        <v>23.4020158801182</v>
      </c>
      <c r="J250" s="110">
        <f>((C250+F250)*100)/B250</f>
        <v>95.9352209303639</v>
      </c>
      <c r="K250" s="110">
        <f>((D250+G250)*100)/B250</f>
        <v>0</v>
      </c>
      <c r="L250" s="110">
        <f>((E250+H250)*100)/B250</f>
        <v>4.06477906963605</v>
      </c>
      <c r="M250" s="111"/>
      <c r="N250" s="0">
        <f>O250+P250+Q250+R250+S250+T250</f>
        <v>539.337728668598</v>
      </c>
      <c r="O250" s="49">
        <v>103</v>
      </c>
      <c r="P250" s="49">
        <v>82</v>
      </c>
      <c r="Q250" s="49">
        <v>48</v>
      </c>
      <c r="R250" s="49">
        <v>88.1710067754638</v>
      </c>
      <c r="S250" s="49">
        <v>125.474125026621</v>
      </c>
      <c r="T250" s="49">
        <v>92.6925968665132</v>
      </c>
      <c r="U250" s="49">
        <v>85</v>
      </c>
      <c r="V250" s="110">
        <f>((O250+R250)*100)/N250</f>
        <v>35.4455096711639</v>
      </c>
      <c r="W250" s="110">
        <f>((P250+S250)*100)/N250</f>
        <v>38.4683128952964</v>
      </c>
      <c r="X250" s="110">
        <f>((Q250+T250)*100)/N250</f>
        <v>26.0861774335397</v>
      </c>
    </row>
    <row r="251" spans="1:24" s="168" customFormat="1" ht="22.500000" customHeight="1">
      <c r="A251" s="34">
        <v>249</v>
      </c>
      <c r="B251" s="0">
        <f>C251+D251+E251+F251+G251+H251</f>
        <v>49.2607950455247</v>
      </c>
      <c r="C251" s="49">
        <v>47</v>
      </c>
      <c r="D251" s="49">
        <v>0</v>
      </c>
      <c r="E251" s="49">
        <v>0</v>
      </c>
      <c r="F251" s="49">
        <v>2.26079504552471</v>
      </c>
      <c r="G251" s="49">
        <v>0</v>
      </c>
      <c r="H251" s="49">
        <v>0</v>
      </c>
      <c r="I251" s="78">
        <f>(100*B251)/N251</f>
        <v>12.5974432709272</v>
      </c>
      <c r="J251" s="110">
        <f>((C251+F251)*100)/B251</f>
        <v>100</v>
      </c>
      <c r="K251" s="110">
        <f>((D251+G251)*100)/B251</f>
        <v>0</v>
      </c>
      <c r="L251" s="110">
        <f>((E251+H251)*100)/B251</f>
        <v>0</v>
      </c>
      <c r="M251" s="111"/>
      <c r="N251" s="0">
        <f>O251+P251+Q251+R251+S251+T251</f>
        <v>391.038038323304</v>
      </c>
      <c r="O251" s="49">
        <v>96</v>
      </c>
      <c r="P251" s="49">
        <v>82</v>
      </c>
      <c r="Q251" s="49">
        <v>48</v>
      </c>
      <c r="R251" s="49">
        <v>58.7806711836425</v>
      </c>
      <c r="S251" s="49">
        <v>62.1718637519296</v>
      </c>
      <c r="T251" s="49">
        <v>44.0855033877319</v>
      </c>
      <c r="U251" s="49">
        <v>76</v>
      </c>
      <c r="V251" s="110">
        <f>((O251+R251)*100)/N251</f>
        <v>39.5819986841465</v>
      </c>
      <c r="W251" s="110">
        <f>((P251+S251)*100)/N251</f>
        <v>36.8690126336842</v>
      </c>
      <c r="X251" s="110">
        <f>((Q251+T251)*100)/N251</f>
        <v>23.5489886821694</v>
      </c>
    </row>
    <row r="252" spans="1:24" s="168" customFormat="1" ht="22.500000" customHeight="1">
      <c r="A252" s="34">
        <v>250</v>
      </c>
      <c r="B252" s="0">
        <f>C252+D252+E252+F252+G252+H252</f>
        <v>115.215900910494</v>
      </c>
      <c r="C252" s="49">
        <v>62</v>
      </c>
      <c r="D252" s="49">
        <v>2</v>
      </c>
      <c r="E252" s="49">
        <v>6</v>
      </c>
      <c r="F252" s="49">
        <v>39.5639132966824</v>
      </c>
      <c r="G252" s="49">
        <v>3.39119256828707</v>
      </c>
      <c r="H252" s="49">
        <v>2.26079504552471</v>
      </c>
      <c r="I252" s="78">
        <f>(100*B252)/N252</f>
        <v>30.8498387346484</v>
      </c>
      <c r="J252" s="110">
        <f>((C252+F252)*100)/B252</f>
        <v>88.1509518166096</v>
      </c>
      <c r="K252" s="110">
        <f>((D252+G252)*100)/B252</f>
        <v>4.67920879469166</v>
      </c>
      <c r="L252" s="110">
        <f>((E252+H252)*100)/B252</f>
        <v>7.16983938869873</v>
      </c>
      <c r="M252" s="111"/>
      <c r="N252" s="0">
        <f>O252+P252+Q252+R252+S252+T252</f>
        <v>373.473268050156</v>
      </c>
      <c r="O252" s="49">
        <v>93</v>
      </c>
      <c r="P252" s="49">
        <v>80</v>
      </c>
      <c r="Q252" s="49">
        <v>49</v>
      </c>
      <c r="R252" s="49">
        <v>96.0837894348003</v>
      </c>
      <c r="S252" s="49">
        <v>44.0855033877319</v>
      </c>
      <c r="T252" s="49">
        <v>11.3039752276235</v>
      </c>
      <c r="U252" s="49">
        <v>81</v>
      </c>
      <c r="V252" s="110">
        <f>((O252+R252)*100)/N252</f>
        <v>50.6284667767459</v>
      </c>
      <c r="W252" s="110">
        <f>((P252+S252)*100)/N252</f>
        <v>33.2247349416901</v>
      </c>
      <c r="X252" s="110">
        <f>((Q252+T252)*100)/N252</f>
        <v>16.146798281564</v>
      </c>
    </row>
    <row r="253" spans="1:24" s="168" customFormat="1" ht="22.500000" customHeight="1">
      <c r="A253" s="34">
        <v>251</v>
      </c>
      <c r="B253" s="0">
        <f>C253+D253+E253+F253+G253+H253</f>
        <v>0</v>
      </c>
      <c r="C253" s="49">
        <v>0</v>
      </c>
      <c r="D253" s="49">
        <v>0</v>
      </c>
      <c r="E253" s="49">
        <v>0</v>
      </c>
      <c r="F253" s="49">
        <v>0</v>
      </c>
      <c r="G253" s="49">
        <v>0</v>
      </c>
      <c r="H253" s="49">
        <v>0</v>
      </c>
      <c r="I253" s="78">
        <f>(100*B253)/N253</f>
        <v>0</v>
      </c>
      <c r="J253" s="110" t="e">
        <f>((C253+F253)*100)/B253</f>
        <v>#DIV/0!</v>
      </c>
      <c r="K253" s="110" t="e">
        <f>((D253+G253)*100)/B253</f>
        <v>#DIV/0!</v>
      </c>
      <c r="L253" s="110" t="e">
        <f>((E253+H253)*100)/B253</f>
        <v>#DIV/0!</v>
      </c>
      <c r="M253" s="111"/>
      <c r="N253" s="0">
        <f>O253+P253+Q253+R253+S253+T253</f>
        <v>227</v>
      </c>
      <c r="O253" s="49">
        <v>93</v>
      </c>
      <c r="P253" s="49">
        <v>84</v>
      </c>
      <c r="Q253" s="49">
        <v>50</v>
      </c>
      <c r="R253" s="49">
        <v>0</v>
      </c>
      <c r="S253" s="49">
        <v>0</v>
      </c>
      <c r="T253" s="49">
        <v>0</v>
      </c>
      <c r="U253" s="49">
        <v>45</v>
      </c>
      <c r="V253" s="110">
        <f>((O253+R253)*100)/N253</f>
        <v>40.9691629955947</v>
      </c>
      <c r="W253" s="110">
        <f>((P253+S253)*100)/N253</f>
        <v>37.0044052863436</v>
      </c>
      <c r="X253" s="110">
        <f>((Q253+T253)*100)/N253</f>
        <v>22.0264317180617</v>
      </c>
    </row>
    <row r="254" spans="1:24" s="168" customFormat="1" ht="22.500000" customHeight="1">
      <c r="A254" s="34">
        <v>252</v>
      </c>
      <c r="B254" s="0">
        <f>C254+D254+E254+F254+G254+H254</f>
        <v>1</v>
      </c>
      <c r="C254" s="49">
        <v>1</v>
      </c>
      <c r="D254" s="49">
        <v>0</v>
      </c>
      <c r="E254" s="49">
        <v>0</v>
      </c>
      <c r="F254" s="49">
        <v>0</v>
      </c>
      <c r="G254" s="49">
        <v>0</v>
      </c>
      <c r="H254" s="49">
        <v>0</v>
      </c>
      <c r="I254" s="78">
        <f>(100*B254)/N254</f>
        <v>0.446428571428571</v>
      </c>
      <c r="J254" s="110">
        <f>((C254+F254)*100)/B254</f>
        <v>100</v>
      </c>
      <c r="K254" s="110">
        <f>((D254+G254)*100)/B254</f>
        <v>0</v>
      </c>
      <c r="L254" s="110">
        <f>((E254+H254)*100)/B254</f>
        <v>0</v>
      </c>
      <c r="M254" s="111"/>
      <c r="N254" s="0">
        <f>O254+P254+Q254+R254+S254+T254</f>
        <v>224</v>
      </c>
      <c r="O254" s="49">
        <v>86</v>
      </c>
      <c r="P254" s="49">
        <v>87</v>
      </c>
      <c r="Q254" s="49">
        <v>51</v>
      </c>
      <c r="R254" s="49">
        <v>0</v>
      </c>
      <c r="S254" s="49">
        <v>0</v>
      </c>
      <c r="T254" s="49">
        <v>0</v>
      </c>
      <c r="U254" s="49">
        <v>42</v>
      </c>
      <c r="V254" s="110">
        <f>((O254+R254)*100)/N254</f>
        <v>38.3928571428571</v>
      </c>
      <c r="W254" s="110">
        <f>((P254+S254)*100)/N254</f>
        <v>38.8392857142857</v>
      </c>
      <c r="X254" s="110">
        <f>((Q254+T254)*100)/N254</f>
        <v>22.7678571428571</v>
      </c>
    </row>
    <row r="255" spans="1:24" s="168" customFormat="1" ht="22.500000" customHeight="1">
      <c r="A255" s="34">
        <v>253</v>
      </c>
      <c r="B255" s="0">
        <f>C255+D255+E255+F255+G255+H255</f>
        <v>63.9559628414353</v>
      </c>
      <c r="C255" s="49">
        <v>43</v>
      </c>
      <c r="D255" s="49">
        <v>1</v>
      </c>
      <c r="E255" s="49">
        <v>3</v>
      </c>
      <c r="F255" s="49">
        <v>16.9559628414353</v>
      </c>
      <c r="G255" s="49">
        <v>0</v>
      </c>
      <c r="H255" s="49">
        <v>0</v>
      </c>
      <c r="I255" s="78">
        <f>(100*B255)/N255</f>
        <v>14.5299405112599</v>
      </c>
      <c r="J255" s="110">
        <f>((C255+F255)*100)/B255</f>
        <v>93.7456965351032</v>
      </c>
      <c r="K255" s="110">
        <f>((D255+G255)*100)/B255</f>
        <v>1.5635758662242</v>
      </c>
      <c r="L255" s="110">
        <f>((E255+H255)*100)/B255</f>
        <v>4.6907275986726</v>
      </c>
      <c r="M255" s="111"/>
      <c r="N255" s="0">
        <f>O255+P255+Q255+R255+S255+T255</f>
        <v>440.166721893135</v>
      </c>
      <c r="O255" s="49">
        <v>85</v>
      </c>
      <c r="P255" s="49">
        <v>86</v>
      </c>
      <c r="Q255" s="49">
        <v>51</v>
      </c>
      <c r="R255" s="49">
        <v>84.7798142071767</v>
      </c>
      <c r="S255" s="49">
        <v>81.3886216388896</v>
      </c>
      <c r="T255" s="49">
        <v>51.9982860470684</v>
      </c>
      <c r="U255" s="49">
        <v>68</v>
      </c>
      <c r="V255" s="110">
        <f>((O255+R255)*100)/N255</f>
        <v>38.5717060746806</v>
      </c>
      <c r="W255" s="110">
        <f>((P255+S255)*100)/N255</f>
        <v>38.0284590618209</v>
      </c>
      <c r="X255" s="110">
        <f>((Q255+T255)*100)/N255</f>
        <v>23.3998348634985</v>
      </c>
    </row>
    <row r="256" spans="1:24" s="168" customFormat="1" ht="22.500000" customHeight="1">
      <c r="A256" s="34">
        <v>254</v>
      </c>
      <c r="B256" s="0">
        <f>C256+D256+E256+F256+G256+H256</f>
        <v>64.0431801820989</v>
      </c>
      <c r="C256" s="49">
        <v>53</v>
      </c>
      <c r="D256" s="49">
        <v>0</v>
      </c>
      <c r="E256" s="49">
        <v>2</v>
      </c>
      <c r="F256" s="49">
        <v>6.78238513657414</v>
      </c>
      <c r="G256" s="49">
        <v>2.26079504552471</v>
      </c>
      <c r="H256" s="49">
        <v>0</v>
      </c>
      <c r="I256" s="78">
        <f>(100*B256)/N256</f>
        <v>16.7065009175702</v>
      </c>
      <c r="J256" s="110">
        <f>((C256+F256)*100)/B256</f>
        <v>93.3469964586242</v>
      </c>
      <c r="K256" s="110">
        <f>((D256+G256)*100)/B256</f>
        <v>3.53011052714187</v>
      </c>
      <c r="L256" s="110">
        <f>((E256+H256)*100)/B256</f>
        <v>3.12289301423391</v>
      </c>
      <c r="M256" s="111"/>
      <c r="N256" s="0">
        <f>O256+P256+Q256+R256+S256+T256</f>
        <v>383.342870527393</v>
      </c>
      <c r="O256" s="49">
        <v>98</v>
      </c>
      <c r="P256" s="49">
        <v>85</v>
      </c>
      <c r="Q256" s="49">
        <v>50</v>
      </c>
      <c r="R256" s="49">
        <v>49.7374910015437</v>
      </c>
      <c r="S256" s="49">
        <v>56.5198761381178</v>
      </c>
      <c r="T256" s="49">
        <v>44.0855033877319</v>
      </c>
      <c r="U256" s="49">
        <v>62</v>
      </c>
      <c r="V256" s="110">
        <f>((O256+R256)*100)/N256</f>
        <v>38.5392562011888</v>
      </c>
      <c r="W256" s="110">
        <f>((P256+S256)*100)/N256</f>
        <v>36.9173100685082</v>
      </c>
      <c r="X256" s="110">
        <f>((Q256+T256)*100)/N256</f>
        <v>24.543433730303</v>
      </c>
    </row>
    <row r="257" spans="1:24" s="168" customFormat="1" ht="22.500000" customHeight="1">
      <c r="A257" s="34">
        <v>255</v>
      </c>
      <c r="B257" s="0">
        <f>C257+D257+E257+F257+G257+H257</f>
        <v>101.824708342207</v>
      </c>
      <c r="C257" s="49">
        <v>53</v>
      </c>
      <c r="D257" s="49">
        <v>2</v>
      </c>
      <c r="E257" s="49">
        <v>5</v>
      </c>
      <c r="F257" s="49">
        <v>39.5639132966824</v>
      </c>
      <c r="G257" s="49">
        <v>1.13039752276235</v>
      </c>
      <c r="H257" s="49">
        <v>1.13039752276235</v>
      </c>
      <c r="I257" s="78">
        <f>(100*B257)/N257</f>
        <v>20.8791278565506</v>
      </c>
      <c r="J257" s="110">
        <f>((C257+F257)*100)/B257</f>
        <v>90.9051592719505</v>
      </c>
      <c r="K257" s="110">
        <f>((D257+G257)*100)/B257</f>
        <v>3.0743005049834</v>
      </c>
      <c r="L257" s="110">
        <f>((E257+H257)*100)/B257</f>
        <v>6.02054022306613</v>
      </c>
      <c r="M257" s="111"/>
      <c r="N257" s="0">
        <f>O257+P257+Q257+R257+S257+T257</f>
        <v>487.686598031252</v>
      </c>
      <c r="O257" s="49">
        <v>82</v>
      </c>
      <c r="P257" s="49">
        <v>85</v>
      </c>
      <c r="Q257" s="49">
        <v>46</v>
      </c>
      <c r="R257" s="49">
        <v>136.778100254245</v>
      </c>
      <c r="S257" s="49">
        <v>87.0406092527014</v>
      </c>
      <c r="T257" s="49">
        <v>50.867888524306</v>
      </c>
      <c r="U257" s="49">
        <v>75</v>
      </c>
      <c r="V257" s="110">
        <f>((O257+R257)*100)/N257</f>
        <v>44.8603880314597</v>
      </c>
      <c r="W257" s="110">
        <f>((P257+S257)*100)/N257</f>
        <v>35.2768786239388</v>
      </c>
      <c r="X257" s="110">
        <f>((Q257+T257)*100)/N257</f>
        <v>19.8627333446014</v>
      </c>
    </row>
    <row r="258" spans="1:24" s="168" customFormat="1" ht="22.500000" customHeight="1">
      <c r="A258" s="34">
        <v>256</v>
      </c>
      <c r="B258" s="0">
        <f>C258+D258+E258+F258+G258+H258</f>
        <v>40.3911925682871</v>
      </c>
      <c r="C258" s="49">
        <v>36</v>
      </c>
      <c r="D258" s="49">
        <v>1</v>
      </c>
      <c r="E258" s="49">
        <v>0</v>
      </c>
      <c r="F258" s="49">
        <v>3.39119256828707</v>
      </c>
      <c r="G258" s="49">
        <v>0</v>
      </c>
      <c r="H258" s="49">
        <v>0</v>
      </c>
      <c r="I258" s="78">
        <f>(100*B258)/N258</f>
        <v>9.06355020135558</v>
      </c>
      <c r="J258" s="110">
        <f>((C258+F258)*100)/B258</f>
        <v>97.5242127394249</v>
      </c>
      <c r="K258" s="110">
        <f>((D258+G258)*100)/B258</f>
        <v>2.47578726057508</v>
      </c>
      <c r="L258" s="110">
        <f>((E258+H258)*100)/B258</f>
        <v>0</v>
      </c>
      <c r="M258" s="111"/>
      <c r="N258" s="0">
        <f>O258+P258+Q258+R258+S258+T258</f>
        <v>445.64427482562</v>
      </c>
      <c r="O258" s="49">
        <v>76</v>
      </c>
      <c r="P258" s="49">
        <v>84</v>
      </c>
      <c r="Q258" s="49">
        <v>46</v>
      </c>
      <c r="R258" s="49">
        <v>61.0414662291672</v>
      </c>
      <c r="S258" s="49">
        <v>90.4318018209885</v>
      </c>
      <c r="T258" s="49">
        <v>88.1710067754638</v>
      </c>
      <c r="U258" s="49">
        <v>55</v>
      </c>
      <c r="V258" s="110">
        <f>((O258+R258)*100)/N258</f>
        <v>30.7513130922172</v>
      </c>
      <c r="W258" s="110">
        <f>((P258+S258)*100)/N258</f>
        <v>39.1414883292832</v>
      </c>
      <c r="X258" s="110">
        <f>((Q258+T258)*100)/N258</f>
        <v>30.1071985784996</v>
      </c>
    </row>
    <row r="259" spans="1:24" s="168" customFormat="1" ht="22.500000" customHeight="1">
      <c r="A259" s="34">
        <v>257</v>
      </c>
      <c r="B259" s="0">
        <f>C259+D259+E259+F259+G259+H259</f>
        <v>59.4775529324847</v>
      </c>
      <c r="C259" s="49">
        <v>32</v>
      </c>
      <c r="D259" s="49">
        <v>5</v>
      </c>
      <c r="E259" s="49">
        <v>1</v>
      </c>
      <c r="F259" s="49">
        <v>11.3039752276235</v>
      </c>
      <c r="G259" s="49">
        <v>6.78238513657414</v>
      </c>
      <c r="H259" s="49">
        <v>3.39119256828707</v>
      </c>
      <c r="I259" s="78">
        <f>(100*B259)/N259</f>
        <v>5.79742655281129</v>
      </c>
      <c r="J259" s="110">
        <f>((C259+F259)*100)/B259</f>
        <v>72.8072576838854</v>
      </c>
      <c r="K259" s="110">
        <f>((D259+G259)*100)/B259</f>
        <v>19.8098014387861</v>
      </c>
      <c r="L259" s="110">
        <f>((E259+H259)*100)/B259</f>
        <v>7.38294087732844</v>
      </c>
      <c r="M259" s="111"/>
      <c r="N259" s="0">
        <f>O259+P259+Q259+R259+S259+T259</f>
        <v>1025.93025354746</v>
      </c>
      <c r="O259" s="49">
        <v>90</v>
      </c>
      <c r="P259" s="49">
        <v>88</v>
      </c>
      <c r="Q259" s="49">
        <v>51</v>
      </c>
      <c r="R259" s="49">
        <v>200.080361528937</v>
      </c>
      <c r="S259" s="49">
        <v>393.3783379213</v>
      </c>
      <c r="T259" s="49">
        <v>203.471554097224</v>
      </c>
      <c r="U259" s="49">
        <v>86</v>
      </c>
      <c r="V259" s="110">
        <f>((O259+R259)*100)/N259</f>
        <v>28.2748618169605</v>
      </c>
      <c r="W259" s="110">
        <f>((P259+S259)*100)/N259</f>
        <v>46.9211563122142</v>
      </c>
      <c r="X259" s="110">
        <f>((Q259+T259)*100)/N259</f>
        <v>24.8039818708253</v>
      </c>
    </row>
    <row r="260" spans="1:24" s="168" customFormat="1" ht="22.500000" customHeight="1">
      <c r="A260" s="34">
        <v>258</v>
      </c>
      <c r="B260" s="0">
        <f>C260+D260+E260+F260+G260+H260</f>
        <v>125.346298433257</v>
      </c>
      <c r="C260" s="49">
        <v>72</v>
      </c>
      <c r="D260" s="49">
        <v>3</v>
      </c>
      <c r="E260" s="49">
        <v>4</v>
      </c>
      <c r="F260" s="49">
        <v>44.0855033877319</v>
      </c>
      <c r="G260" s="49">
        <v>0</v>
      </c>
      <c r="H260" s="49">
        <v>2.26079504552471</v>
      </c>
      <c r="I260" s="78">
        <f>(100*B260)/N260</f>
        <v>32.510151631903</v>
      </c>
      <c r="J260" s="110">
        <f>((C260+F260)*100)/B260</f>
        <v>92.611832051462</v>
      </c>
      <c r="K260" s="110">
        <f>((D260+G260)*100)/B260</f>
        <v>2.39336943930372</v>
      </c>
      <c r="L260" s="110">
        <f>((E260+H260)*100)/B260</f>
        <v>4.99479850923433</v>
      </c>
      <c r="M260" s="111"/>
      <c r="N260" s="0">
        <f>O260+P260+Q260+R260+S260+T260</f>
        <v>385.560485390819</v>
      </c>
      <c r="O260" s="49">
        <v>94</v>
      </c>
      <c r="P260" s="49">
        <v>93</v>
      </c>
      <c r="Q260" s="49">
        <v>55</v>
      </c>
      <c r="R260" s="49">
        <v>64.4326587974543</v>
      </c>
      <c r="S260" s="49">
        <v>65.5630563202166</v>
      </c>
      <c r="T260" s="49">
        <v>13.5647702731482</v>
      </c>
      <c r="U260" s="49">
        <v>69</v>
      </c>
      <c r="V260" s="110">
        <f>((O260+R260)*100)/N260</f>
        <v>41.0915186593514</v>
      </c>
      <c r="W260" s="110">
        <f>((P260+S260)*100)/N260</f>
        <v>41.1253389100522</v>
      </c>
      <c r="X260" s="110">
        <f>((Q260+T260)*100)/N260</f>
        <v>17.7831424305964</v>
      </c>
    </row>
    <row r="261" spans="1:24" s="168" customFormat="1" ht="22.500000" customHeight="1">
      <c r="A261" s="34">
        <v>259</v>
      </c>
      <c r="B261" s="0">
        <f>C261+D261+E261+F261+G261+H261</f>
        <v>34.1303975227624</v>
      </c>
      <c r="C261" s="49">
        <v>33</v>
      </c>
      <c r="D261" s="49">
        <v>0</v>
      </c>
      <c r="E261" s="49">
        <v>0</v>
      </c>
      <c r="F261" s="49">
        <v>1.13039752276235</v>
      </c>
      <c r="G261" s="49">
        <v>0</v>
      </c>
      <c r="H261" s="49">
        <v>0</v>
      </c>
      <c r="I261" s="78">
        <f>(100*B261)/N261</f>
        <v>13.083360161542</v>
      </c>
      <c r="J261" s="110">
        <f>((C261+F261)*100)/B261</f>
        <v>100</v>
      </c>
      <c r="K261" s="110">
        <f>((D261+G261)*100)/B261</f>
        <v>0</v>
      </c>
      <c r="L261" s="110">
        <f>((E261+H261)*100)/B261</f>
        <v>0</v>
      </c>
      <c r="M261" s="111"/>
      <c r="N261" s="0">
        <f>O261+P261+Q261+R261+S261+T261</f>
        <v>260.868745500772</v>
      </c>
      <c r="O261" s="49">
        <v>90</v>
      </c>
      <c r="P261" s="49">
        <v>91</v>
      </c>
      <c r="Q261" s="49">
        <v>55</v>
      </c>
      <c r="R261" s="49">
        <v>12.4343727503859</v>
      </c>
      <c r="S261" s="49">
        <v>10.1735777048612</v>
      </c>
      <c r="T261" s="49">
        <v>2.26079504552471</v>
      </c>
      <c r="U261" s="49">
        <v>49</v>
      </c>
      <c r="V261" s="110">
        <f>((O261+R261)*100)/N261</f>
        <v>39.2666329397758</v>
      </c>
      <c r="W261" s="110">
        <f>((P261+S261)*100)/N261</f>
        <v>38.7833266536569</v>
      </c>
      <c r="X261" s="110">
        <f>((Q261+T261)*100)/N261</f>
        <v>21.9500404065673</v>
      </c>
    </row>
    <row r="262" spans="1:24" s="168" customFormat="1" ht="22.500000" customHeight="1">
      <c r="A262" s="34">
        <v>260</v>
      </c>
      <c r="B262" s="0">
        <f>C262+D262+E262+F262+G262+H262</f>
        <v>13.5215900910494</v>
      </c>
      <c r="C262" s="49">
        <v>3</v>
      </c>
      <c r="D262" s="49">
        <v>3</v>
      </c>
      <c r="E262" s="49">
        <v>3</v>
      </c>
      <c r="F262" s="49">
        <v>2.26079504552471</v>
      </c>
      <c r="G262" s="49">
        <v>2.26079504552471</v>
      </c>
      <c r="H262" s="49">
        <v>0</v>
      </c>
      <c r="I262" s="78">
        <f>(100*B262)/N262</f>
        <v>3.03949705665424</v>
      </c>
      <c r="J262" s="110">
        <f>((C262+F262)*100)/B262</f>
        <v>38.9066301381749</v>
      </c>
      <c r="K262" s="110">
        <f>((D262+G262)*100)/B262</f>
        <v>38.9066301381749</v>
      </c>
      <c r="L262" s="110">
        <f>((E262+H262)*100)/B262</f>
        <v>22.1867397236501</v>
      </c>
      <c r="M262" s="111"/>
      <c r="N262" s="0">
        <f>O262+P262+Q262+R262+S262+T262</f>
        <v>444.862746665511</v>
      </c>
      <c r="O262" s="49">
        <v>94</v>
      </c>
      <c r="P262" s="49">
        <v>90</v>
      </c>
      <c r="Q262" s="49">
        <v>54</v>
      </c>
      <c r="R262" s="49">
        <v>85.9102117299391</v>
      </c>
      <c r="S262" s="49">
        <v>66.693453842979</v>
      </c>
      <c r="T262" s="49">
        <v>54.2590810925931</v>
      </c>
      <c r="U262" s="49">
        <v>66</v>
      </c>
      <c r="V262" s="110">
        <f>((O262+R262)*100)/N262</f>
        <v>40.4417346874883</v>
      </c>
      <c r="W262" s="110">
        <f>((P262+S262)*100)/N262</f>
        <v>35.2228760482827</v>
      </c>
      <c r="X262" s="110">
        <f>((Q262+T262)*100)/N262</f>
        <v>24.335389264229</v>
      </c>
    </row>
    <row r="263" spans="1:24" s="168" customFormat="1" ht="22.500000" customHeight="1">
      <c r="A263" s="34">
        <v>261</v>
      </c>
      <c r="B263" s="0">
        <f>C263+D263+E263+F263+G263+H263</f>
        <v>63.8687455007718</v>
      </c>
      <c r="C263" s="49">
        <v>34</v>
      </c>
      <c r="D263" s="49">
        <v>2</v>
      </c>
      <c r="E263" s="49">
        <v>3</v>
      </c>
      <c r="F263" s="49">
        <v>19.21675788696</v>
      </c>
      <c r="G263" s="49">
        <v>2.26079504552471</v>
      </c>
      <c r="H263" s="49">
        <v>3.39119256828707</v>
      </c>
      <c r="I263" s="78">
        <f>(100*B263)/N263</f>
        <v>20.9886463219138</v>
      </c>
      <c r="J263" s="110">
        <f>((C263+F263)*100)/B263</f>
        <v>83.3220653853565</v>
      </c>
      <c r="K263" s="110">
        <f>((D263+G263)*100)/B263</f>
        <v>6.6711738458574</v>
      </c>
      <c r="L263" s="110">
        <f>((E263+H263)*100)/B263</f>
        <v>10.0067607687861</v>
      </c>
      <c r="M263" s="111"/>
      <c r="N263" s="0">
        <f>O263+P263+Q263+R263+S263+T263</f>
        <v>304.301404298226</v>
      </c>
      <c r="O263" s="49">
        <v>73</v>
      </c>
      <c r="P263" s="49">
        <v>89</v>
      </c>
      <c r="Q263" s="49">
        <v>53</v>
      </c>
      <c r="R263" s="49">
        <v>66.693453842979</v>
      </c>
      <c r="S263" s="49">
        <v>12.4343727503859</v>
      </c>
      <c r="T263" s="49">
        <v>10.1735777048612</v>
      </c>
      <c r="U263" s="49">
        <v>42</v>
      </c>
      <c r="V263" s="110">
        <f>((O263+R263)*100)/N263</f>
        <v>45.9062797180109</v>
      </c>
      <c r="W263" s="110">
        <f>((P263+S263)*100)/N263</f>
        <v>33.3335210806246</v>
      </c>
      <c r="X263" s="110">
        <f>((Q263+T263)*100)/N263</f>
        <v>20.7601992013645</v>
      </c>
    </row>
    <row r="264" spans="1:24" s="168" customFormat="1" ht="22.500000" customHeight="1">
      <c r="A264" s="34">
        <v>262</v>
      </c>
      <c r="B264" s="0">
        <f>C264+D264+E264+F264+G264+H264</f>
        <v>39.21675788696</v>
      </c>
      <c r="C264" s="49">
        <v>19</v>
      </c>
      <c r="D264" s="49">
        <v>1</v>
      </c>
      <c r="E264" s="49">
        <v>0</v>
      </c>
      <c r="F264" s="49">
        <v>14.6951677959106</v>
      </c>
      <c r="G264" s="49">
        <v>0</v>
      </c>
      <c r="H264" s="49">
        <v>4.52159009104942</v>
      </c>
      <c r="I264" s="78">
        <f>(100*B264)/N264</f>
        <v>9.35781331864012</v>
      </c>
      <c r="J264" s="110">
        <f>((C264+F264)*100)/B264</f>
        <v>85.9203300105402</v>
      </c>
      <c r="K264" s="110">
        <f>((D264+G264)*100)/B264</f>
        <v>2.5499303203045</v>
      </c>
      <c r="L264" s="110">
        <f>((E264+H264)*100)/B264</f>
        <v>11.5297396691553</v>
      </c>
      <c r="M264" s="111"/>
      <c r="N264" s="0">
        <f>O264+P264+Q264+R264+S264+T264</f>
        <v>419.080361528937</v>
      </c>
      <c r="O264" s="49">
        <v>74</v>
      </c>
      <c r="P264" s="49">
        <v>91</v>
      </c>
      <c r="Q264" s="49">
        <v>54</v>
      </c>
      <c r="R264" s="49">
        <v>64.4326587974543</v>
      </c>
      <c r="S264" s="49">
        <v>74.6062365023155</v>
      </c>
      <c r="T264" s="49">
        <v>61.0414662291672</v>
      </c>
      <c r="U264" s="49">
        <v>67</v>
      </c>
      <c r="V264" s="110">
        <f>((O264+R264)*100)/N264</f>
        <v>33.0324852952805</v>
      </c>
      <c r="W264" s="110">
        <f>((P264+S264)*100)/N264</f>
        <v>39.5165824278026</v>
      </c>
      <c r="X264" s="110">
        <f>((Q264+T264)*100)/N264</f>
        <v>27.4509322769169</v>
      </c>
    </row>
    <row r="265" spans="1:24" s="168" customFormat="1" ht="22.500000" customHeight="1">
      <c r="A265" s="34">
        <v>263</v>
      </c>
      <c r="B265" s="0">
        <f>C265+D265+E265+F265+G265+H265</f>
        <v>49.9559628414353</v>
      </c>
      <c r="C265" s="49">
        <v>30</v>
      </c>
      <c r="D265" s="49">
        <v>2</v>
      </c>
      <c r="E265" s="49">
        <v>1</v>
      </c>
      <c r="F265" s="49">
        <v>13.5647702731482</v>
      </c>
      <c r="G265" s="49">
        <v>2.26079504552471</v>
      </c>
      <c r="H265" s="49">
        <v>1.13039752276235</v>
      </c>
      <c r="I265" s="78">
        <f>(100*B265)/N265</f>
        <v>18.860709435093</v>
      </c>
      <c r="J265" s="110">
        <f>((C265+F265)*100)/B265</f>
        <v>87.2063469408581</v>
      </c>
      <c r="K265" s="110">
        <f>((D265+G265)*100)/B265</f>
        <v>8.52910203942792</v>
      </c>
      <c r="L265" s="110">
        <f>((E265+H265)*100)/B265</f>
        <v>4.26455101971395</v>
      </c>
      <c r="M265" s="111"/>
      <c r="N265" s="0">
        <f>O265+P265+Q265+R265+S265+T265</f>
        <v>264.867888524306</v>
      </c>
      <c r="O265" s="49">
        <v>72</v>
      </c>
      <c r="P265" s="49">
        <v>90</v>
      </c>
      <c r="Q265" s="49">
        <v>52</v>
      </c>
      <c r="R265" s="49">
        <v>27.1295405462965</v>
      </c>
      <c r="S265" s="49">
        <v>14.6951677959106</v>
      </c>
      <c r="T265" s="49">
        <v>9.04318018209885</v>
      </c>
      <c r="U265" s="49">
        <v>52</v>
      </c>
      <c r="V265" s="110">
        <f>((O265+R265)*100)/N265</f>
        <v>37.4260319356152</v>
      </c>
      <c r="W265" s="110">
        <f>((P265+S265)*100)/N265</f>
        <v>39.5273161949577</v>
      </c>
      <c r="X265" s="110">
        <f>((Q265+T265)*100)/N265</f>
        <v>23.046651869427</v>
      </c>
    </row>
    <row r="266" spans="1:24" s="168" customFormat="1" ht="22.500000" customHeight="1">
      <c r="A266" s="34">
        <v>264</v>
      </c>
      <c r="B266" s="0">
        <f>C266+D266+E266+F266+G266+H266</f>
        <v>92.1295405462966</v>
      </c>
      <c r="C266" s="49">
        <v>65</v>
      </c>
      <c r="D266" s="49">
        <v>0</v>
      </c>
      <c r="E266" s="49">
        <v>0</v>
      </c>
      <c r="F266" s="49">
        <v>25.9991430235342</v>
      </c>
      <c r="G266" s="49">
        <v>0</v>
      </c>
      <c r="H266" s="49">
        <v>1.13039752276235</v>
      </c>
      <c r="I266" s="78">
        <f>(100*B266)/N266</f>
        <v>23.4247681368404</v>
      </c>
      <c r="J266" s="110">
        <f>((C266+F266)*100)/B266</f>
        <v>98.7730346682948</v>
      </c>
      <c r="K266" s="110">
        <f>((D266+G266)*100)/B266</f>
        <v>0</v>
      </c>
      <c r="L266" s="110">
        <f>((E266+H266)*100)/B266</f>
        <v>1.22696533170521</v>
      </c>
      <c r="M266" s="111"/>
      <c r="N266" s="0">
        <f>O266+P266+Q266+R266+S266+T266</f>
        <v>393.299690345295</v>
      </c>
      <c r="O266" s="49">
        <v>99</v>
      </c>
      <c r="P266" s="49">
        <v>101</v>
      </c>
      <c r="Q266" s="49">
        <v>52</v>
      </c>
      <c r="R266" s="49">
        <v>40.6943108194448</v>
      </c>
      <c r="S266" s="49">
        <v>54.2590810925931</v>
      </c>
      <c r="T266" s="49">
        <v>46.3462984332566</v>
      </c>
      <c r="U266" s="49">
        <v>70</v>
      </c>
      <c r="V266" s="110">
        <f>((O266+R266)*100)/N266</f>
        <v>35.518540758779</v>
      </c>
      <c r="W266" s="110">
        <f>((P266+S266)*100)/N266</f>
        <v>39.4760242389931</v>
      </c>
      <c r="X266" s="110">
        <f>((Q266+T266)*100)/N266</f>
        <v>25.005435002228</v>
      </c>
    </row>
    <row r="267" spans="1:24" s="168" customFormat="1" ht="22.500000" customHeight="1">
      <c r="A267" s="34">
        <v>265</v>
      </c>
      <c r="B267" s="0">
        <f>C267+D267+E267+F267+G267+H267</f>
        <v>55.5207331145835</v>
      </c>
      <c r="C267" s="49">
        <v>21</v>
      </c>
      <c r="D267" s="49">
        <v>4</v>
      </c>
      <c r="E267" s="49">
        <v>0</v>
      </c>
      <c r="F267" s="49">
        <v>19.21675788696</v>
      </c>
      <c r="G267" s="49">
        <v>11.3039752276235</v>
      </c>
      <c r="H267" s="49">
        <v>0</v>
      </c>
      <c r="I267" s="78">
        <f>(100*B267)/N267</f>
        <v>5.83188700613778</v>
      </c>
      <c r="J267" s="110">
        <f>((C267+F267)*100)/B267</f>
        <v>72.4355670951981</v>
      </c>
      <c r="K267" s="110">
        <f>((D267+G267)*100)/B267</f>
        <v>27.5644329048019</v>
      </c>
      <c r="L267" s="110">
        <f>((E267+H267)*100)/B267</f>
        <v>0</v>
      </c>
      <c r="M267" s="111"/>
      <c r="N267" s="0">
        <f>O267+P267+Q267+R267+S267+T267</f>
        <v>952.020041817521</v>
      </c>
      <c r="O267" s="49">
        <v>96</v>
      </c>
      <c r="P267" s="49">
        <v>88</v>
      </c>
      <c r="Q267" s="49">
        <v>57</v>
      </c>
      <c r="R267" s="49">
        <v>278.077790599539</v>
      </c>
      <c r="S267" s="49">
        <v>352.684027101855</v>
      </c>
      <c r="T267" s="49">
        <v>80.2582241161273</v>
      </c>
      <c r="U267" s="49">
        <v>90</v>
      </c>
      <c r="V267" s="110">
        <f>((O267+R267)*100)/N267</f>
        <v>39.2930583567736</v>
      </c>
      <c r="W267" s="110">
        <f>((P267+S267)*100)/N267</f>
        <v>46.2893644823418</v>
      </c>
      <c r="X267" s="110">
        <f>((Q267+T267)*100)/N267</f>
        <v>14.4175771608846</v>
      </c>
    </row>
    <row r="268" spans="1:24" s="168" customFormat="1" ht="22.500000" customHeight="1">
      <c r="A268" s="34">
        <v>266</v>
      </c>
      <c r="B268" s="0">
        <f>C268+D268+E268+F268+G268+H268</f>
        <v>16.1303975227624</v>
      </c>
      <c r="C268" s="49">
        <v>13</v>
      </c>
      <c r="D268" s="49">
        <v>2</v>
      </c>
      <c r="E268" s="49">
        <v>0</v>
      </c>
      <c r="F268" s="49">
        <v>0</v>
      </c>
      <c r="G268" s="49">
        <v>1.13039752276235</v>
      </c>
      <c r="H268" s="49">
        <v>0</v>
      </c>
      <c r="I268" s="78">
        <f>(100*B268)/N268</f>
        <v>4.87263407325629</v>
      </c>
      <c r="J268" s="110">
        <f>((C268+F268)*100)/B268</f>
        <v>80.5931780767033</v>
      </c>
      <c r="K268" s="110">
        <f>((D268+G268)*100)/B268</f>
        <v>19.4068219232967</v>
      </c>
      <c r="L268" s="110">
        <f>((E268+H268)*100)/B268</f>
        <v>0</v>
      </c>
      <c r="M268" s="111"/>
      <c r="N268" s="0">
        <f>O268+P268+Q268+R268+S268+T268</f>
        <v>331.040609252701</v>
      </c>
      <c r="O268" s="49">
        <v>97</v>
      </c>
      <c r="P268" s="49">
        <v>88</v>
      </c>
      <c r="Q268" s="49">
        <v>59</v>
      </c>
      <c r="R268" s="49">
        <v>53.1286835698307</v>
      </c>
      <c r="S268" s="49">
        <v>24.8687455007718</v>
      </c>
      <c r="T268" s="49">
        <v>9.04318018209885</v>
      </c>
      <c r="U268" s="49">
        <v>55</v>
      </c>
      <c r="V268" s="110">
        <f>((O268+R268)*100)/N268</f>
        <v>45.3505338540594</v>
      </c>
      <c r="W268" s="110">
        <f>((P268+S268)*100)/N268</f>
        <v>34.0951358673379</v>
      </c>
      <c r="X268" s="110">
        <f>((Q268+T268)*100)/N268</f>
        <v>20.5543302786027</v>
      </c>
    </row>
    <row r="269" spans="1:24" s="168" customFormat="1" ht="22.500000" customHeight="1">
      <c r="A269" s="34">
        <v>267</v>
      </c>
      <c r="B269" s="0">
        <f>C269+D269+E269+F269+G269+H269</f>
        <v>67.9119256828707</v>
      </c>
      <c r="C269" s="49">
        <v>27</v>
      </c>
      <c r="D269" s="49">
        <v>3</v>
      </c>
      <c r="E269" s="49">
        <v>4</v>
      </c>
      <c r="F269" s="49">
        <v>30.5207331145836</v>
      </c>
      <c r="G269" s="49">
        <v>2.26079504552471</v>
      </c>
      <c r="H269" s="49">
        <v>1.13039752276235</v>
      </c>
      <c r="I269" s="78">
        <f>(100*B269)/N269</f>
        <v>10.969148987028</v>
      </c>
      <c r="J269" s="110">
        <f>((C269+F269)*100)/B269</f>
        <v>84.69901646316</v>
      </c>
      <c r="K269" s="110">
        <f>((D269+G269)*100)/B269</f>
        <v>7.74649664639333</v>
      </c>
      <c r="L269" s="110">
        <f>((E269+H269)*100)/B269</f>
        <v>7.55448689044667</v>
      </c>
      <c r="M269" s="111"/>
      <c r="N269" s="0">
        <f>O269+P269+Q269+R269+S269+T269</f>
        <v>619.117542875775</v>
      </c>
      <c r="O269" s="49">
        <v>94</v>
      </c>
      <c r="P269" s="49">
        <v>77</v>
      </c>
      <c r="Q269" s="49">
        <v>57</v>
      </c>
      <c r="R269" s="49">
        <v>152.603665572918</v>
      </c>
      <c r="S269" s="49">
        <v>133.386907685958</v>
      </c>
      <c r="T269" s="49">
        <v>105.126969616899</v>
      </c>
      <c r="U269" s="49">
        <v>88</v>
      </c>
      <c r="V269" s="110">
        <f>((O269+R269)*100)/N269</f>
        <v>39.8314776265997</v>
      </c>
      <c r="W269" s="110">
        <f>((P269+S269)*100)/N269</f>
        <v>33.9817390262792</v>
      </c>
      <c r="X269" s="110">
        <f>((Q269+T269)*100)/N269</f>
        <v>26.1867833471211</v>
      </c>
    </row>
    <row r="270" spans="1:24" s="168" customFormat="1" ht="22.500000" customHeight="1">
      <c r="A270" s="34">
        <v>268</v>
      </c>
      <c r="B270" s="0">
        <f>C270+D270+E270+F270+G270+H270</f>
        <v>72.9559628414353</v>
      </c>
      <c r="C270" s="49">
        <v>54</v>
      </c>
      <c r="D270" s="49">
        <v>1</v>
      </c>
      <c r="E270" s="49">
        <v>1</v>
      </c>
      <c r="F270" s="49">
        <v>16.9559628414353</v>
      </c>
      <c r="G270" s="49">
        <v>0</v>
      </c>
      <c r="H270" s="49">
        <v>0</v>
      </c>
      <c r="I270" s="78">
        <f>(100*B270)/N270</f>
        <v>21.1096667090086</v>
      </c>
      <c r="J270" s="110">
        <f>((C270+F270)*100)/B270</f>
        <v>97.2586202386954</v>
      </c>
      <c r="K270" s="110">
        <f>((D270+G270)*100)/B270</f>
        <v>1.37068988065229</v>
      </c>
      <c r="L270" s="110">
        <f>((E270+H270)*100)/B270</f>
        <v>1.37068988065229</v>
      </c>
      <c r="M270" s="111"/>
      <c r="N270" s="0">
        <f>O270+P270+Q270+R270+S270+T270</f>
        <v>345.604522549384</v>
      </c>
      <c r="O270" s="49">
        <v>86</v>
      </c>
      <c r="P270" s="49">
        <v>77</v>
      </c>
      <c r="Q270" s="49">
        <v>56</v>
      </c>
      <c r="R270" s="49">
        <v>84.7798142071767</v>
      </c>
      <c r="S270" s="49">
        <v>27.1295405462965</v>
      </c>
      <c r="T270" s="49">
        <v>14.6951677959106</v>
      </c>
      <c r="U270" s="49">
        <v>75</v>
      </c>
      <c r="V270" s="110">
        <f>((O270+R270)*100)/N270</f>
        <v>49.4148088536005</v>
      </c>
      <c r="W270" s="110">
        <f>((P270+S270)*100)/N270</f>
        <v>30.1296811101242</v>
      </c>
      <c r="X270" s="110">
        <f>((Q270+T270)*100)/N270</f>
        <v>20.4555100362753</v>
      </c>
    </row>
    <row r="271" spans="1:24" s="168" customFormat="1" ht="22.500000" customHeight="1">
      <c r="A271" s="34">
        <v>269</v>
      </c>
      <c r="B271" s="0">
        <f>C271+D271+E271+F271+G271+H271</f>
        <v>108.346298433257</v>
      </c>
      <c r="C271" s="49">
        <v>56</v>
      </c>
      <c r="D271" s="49">
        <v>2</v>
      </c>
      <c r="E271" s="49">
        <v>4</v>
      </c>
      <c r="F271" s="49">
        <v>44.0855033877319</v>
      </c>
      <c r="G271" s="49">
        <v>2.26079504552471</v>
      </c>
      <c r="H271" s="49">
        <v>0</v>
      </c>
      <c r="I271" s="78">
        <f>(100*B271)/N271</f>
        <v>22.4829531542062</v>
      </c>
      <c r="J271" s="110">
        <f>((C271+F271)*100)/B271</f>
        <v>92.3755632033765</v>
      </c>
      <c r="K271" s="110">
        <f>((D271+G271)*100)/B271</f>
        <v>3.93257093886732</v>
      </c>
      <c r="L271" s="110">
        <f>((E271+H271)*100)/B271</f>
        <v>3.69186585775616</v>
      </c>
      <c r="M271" s="111"/>
      <c r="N271" s="0">
        <f>O271+P271+Q271+R271+S271+T271</f>
        <v>481.904212894678</v>
      </c>
      <c r="O271" s="49">
        <v>81</v>
      </c>
      <c r="P271" s="49">
        <v>77</v>
      </c>
      <c r="Q271" s="49">
        <v>56</v>
      </c>
      <c r="R271" s="49">
        <v>118.691739890047</v>
      </c>
      <c r="S271" s="49">
        <v>93.8229943892756</v>
      </c>
      <c r="T271" s="49">
        <v>55.3894786153554</v>
      </c>
      <c r="U271" s="49">
        <v>85</v>
      </c>
      <c r="V271" s="110">
        <f>((O271+R271)*100)/N271</f>
        <v>41.4380564740343</v>
      </c>
      <c r="W271" s="110">
        <f>((P271+S271)*100)/N271</f>
        <v>35.4474996935977</v>
      </c>
      <c r="X271" s="110">
        <f>((Q271+T271)*100)/N271</f>
        <v>23.114443832368</v>
      </c>
    </row>
    <row r="272" spans="1:24" s="168" customFormat="1" ht="22.500000" customHeight="1">
      <c r="A272" s="34">
        <v>270</v>
      </c>
      <c r="B272" s="0">
        <f>C272+D272+E272+F272+G272+H272</f>
        <v>36.6519876138118</v>
      </c>
      <c r="C272" s="49">
        <v>27</v>
      </c>
      <c r="D272" s="49">
        <v>1</v>
      </c>
      <c r="E272" s="49">
        <v>3</v>
      </c>
      <c r="F272" s="49">
        <v>4.52159009104942</v>
      </c>
      <c r="G272" s="49">
        <v>1.13039752276235</v>
      </c>
      <c r="H272" s="49">
        <v>0</v>
      </c>
      <c r="I272" s="78">
        <f>(100*B272)/N272</f>
        <v>11.8449323560529</v>
      </c>
      <c r="J272" s="110">
        <f>((C272+F272)*100)/B272</f>
        <v>86.0024029888381</v>
      </c>
      <c r="K272" s="110">
        <f>((D272+G272)*100)/B272</f>
        <v>5.81250202638271</v>
      </c>
      <c r="L272" s="110">
        <f>((E272+H272)*100)/B272</f>
        <v>8.1850949847792</v>
      </c>
      <c r="M272" s="111"/>
      <c r="N272" s="0">
        <f>O272+P272+Q272+R272+S272+T272</f>
        <v>309.431801820988</v>
      </c>
      <c r="O272" s="49">
        <v>87</v>
      </c>
      <c r="P272" s="49">
        <v>77</v>
      </c>
      <c r="Q272" s="49">
        <v>55</v>
      </c>
      <c r="R272" s="49">
        <v>13.5647702731482</v>
      </c>
      <c r="S272" s="49">
        <v>35.042323205633</v>
      </c>
      <c r="T272" s="49">
        <v>41.8247083422072</v>
      </c>
      <c r="U272" s="49">
        <v>52</v>
      </c>
      <c r="V272" s="110">
        <f>((O272+R272)*100)/N272</f>
        <v>32.4998173042752</v>
      </c>
      <c r="W272" s="110">
        <f>((P272+S272)*100)/N272</f>
        <v>36.2090523812583</v>
      </c>
      <c r="X272" s="110">
        <f>((Q272+T272)*100)/N272</f>
        <v>31.2911303144665</v>
      </c>
    </row>
    <row r="273" spans="1:24" s="168" customFormat="1" ht="22.500000" customHeight="1">
      <c r="A273" s="34">
        <v>271</v>
      </c>
      <c r="B273" s="0">
        <f>C273+D273+E273+F273+G273+H273</f>
        <v>137.432658797454</v>
      </c>
      <c r="C273" s="49">
        <v>31</v>
      </c>
      <c r="D273" s="49">
        <v>6</v>
      </c>
      <c r="E273" s="49">
        <v>36</v>
      </c>
      <c r="F273" s="49">
        <v>40.6943108194448</v>
      </c>
      <c r="G273" s="49">
        <v>5.65198761381178</v>
      </c>
      <c r="H273" s="49">
        <v>18.0863603641977</v>
      </c>
      <c r="I273" s="78">
        <f>(100*B273)/N273</f>
        <v>29.6030156267553</v>
      </c>
      <c r="J273" s="110">
        <f>((C273+F273)*100)/B273</f>
        <v>52.1668659012896</v>
      </c>
      <c r="K273" s="110">
        <f>((D273+G273)*100)/B273</f>
        <v>8.47832510537707</v>
      </c>
      <c r="L273" s="110">
        <f>((E273+H273)*100)/B273</f>
        <v>39.3548089933334</v>
      </c>
      <c r="M273" s="111"/>
      <c r="N273" s="0">
        <f>O273+P273+Q273+R273+S273+T273</f>
        <v>464.252225280867</v>
      </c>
      <c r="O273" s="49">
        <v>75</v>
      </c>
      <c r="P273" s="49">
        <v>77</v>
      </c>
      <c r="Q273" s="49">
        <v>50</v>
      </c>
      <c r="R273" s="49">
        <v>90.4318018209885</v>
      </c>
      <c r="S273" s="49">
        <v>88.1710067754638</v>
      </c>
      <c r="T273" s="49">
        <v>83.6494166844144</v>
      </c>
      <c r="U273" s="49">
        <v>66</v>
      </c>
      <c r="V273" s="110">
        <f>((O273+R273)*100)/N273</f>
        <v>35.6340352964177</v>
      </c>
      <c r="W273" s="110">
        <f>((P273+S273)*100)/N273</f>
        <v>35.57786000391</v>
      </c>
      <c r="X273" s="110">
        <f>((Q273+T273)*100)/N273</f>
        <v>28.7881046996723</v>
      </c>
    </row>
    <row r="274" spans="1:24" s="168" customFormat="1" ht="22.500000" customHeight="1">
      <c r="A274" s="34">
        <v>272</v>
      </c>
      <c r="B274" s="0">
        <f>C274+D274+E274+F274+G274+H274</f>
        <v>55.7823851365741</v>
      </c>
      <c r="C274" s="49">
        <v>48</v>
      </c>
      <c r="D274" s="49">
        <v>0</v>
      </c>
      <c r="E274" s="49">
        <v>1</v>
      </c>
      <c r="F274" s="49">
        <v>6.78238513657414</v>
      </c>
      <c r="G274" s="49">
        <v>0</v>
      </c>
      <c r="H274" s="49">
        <v>0</v>
      </c>
      <c r="I274" s="78">
        <f>(100*B274)/N274</f>
        <v>19.3866121099173</v>
      </c>
      <c r="J274" s="110">
        <f>((C274+F274)*100)/B274</f>
        <v>98.2073193938343</v>
      </c>
      <c r="K274" s="110">
        <f>((D274+G274)*100)/B274</f>
        <v>0</v>
      </c>
      <c r="L274" s="110">
        <f>((E274+H274)*100)/B274</f>
        <v>1.79268060616566</v>
      </c>
      <c r="M274" s="111"/>
      <c r="N274" s="0">
        <f>O274+P274+Q274+R274+S274+T274</f>
        <v>287.736634025078</v>
      </c>
      <c r="O274" s="49">
        <v>75</v>
      </c>
      <c r="P274" s="49">
        <v>82</v>
      </c>
      <c r="Q274" s="49">
        <v>55</v>
      </c>
      <c r="R274" s="49">
        <v>44.0855033877319</v>
      </c>
      <c r="S274" s="49">
        <v>24.8687455007718</v>
      </c>
      <c r="T274" s="49">
        <v>6.78238513657414</v>
      </c>
      <c r="U274" s="49">
        <v>77</v>
      </c>
      <c r="V274" s="110">
        <f>((O274+R274)*100)/N274</f>
        <v>41.3869800733656</v>
      </c>
      <c r="W274" s="110">
        <f>((P274+S274)*100)/N274</f>
        <v>37.1411676037948</v>
      </c>
      <c r="X274" s="110">
        <f>((Q274+T274)*100)/N274</f>
        <v>21.4718523228396</v>
      </c>
    </row>
    <row r="275" spans="1:24" s="168" customFormat="1" ht="22.500000" customHeight="1">
      <c r="A275" s="34">
        <v>273</v>
      </c>
      <c r="B275" s="0">
        <f>C275+D275+E275+F275+G275+H275</f>
        <v>152.431801820989</v>
      </c>
      <c r="C275" s="49">
        <v>51</v>
      </c>
      <c r="D275" s="49">
        <v>3</v>
      </c>
      <c r="E275" s="49">
        <v>8</v>
      </c>
      <c r="F275" s="49">
        <v>82.519019161652</v>
      </c>
      <c r="G275" s="49">
        <v>3.39119256828707</v>
      </c>
      <c r="H275" s="49">
        <v>4.52159009104942</v>
      </c>
      <c r="I275" s="78">
        <f>(100*B275)/N275</f>
        <v>25.8669023087037</v>
      </c>
      <c r="J275" s="110">
        <f>((C275+F275)*100)/B275</f>
        <v>87.592626713455</v>
      </c>
      <c r="K275" s="110">
        <f>((D275+G275)*100)/B275</f>
        <v>4.19282098088213</v>
      </c>
      <c r="L275" s="110">
        <f>((E275+H275)*100)/B275</f>
        <v>8.21455230566284</v>
      </c>
      <c r="M275" s="111"/>
      <c r="N275" s="0">
        <f>O275+P275+Q275+R275+S275+T275</f>
        <v>589.292834533567</v>
      </c>
      <c r="O275" s="49">
        <v>92</v>
      </c>
      <c r="P275" s="49">
        <v>87</v>
      </c>
      <c r="Q275" s="49">
        <v>61</v>
      </c>
      <c r="R275" s="49">
        <v>189.906783824075</v>
      </c>
      <c r="S275" s="49">
        <v>97.2141869575626</v>
      </c>
      <c r="T275" s="49">
        <v>62.1718637519296</v>
      </c>
      <c r="U275" s="49">
        <v>92</v>
      </c>
      <c r="V275" s="110">
        <f>((O275+R275)*100)/N275</f>
        <v>47.8381489310332</v>
      </c>
      <c r="W275" s="110">
        <f>((P275+S275)*100)/N275</f>
        <v>31.2602115896031</v>
      </c>
      <c r="X275" s="110">
        <f>((Q275+T275)*100)/N275</f>
        <v>20.9016394793637</v>
      </c>
    </row>
    <row r="276" spans="1:24" s="168" customFormat="1" ht="22.500000" customHeight="1">
      <c r="A276" s="34">
        <v>274</v>
      </c>
      <c r="B276" s="0">
        <f>C276+D276+E276+F276+G276+H276</f>
        <v>55.607950455247</v>
      </c>
      <c r="C276" s="49">
        <v>20</v>
      </c>
      <c r="D276" s="49">
        <v>5</v>
      </c>
      <c r="E276" s="49">
        <v>8</v>
      </c>
      <c r="F276" s="49">
        <v>15.8255653186729</v>
      </c>
      <c r="G276" s="49">
        <v>4.52159009104942</v>
      </c>
      <c r="H276" s="49">
        <v>2.26079504552471</v>
      </c>
      <c r="I276" s="78">
        <f>(100*B276)/N276</f>
        <v>10.2173607297022</v>
      </c>
      <c r="J276" s="110">
        <f>((C276+F276)*100)/B276</f>
        <v>64.4252575852533</v>
      </c>
      <c r="K276" s="110">
        <f>((D276+G276)*100)/B276</f>
        <v>17.1227135923888</v>
      </c>
      <c r="L276" s="110">
        <f>((E276+H276)*100)/B276</f>
        <v>18.452028822358</v>
      </c>
      <c r="M276" s="111"/>
      <c r="N276" s="0">
        <f>O276+P276+Q276+R276+S276+T276</f>
        <v>544.249654351468</v>
      </c>
      <c r="O276" s="49">
        <v>79</v>
      </c>
      <c r="P276" s="49">
        <v>70</v>
      </c>
      <c r="Q276" s="49">
        <v>55</v>
      </c>
      <c r="R276" s="49">
        <v>126.604522549383</v>
      </c>
      <c r="S276" s="49">
        <v>146.951677959106</v>
      </c>
      <c r="T276" s="49">
        <v>66.693453842979</v>
      </c>
      <c r="U276" s="49">
        <v>81</v>
      </c>
      <c r="V276" s="110">
        <f>((O276+R276)*100)/N276</f>
        <v>37.7776119664022</v>
      </c>
      <c r="W276" s="110">
        <f>((P276+S276)*100)/N276</f>
        <v>39.8625293051637</v>
      </c>
      <c r="X276" s="110">
        <f>((Q276+T276)*100)/N276</f>
        <v>22.3598587284341</v>
      </c>
    </row>
    <row r="277" spans="1:24" s="168" customFormat="1" ht="22.500000" customHeight="1">
      <c r="A277" s="34">
        <v>275</v>
      </c>
      <c r="B277" s="0">
        <f>C277+D277+E277+F277+G277+H277</f>
        <v>203.82213741281</v>
      </c>
      <c r="C277" s="49">
        <v>71</v>
      </c>
      <c r="D277" s="49">
        <v>3</v>
      </c>
      <c r="E277" s="49">
        <v>10</v>
      </c>
      <c r="F277" s="49">
        <v>97.2141869575626</v>
      </c>
      <c r="G277" s="49">
        <v>6.78238513657414</v>
      </c>
      <c r="H277" s="49">
        <v>15.8255653186729</v>
      </c>
      <c r="I277" s="78">
        <f>(100*B277)/N277</f>
        <v>33.0700623282808</v>
      </c>
      <c r="J277" s="110">
        <f>((C277+F277)*100)/B277</f>
        <v>82.5298905667304</v>
      </c>
      <c r="K277" s="110">
        <f>((D277+G277)*100)/B277</f>
        <v>4.79947137280847</v>
      </c>
      <c r="L277" s="110">
        <f>((E277+H277)*100)/B277</f>
        <v>12.6706380604612</v>
      </c>
      <c r="M277" s="111"/>
      <c r="N277" s="0">
        <f>O277+P277+Q277+R277+S277+T277</f>
        <v>616.334300762734</v>
      </c>
      <c r="O277" s="49">
        <v>81</v>
      </c>
      <c r="P277" s="49">
        <v>70</v>
      </c>
      <c r="Q277" s="49">
        <v>55</v>
      </c>
      <c r="R277" s="49">
        <v>151.473268050155</v>
      </c>
      <c r="S277" s="49">
        <v>146.951677959106</v>
      </c>
      <c r="T277" s="49">
        <v>111.909354753473</v>
      </c>
      <c r="U277" s="49">
        <v>93</v>
      </c>
      <c r="V277" s="110">
        <f>((O277+R277)*100)/N277</f>
        <v>37.7186971035786</v>
      </c>
      <c r="W277" s="110">
        <f>((P277+S277)*100)/N277</f>
        <v>35.2003251629223</v>
      </c>
      <c r="X277" s="110">
        <f>((Q277+T277)*100)/N277</f>
        <v>27.080977733499</v>
      </c>
    </row>
    <row r="278" spans="1:24" s="168" customFormat="1" ht="22.500000" customHeight="1">
      <c r="A278" s="34">
        <v>276</v>
      </c>
      <c r="B278" s="0">
        <f>C278+D278+E278+F278+G278+H278</f>
        <v>157.823851365741</v>
      </c>
      <c r="C278" s="49">
        <v>78</v>
      </c>
      <c r="D278" s="49">
        <v>1</v>
      </c>
      <c r="E278" s="49">
        <v>11</v>
      </c>
      <c r="F278" s="49">
        <v>63.3022612746919</v>
      </c>
      <c r="G278" s="49">
        <v>2.26079504552471</v>
      </c>
      <c r="H278" s="49">
        <v>2.26079504552471</v>
      </c>
      <c r="I278" s="78">
        <f>(100*B278)/N278</f>
        <v>26.9930157230459</v>
      </c>
      <c r="J278" s="110">
        <f>((C278+F278)*100)/B278</f>
        <v>89.5316265899745</v>
      </c>
      <c r="K278" s="110">
        <f>((D278+G278)*100)/B278</f>
        <v>2.06609775221372</v>
      </c>
      <c r="L278" s="110">
        <f>((E278+H278)*100)/B278</f>
        <v>8.40227565781177</v>
      </c>
      <c r="M278" s="111"/>
      <c r="N278" s="0">
        <f>O278+P278+Q278+R278+S278+T278</f>
        <v>584.684027101854</v>
      </c>
      <c r="O278" s="49">
        <v>104</v>
      </c>
      <c r="P278" s="49">
        <v>75</v>
      </c>
      <c r="Q278" s="49">
        <v>53</v>
      </c>
      <c r="R278" s="49">
        <v>116.430944844522</v>
      </c>
      <c r="S278" s="49">
        <v>148.082075481868</v>
      </c>
      <c r="T278" s="49">
        <v>88.1710067754638</v>
      </c>
      <c r="U278" s="49">
        <v>89</v>
      </c>
      <c r="V278" s="110">
        <f>((O278+R278)*100)/N278</f>
        <v>37.7008665581559</v>
      </c>
      <c r="W278" s="110">
        <f>((P278+S278)*100)/N278</f>
        <v>38.1542961909932</v>
      </c>
      <c r="X278" s="110">
        <f>((Q278+T278)*100)/N278</f>
        <v>24.1448372508509</v>
      </c>
    </row>
    <row r="279" spans="1:24" s="168" customFormat="1" ht="22.500000" customHeight="1">
      <c r="A279" s="34">
        <v>277</v>
      </c>
      <c r="B279" s="0">
        <f>C279+D279+E279+F279+G279+H279</f>
        <v>119.65027366088</v>
      </c>
      <c r="C279" s="49">
        <v>59</v>
      </c>
      <c r="D279" s="49">
        <v>3</v>
      </c>
      <c r="E279" s="49">
        <v>0</v>
      </c>
      <c r="F279" s="49">
        <v>54.2590810925931</v>
      </c>
      <c r="G279" s="49">
        <v>3.39119256828707</v>
      </c>
      <c r="H279" s="49">
        <v>0</v>
      </c>
      <c r="I279" s="78">
        <f>(100*B279)/N279</f>
        <v>22.1205232851854</v>
      </c>
      <c r="J279" s="110">
        <f>((C279+F279)*100)/B279</f>
        <v>94.6584388211252</v>
      </c>
      <c r="K279" s="110">
        <f>((D279+G279)*100)/B279</f>
        <v>5.34156117887483</v>
      </c>
      <c r="L279" s="110">
        <f>((E279+H279)*100)/B279</f>
        <v>0</v>
      </c>
      <c r="M279" s="111"/>
      <c r="N279" s="0">
        <f>O279+P279+Q279+R279+S279+T279</f>
        <v>540.901641965281</v>
      </c>
      <c r="O279" s="49">
        <v>75</v>
      </c>
      <c r="P279" s="49">
        <v>69</v>
      </c>
      <c r="Q279" s="49">
        <v>51</v>
      </c>
      <c r="R279" s="49">
        <v>145.821280436344</v>
      </c>
      <c r="S279" s="49">
        <v>143.560485390819</v>
      </c>
      <c r="T279" s="49">
        <v>56.5198761381178</v>
      </c>
      <c r="U279" s="49">
        <v>87</v>
      </c>
      <c r="V279" s="110">
        <f>((O279+R279)*100)/N279</f>
        <v>40.8246644683911</v>
      </c>
      <c r="W279" s="110">
        <f>((P279+S279)*100)/N279</f>
        <v>39.2974376299754</v>
      </c>
      <c r="X279" s="110">
        <f>((Q279+T279)*100)/N279</f>
        <v>19.8778979016335</v>
      </c>
    </row>
    <row r="280" spans="1:24" s="168" customFormat="1" ht="22.500000" customHeight="1">
      <c r="A280" s="34">
        <v>278</v>
      </c>
      <c r="B280" s="0">
        <f>C280+D280+E280+F280+G280+H280</f>
        <v>23.1735777048612</v>
      </c>
      <c r="C280" s="49">
        <v>10</v>
      </c>
      <c r="D280" s="49">
        <v>2</v>
      </c>
      <c r="E280" s="49">
        <v>1</v>
      </c>
      <c r="F280" s="49">
        <v>7.91278265933649</v>
      </c>
      <c r="G280" s="49">
        <v>1.13039752276235</v>
      </c>
      <c r="H280" s="49">
        <v>1.13039752276235</v>
      </c>
      <c r="I280" s="78">
        <f>(100*B280)/N280</f>
        <v>4.06997268472764</v>
      </c>
      <c r="J280" s="110">
        <f>((C280+F280)*100)/B280</f>
        <v>77.2983045064244</v>
      </c>
      <c r="K280" s="110">
        <f>((D280+G280)*100)/B280</f>
        <v>13.5084774678779</v>
      </c>
      <c r="L280" s="110">
        <f>((E280+H280)*100)/B280</f>
        <v>9.19321802569765</v>
      </c>
      <c r="M280" s="111"/>
      <c r="N280" s="0">
        <f>O280+P280+Q280+R280+S280+T280</f>
        <v>569.379194897765</v>
      </c>
      <c r="O280" s="49">
        <v>79</v>
      </c>
      <c r="P280" s="49">
        <v>70</v>
      </c>
      <c r="Q280" s="49">
        <v>53</v>
      </c>
      <c r="R280" s="49">
        <v>85.9102117299391</v>
      </c>
      <c r="S280" s="49">
        <v>143.560485390819</v>
      </c>
      <c r="T280" s="49">
        <v>137.908497777007</v>
      </c>
      <c r="U280" s="49">
        <v>73</v>
      </c>
      <c r="V280" s="110">
        <f>((O280+R280)*100)/N280</f>
        <v>28.9631607912104</v>
      </c>
      <c r="W280" s="110">
        <f>((P280+S280)*100)/N280</f>
        <v>37.5076025440594</v>
      </c>
      <c r="X280" s="110">
        <f>((Q280+T280)*100)/N280</f>
        <v>33.5292366647302</v>
      </c>
    </row>
    <row r="281" spans="1:24" s="168" customFormat="1" ht="22.500000" customHeight="1">
      <c r="A281" s="34">
        <v>279</v>
      </c>
      <c r="B281" s="0">
        <f>C281+D281+E281+F281+G281+H281</f>
        <v>194.518162185186</v>
      </c>
      <c r="C281" s="49">
        <v>62</v>
      </c>
      <c r="D281" s="49">
        <v>4</v>
      </c>
      <c r="E281" s="49">
        <v>20</v>
      </c>
      <c r="F281" s="49">
        <v>77.9974290706026</v>
      </c>
      <c r="G281" s="49">
        <v>13.5647702731482</v>
      </c>
      <c r="H281" s="49">
        <v>16.9559628414353</v>
      </c>
      <c r="I281" s="78">
        <f>(100*B281)/N281</f>
        <v>28.3650530947042</v>
      </c>
      <c r="J281" s="110">
        <f>((C281+F281)*100)/B281</f>
        <v>71.9713920273016</v>
      </c>
      <c r="K281" s="110">
        <f>((D281+G281)*100)/B281</f>
        <v>9.0298870171445</v>
      </c>
      <c r="L281" s="110">
        <f>((E281+H281)*100)/B281</f>
        <v>18.9987209555539</v>
      </c>
      <c r="M281" s="111"/>
      <c r="N281" s="0">
        <f>O281+P281+Q281+R281+S281+T281</f>
        <v>685.766959560188</v>
      </c>
      <c r="O281" s="49">
        <v>99</v>
      </c>
      <c r="P281" s="49">
        <v>67</v>
      </c>
      <c r="Q281" s="49">
        <v>45</v>
      </c>
      <c r="R281" s="49">
        <v>160.516448232254</v>
      </c>
      <c r="S281" s="49">
        <v>169.559628414353</v>
      </c>
      <c r="T281" s="49">
        <v>144.690882913581</v>
      </c>
      <c r="U281" s="49">
        <v>87</v>
      </c>
      <c r="V281" s="110">
        <f>((O281+R281)*100)/N281</f>
        <v>37.8432417331236</v>
      </c>
      <c r="W281" s="110">
        <f>((P281+S281)*100)/N281</f>
        <v>34.4956293266256</v>
      </c>
      <c r="X281" s="110">
        <f>((Q281+T281)*100)/N281</f>
        <v>27.6611289402508</v>
      </c>
    </row>
    <row r="282" spans="1:24" s="168" customFormat="1" ht="22.500000" customHeight="1">
      <c r="A282" s="34">
        <v>280</v>
      </c>
      <c r="B282" s="0">
        <f>C282+D282+E282+F282+G282+H282</f>
        <v>35.0431801820988</v>
      </c>
      <c r="C282" s="49">
        <v>20</v>
      </c>
      <c r="D282" s="49">
        <v>2</v>
      </c>
      <c r="E282" s="49">
        <v>4</v>
      </c>
      <c r="F282" s="49">
        <v>1.13039752276235</v>
      </c>
      <c r="G282" s="49">
        <v>4.52159009104942</v>
      </c>
      <c r="H282" s="49">
        <v>3.39119256828707</v>
      </c>
      <c r="I282" s="78">
        <f>(100*B282)/N282</f>
        <v>7.49984233056019</v>
      </c>
      <c r="J282" s="110">
        <f>((C282+F282)*100)/B282</f>
        <v>60.2981733192024</v>
      </c>
      <c r="K282" s="110">
        <f>((D282+G282)*100)/B282</f>
        <v>18.6101548351507</v>
      </c>
      <c r="L282" s="110">
        <f>((E282+H282)*100)/B282</f>
        <v>21.0916718456469</v>
      </c>
      <c r="M282" s="111"/>
      <c r="N282" s="0">
        <f>O282+P282+Q282+R282+S282+T282</f>
        <v>467.252225280866</v>
      </c>
      <c r="O282" s="49">
        <v>97</v>
      </c>
      <c r="P282" s="49">
        <v>65</v>
      </c>
      <c r="Q282" s="49">
        <v>43</v>
      </c>
      <c r="R282" s="49">
        <v>132.256510163195</v>
      </c>
      <c r="S282" s="49">
        <v>79.1278265933649</v>
      </c>
      <c r="T282" s="49">
        <v>50.867888524306</v>
      </c>
      <c r="U282" s="49">
        <v>83</v>
      </c>
      <c r="V282" s="110">
        <f>((O282+R282)*100)/N282</f>
        <v>49.0648300337978</v>
      </c>
      <c r="W282" s="110">
        <f>((P282+S282)*100)/N282</f>
        <v>30.8458298955622</v>
      </c>
      <c r="X282" s="110">
        <f>((Q282+T282)*100)/N282</f>
        <v>20.08934007064</v>
      </c>
    </row>
    <row r="283" spans="1:24" s="168" customFormat="1" ht="22.500000" customHeight="1">
      <c r="A283" s="34">
        <v>281</v>
      </c>
      <c r="B283" s="0">
        <f>C283+D283+E283+F283+G283+H283</f>
        <v>123.606236502315</v>
      </c>
      <c r="C283" s="49">
        <v>40</v>
      </c>
      <c r="D283" s="49">
        <v>2</v>
      </c>
      <c r="E283" s="49">
        <v>7</v>
      </c>
      <c r="F283" s="49">
        <v>56.5198761381178</v>
      </c>
      <c r="G283" s="49">
        <v>3.39119256828707</v>
      </c>
      <c r="H283" s="49">
        <v>14.6951677959106</v>
      </c>
      <c r="I283" s="78">
        <f>(100*B283)/N283</f>
        <v>17.9460394520926</v>
      </c>
      <c r="J283" s="110">
        <f>((C283+F283)*100)/B283</f>
        <v>78.0865746497425</v>
      </c>
      <c r="K283" s="110">
        <f>((D283+G283)*100)/B283</f>
        <v>4.36158621186244</v>
      </c>
      <c r="L283" s="110">
        <f>((E283+H283)*100)/B283</f>
        <v>17.5518391383951</v>
      </c>
      <c r="M283" s="111"/>
      <c r="N283" s="0">
        <f>O283+P283+Q283+R283+S283+T283</f>
        <v>688.766102583723</v>
      </c>
      <c r="O283" s="49">
        <v>86</v>
      </c>
      <c r="P283" s="49">
        <v>59</v>
      </c>
      <c r="Q283" s="49">
        <v>43</v>
      </c>
      <c r="R283" s="49">
        <v>270.165007940203</v>
      </c>
      <c r="S283" s="49">
        <v>141.299690345294</v>
      </c>
      <c r="T283" s="49">
        <v>89.3014042982261</v>
      </c>
      <c r="U283" s="49">
        <v>93</v>
      </c>
      <c r="V283" s="110">
        <f>((O283+R283)*100)/N283</f>
        <v>51.7105889218625</v>
      </c>
      <c r="W283" s="110">
        <f>((P283+S283)*100)/N283</f>
        <v>29.0809448365596</v>
      </c>
      <c r="X283" s="110">
        <f>((Q283+T283)*100)/N283</f>
        <v>19.2084662415779</v>
      </c>
    </row>
    <row r="284" spans="1:24" s="168" customFormat="1" ht="22.500000" customHeight="1">
      <c r="A284" s="34">
        <v>282</v>
      </c>
      <c r="B284" s="0">
        <f>C284+D284+E284+F284+G284+H284</f>
        <v>100.607093478781</v>
      </c>
      <c r="C284" s="49">
        <v>50</v>
      </c>
      <c r="D284" s="49">
        <v>0</v>
      </c>
      <c r="E284" s="49">
        <v>2</v>
      </c>
      <c r="F284" s="49">
        <v>44.0855033877319</v>
      </c>
      <c r="G284" s="49">
        <v>0</v>
      </c>
      <c r="H284" s="49">
        <v>4.52159009104942</v>
      </c>
      <c r="I284" s="78">
        <f>(100*B284)/N284</f>
        <v>21.5176471554363</v>
      </c>
      <c r="J284" s="110">
        <f>((C284+F284)*100)/B284</f>
        <v>93.5177631461693</v>
      </c>
      <c r="K284" s="110">
        <f>((D284+G284)*100)/B284</f>
        <v>0</v>
      </c>
      <c r="L284" s="110">
        <f>((E284+H284)*100)/B284</f>
        <v>6.48223685383066</v>
      </c>
      <c r="M284" s="111"/>
      <c r="N284" s="0">
        <f>O284+P284+Q284+R284+S284+T284</f>
        <v>467.55620050849</v>
      </c>
      <c r="O284" s="49">
        <v>93</v>
      </c>
      <c r="P284" s="49">
        <v>59</v>
      </c>
      <c r="Q284" s="49">
        <v>42</v>
      </c>
      <c r="R284" s="49">
        <v>94.9533919120379</v>
      </c>
      <c r="S284" s="49">
        <v>93.8229943892756</v>
      </c>
      <c r="T284" s="49">
        <v>84.7798142071767</v>
      </c>
      <c r="U284" s="49">
        <v>73</v>
      </c>
      <c r="V284" s="110">
        <f>((O284+R284)*100)/N284</f>
        <v>40.1991015641819</v>
      </c>
      <c r="W284" s="110">
        <f>((P284+S284)*100)/N284</f>
        <v>32.6854812796992</v>
      </c>
      <c r="X284" s="110">
        <f>((Q284+T284)*100)/N284</f>
        <v>27.1154171561189</v>
      </c>
    </row>
    <row r="285" spans="1:24" s="168" customFormat="1" ht="22.500000" customHeight="1">
      <c r="A285" s="34">
        <v>283</v>
      </c>
      <c r="B285" s="0">
        <f>C285+D285+E285+F285+G285+H285</f>
        <v>71.8255653186729</v>
      </c>
      <c r="C285" s="49">
        <v>55</v>
      </c>
      <c r="D285" s="49">
        <v>1</v>
      </c>
      <c r="E285" s="49">
        <v>0</v>
      </c>
      <c r="F285" s="49">
        <v>15.8255653186729</v>
      </c>
      <c r="G285" s="49">
        <v>0</v>
      </c>
      <c r="H285" s="49">
        <v>0</v>
      </c>
      <c r="I285" s="78">
        <f>(100*B285)/N285</f>
        <v>16.0312537577738</v>
      </c>
      <c r="J285" s="110">
        <f>((C285+F285)*100)/B285</f>
        <v>98.6077380726998</v>
      </c>
      <c r="K285" s="110">
        <f>((D285+G285)*100)/B285</f>
        <v>1.39226192730017</v>
      </c>
      <c r="L285" s="110">
        <f>((E285+H285)*100)/B285</f>
        <v>0</v>
      </c>
      <c r="M285" s="111"/>
      <c r="N285" s="0">
        <f>O285+P285+Q285+R285+S285+T285</f>
        <v>448.03461041744</v>
      </c>
      <c r="O285" s="49">
        <v>77</v>
      </c>
      <c r="P285" s="49">
        <v>59</v>
      </c>
      <c r="Q285" s="49">
        <v>43</v>
      </c>
      <c r="R285" s="49">
        <v>72.3454414567908</v>
      </c>
      <c r="S285" s="49">
        <v>110.77895723071</v>
      </c>
      <c r="T285" s="49">
        <v>85.9102117299391</v>
      </c>
      <c r="U285" s="49">
        <v>80</v>
      </c>
      <c r="V285" s="110">
        <f>((O285+R285)*100)/N285</f>
        <v>33.3334608497419</v>
      </c>
      <c r="W285" s="110">
        <f>((P285+S285)*100)/N285</f>
        <v>37.8941611391416</v>
      </c>
      <c r="X285" s="110">
        <f>((Q285+T285)*100)/N285</f>
        <v>28.7723780111165</v>
      </c>
    </row>
    <row r="286" spans="1:24" s="168" customFormat="1" ht="22.500000" customHeight="1">
      <c r="A286" s="34">
        <v>284</v>
      </c>
      <c r="B286" s="0">
        <f>C286+D286+E286+F286+G286+H286</f>
        <v>42.5647702731483</v>
      </c>
      <c r="C286" s="49">
        <v>27</v>
      </c>
      <c r="D286" s="49">
        <v>1</v>
      </c>
      <c r="E286" s="49">
        <v>1</v>
      </c>
      <c r="F286" s="49">
        <v>10.1735777048612</v>
      </c>
      <c r="G286" s="49">
        <v>3.39119256828707</v>
      </c>
      <c r="H286" s="49">
        <v>0</v>
      </c>
      <c r="I286" s="78">
        <f>(100*B286)/N286</f>
        <v>12.367424156289</v>
      </c>
      <c r="J286" s="110">
        <f>((C286+F286)*100)/B286</f>
        <v>87.3341438619532</v>
      </c>
      <c r="K286" s="110">
        <f>((D286+G286)*100)/B286</f>
        <v>10.3164954024367</v>
      </c>
      <c r="L286" s="110">
        <f>((E286+H286)*100)/B286</f>
        <v>2.34936073561013</v>
      </c>
      <c r="M286" s="111"/>
      <c r="N286" s="0">
        <f>O286+P286+Q286+R286+S286+T286</f>
        <v>344.168435846066</v>
      </c>
      <c r="O286" s="49">
        <v>69</v>
      </c>
      <c r="P286" s="49">
        <v>64</v>
      </c>
      <c r="Q286" s="49">
        <v>45</v>
      </c>
      <c r="R286" s="49">
        <v>15.8255653186729</v>
      </c>
      <c r="S286" s="49">
        <v>68.9542488885037</v>
      </c>
      <c r="T286" s="49">
        <v>81.3886216388896</v>
      </c>
      <c r="U286" s="49">
        <v>51</v>
      </c>
      <c r="V286" s="110">
        <f>((O286+R286)*100)/N286</f>
        <v>24.646526666557</v>
      </c>
      <c r="W286" s="110">
        <f>((P286+S286)*100)/N286</f>
        <v>38.6305759160231</v>
      </c>
      <c r="X286" s="110">
        <f>((Q286+T286)*100)/N286</f>
        <v>36.7228974174199</v>
      </c>
    </row>
    <row r="287" spans="1:24" s="168" customFormat="1" ht="22.500000" customHeight="1">
      <c r="A287" s="34">
        <v>285</v>
      </c>
      <c r="B287" s="0">
        <f>C287+D287+E287+F287+G287+H287</f>
        <v>59.3471554097223</v>
      </c>
      <c r="C287" s="49">
        <v>26</v>
      </c>
      <c r="D287" s="49">
        <v>3</v>
      </c>
      <c r="E287" s="49">
        <v>10</v>
      </c>
      <c r="F287" s="49">
        <v>15.8255653186729</v>
      </c>
      <c r="G287" s="49">
        <v>1.13039752276235</v>
      </c>
      <c r="H287" s="49">
        <v>3.39119256828707</v>
      </c>
      <c r="I287" s="78">
        <f>(100*B287)/N287</f>
        <v>7.391663655418</v>
      </c>
      <c r="J287" s="110">
        <f>((C287+F287)*100)/B287</f>
        <v>70.4761079615637</v>
      </c>
      <c r="K287" s="110">
        <f>((D287+G287)*100)/B287</f>
        <v>6.95972282790441</v>
      </c>
      <c r="L287" s="110">
        <f>((E287+H287)*100)/B287</f>
        <v>22.5641692105319</v>
      </c>
      <c r="M287" s="111"/>
      <c r="N287" s="0">
        <f>O287+P287+Q287+R287+S287+T287</f>
        <v>802.893072200621</v>
      </c>
      <c r="O287" s="49">
        <v>81</v>
      </c>
      <c r="P287" s="49">
        <v>67</v>
      </c>
      <c r="Q287" s="49">
        <v>49</v>
      </c>
      <c r="R287" s="49">
        <v>258.861032712579</v>
      </c>
      <c r="S287" s="49">
        <v>202.341156574461</v>
      </c>
      <c r="T287" s="49">
        <v>144.690882913581</v>
      </c>
      <c r="U287" s="49">
        <v>96</v>
      </c>
      <c r="V287" s="110">
        <f>((O287+R287)*100)/N287</f>
        <v>42.3295510298857</v>
      </c>
      <c r="W287" s="110">
        <f>((P287+S287)*100)/N287</f>
        <v>33.5463296297019</v>
      </c>
      <c r="X287" s="110">
        <f>((Q287+T287)*100)/N287</f>
        <v>24.1241193404124</v>
      </c>
    </row>
    <row r="288" spans="1:24" s="168" customFormat="1" ht="22.500000" customHeight="1">
      <c r="A288" s="34">
        <v>286</v>
      </c>
      <c r="B288" s="0">
        <f>C288+D288+E288+F288+G288+H288</f>
        <v>93.8247083422072</v>
      </c>
      <c r="C288" s="49">
        <v>48</v>
      </c>
      <c r="D288" s="49">
        <v>0</v>
      </c>
      <c r="E288" s="49">
        <v>4</v>
      </c>
      <c r="F288" s="49">
        <v>41.8247083422072</v>
      </c>
      <c r="G288" s="49">
        <v>0</v>
      </c>
      <c r="H288" s="49">
        <v>0</v>
      </c>
      <c r="I288" s="78">
        <f>(100*B288)/N288</f>
        <v>16.7952008505034</v>
      </c>
      <c r="J288" s="110">
        <f>((C288+F288)*100)/B288</f>
        <v>95.7367306856838</v>
      </c>
      <c r="K288" s="110">
        <f>((D288+G288)*100)/B288</f>
        <v>0</v>
      </c>
      <c r="L288" s="110">
        <f>((E288+H288)*100)/B288</f>
        <v>4.26326931431621</v>
      </c>
      <c r="M288" s="111"/>
      <c r="N288" s="0">
        <f>O288+P288+Q288+R288+S288+T288</f>
        <v>558.639989943289</v>
      </c>
      <c r="O288" s="49">
        <v>78</v>
      </c>
      <c r="P288" s="49">
        <v>63</v>
      </c>
      <c r="Q288" s="49">
        <v>48</v>
      </c>
      <c r="R288" s="49">
        <v>136.778100254245</v>
      </c>
      <c r="S288" s="49">
        <v>132.256510163195</v>
      </c>
      <c r="T288" s="49">
        <v>100.605379525849</v>
      </c>
      <c r="U288" s="49">
        <v>85</v>
      </c>
      <c r="V288" s="110">
        <f>((O288+R288)*100)/N288</f>
        <v>38.446603200757</v>
      </c>
      <c r="W288" s="110">
        <f>((P288+S288)*100)/N288</f>
        <v>34.9521183012725</v>
      </c>
      <c r="X288" s="110">
        <f>((Q288+T288)*100)/N288</f>
        <v>26.6012784979706</v>
      </c>
    </row>
    <row r="289" spans="1:24" s="168" customFormat="1" ht="22.500000" customHeight="1">
      <c r="A289" s="34">
        <v>287</v>
      </c>
      <c r="B289" s="0">
        <f>C289+D289+E289+F289+G289+H289</f>
        <v>55.5207331145835</v>
      </c>
      <c r="C289" s="49">
        <v>17</v>
      </c>
      <c r="D289" s="49">
        <v>3</v>
      </c>
      <c r="E289" s="49">
        <v>5</v>
      </c>
      <c r="F289" s="49">
        <v>15.8255653186729</v>
      </c>
      <c r="G289" s="49">
        <v>5.65198761381178</v>
      </c>
      <c r="H289" s="49">
        <v>9.04318018209885</v>
      </c>
      <c r="I289" s="78">
        <f>(100*B289)/N289</f>
        <v>5.93048091544721</v>
      </c>
      <c r="J289" s="110">
        <f>((C289+F289)*100)/B289</f>
        <v>59.1230761505393</v>
      </c>
      <c r="K289" s="110">
        <f>((D289+G289)*100)/B289</f>
        <v>15.5833454071218</v>
      </c>
      <c r="L289" s="110">
        <f>((E289+H289)*100)/B289</f>
        <v>25.293578442339</v>
      </c>
      <c r="M289" s="111"/>
      <c r="N289" s="0">
        <f>O289+P289+Q289+R289+S289+T289</f>
        <v>936.192762545916</v>
      </c>
      <c r="O289" s="49">
        <v>79</v>
      </c>
      <c r="P289" s="49">
        <v>63</v>
      </c>
      <c r="Q289" s="49">
        <v>47</v>
      </c>
      <c r="R289" s="49">
        <v>292.77295839545</v>
      </c>
      <c r="S289" s="49">
        <v>271.295405462965</v>
      </c>
      <c r="T289" s="49">
        <v>183.124398687501</v>
      </c>
      <c r="U289" s="49">
        <v>79</v>
      </c>
      <c r="V289" s="110">
        <f>((O289+R289)*100)/N289</f>
        <v>39.711154931858</v>
      </c>
      <c r="W289" s="110">
        <f>((P289+S289)*100)/N289</f>
        <v>35.7079672944566</v>
      </c>
      <c r="X289" s="110">
        <f>((Q289+T289)*100)/N289</f>
        <v>24.5808777736855</v>
      </c>
    </row>
    <row r="290" spans="1:24" s="168" customFormat="1" ht="22.500000" customHeight="1">
      <c r="A290" s="34">
        <v>288</v>
      </c>
      <c r="B290" s="0">
        <f>C290+D290+E290+F290+G290+H290</f>
        <v>58.9991430235341</v>
      </c>
      <c r="C290" s="49">
        <v>26</v>
      </c>
      <c r="D290" s="49">
        <v>1</v>
      </c>
      <c r="E290" s="49">
        <v>6</v>
      </c>
      <c r="F290" s="49">
        <v>21.4775529324847</v>
      </c>
      <c r="G290" s="49">
        <v>1.13039752276235</v>
      </c>
      <c r="H290" s="49">
        <v>3.39119256828707</v>
      </c>
      <c r="I290" s="78">
        <f>(100*B290)/N290</f>
        <v>10.4081222018375</v>
      </c>
      <c r="J290" s="110">
        <f>((C290+F290)*100)/B290</f>
        <v>80.4715975510804</v>
      </c>
      <c r="K290" s="110">
        <f>((D290+G290)*100)/B290</f>
        <v>3.6108957072691</v>
      </c>
      <c r="L290" s="110">
        <f>((E290+H290)*100)/B290</f>
        <v>15.9175067416505</v>
      </c>
      <c r="M290" s="111"/>
      <c r="N290" s="0">
        <f>O290+P290+Q290+R290+S290+T290</f>
        <v>566.85674783025</v>
      </c>
      <c r="O290" s="49">
        <v>64</v>
      </c>
      <c r="P290" s="49">
        <v>66</v>
      </c>
      <c r="Q290" s="49">
        <v>48</v>
      </c>
      <c r="R290" s="49">
        <v>101.735777048612</v>
      </c>
      <c r="S290" s="49">
        <v>149.212473004631</v>
      </c>
      <c r="T290" s="49">
        <v>137.908497777007</v>
      </c>
      <c r="U290" s="49">
        <v>83</v>
      </c>
      <c r="V290" s="110">
        <f>((O290+R290)*100)/N290</f>
        <v>29.2376826566847</v>
      </c>
      <c r="W290" s="110">
        <f>((P290+S290)*100)/N290</f>
        <v>37.9659365136601</v>
      </c>
      <c r="X290" s="110">
        <f>((Q290+T290)*100)/N290</f>
        <v>32.7963808296552</v>
      </c>
    </row>
    <row r="291" spans="1:24" s="168" customFormat="1" ht="22.500000" customHeight="1">
      <c r="A291" s="34">
        <v>289</v>
      </c>
      <c r="B291" s="0">
        <f>C291+D291+E291+F291+G291+H291</f>
        <v>59.3911925682871</v>
      </c>
      <c r="C291" s="49">
        <v>53</v>
      </c>
      <c r="D291" s="49">
        <v>1</v>
      </c>
      <c r="E291" s="49">
        <v>2</v>
      </c>
      <c r="F291" s="49">
        <v>3.39119256828707</v>
      </c>
      <c r="G291" s="49">
        <v>0</v>
      </c>
      <c r="H291" s="49">
        <v>0</v>
      </c>
      <c r="I291" s="78">
        <f>(100*B291)/N291</f>
        <v>15.1763216238634</v>
      </c>
      <c r="J291" s="110">
        <f>((C291+F291)*100)/B291</f>
        <v>94.948745983589</v>
      </c>
      <c r="K291" s="110">
        <f>((D291+G291)*100)/B291</f>
        <v>1.68375133880367</v>
      </c>
      <c r="L291" s="110">
        <f>((E291+H291)*100)/B291</f>
        <v>3.36750267760734</v>
      </c>
      <c r="M291" s="111"/>
      <c r="N291" s="0">
        <f>O291+P291+Q291+R291+S291+T291</f>
        <v>391.341156574462</v>
      </c>
      <c r="O291" s="49">
        <v>73</v>
      </c>
      <c r="P291" s="49">
        <v>67</v>
      </c>
      <c r="Q291" s="49">
        <v>49</v>
      </c>
      <c r="R291" s="49">
        <v>22.6079504552471</v>
      </c>
      <c r="S291" s="49">
        <v>90.4318018209885</v>
      </c>
      <c r="T291" s="49">
        <v>89.3014042982261</v>
      </c>
      <c r="U291" s="49">
        <v>67</v>
      </c>
      <c r="V291" s="110">
        <f>((O291+R291)*100)/N291</f>
        <v>24.4308447626963</v>
      </c>
      <c r="W291" s="110">
        <f>((P291+S291)*100)/N291</f>
        <v>40.2287873831214</v>
      </c>
      <c r="X291" s="110">
        <f>((Q291+T291)*100)/N291</f>
        <v>35.3403678541823</v>
      </c>
    </row>
    <row r="292" spans="1:24" s="168" customFormat="1" ht="22.500000" customHeight="1">
      <c r="A292" s="34">
        <v>290</v>
      </c>
      <c r="B292" s="0">
        <f>C292+D292+E292+F292+G292+H292</f>
        <v>126.519876138118</v>
      </c>
      <c r="C292" s="49">
        <v>60</v>
      </c>
      <c r="D292" s="49">
        <v>1</v>
      </c>
      <c r="E292" s="49">
        <v>9</v>
      </c>
      <c r="F292" s="49">
        <v>50.867888524306</v>
      </c>
      <c r="G292" s="49">
        <v>3.39119256828707</v>
      </c>
      <c r="H292" s="49">
        <v>2.26079504552471</v>
      </c>
      <c r="I292" s="78">
        <f>(100*B292)/N292</f>
        <v>16.9532309563698</v>
      </c>
      <c r="J292" s="110">
        <f>((C292+F292)*100)/B292</f>
        <v>87.628831064674</v>
      </c>
      <c r="K292" s="110">
        <f>((D292+G292)*100)/B292</f>
        <v>3.47075313565225</v>
      </c>
      <c r="L292" s="110">
        <f>((E292+H292)*100)/B292</f>
        <v>8.90041579967376</v>
      </c>
      <c r="M292" s="111"/>
      <c r="N292" s="0">
        <f>O292+P292+Q292+R292+S292+T292</f>
        <v>746.287692674773</v>
      </c>
      <c r="O292" s="49">
        <v>101</v>
      </c>
      <c r="P292" s="49">
        <v>81</v>
      </c>
      <c r="Q292" s="49">
        <v>59</v>
      </c>
      <c r="R292" s="49">
        <v>180.863603641977</v>
      </c>
      <c r="S292" s="49">
        <v>171.820423459878</v>
      </c>
      <c r="T292" s="49">
        <v>152.603665572918</v>
      </c>
      <c r="U292" s="49">
        <v>89</v>
      </c>
      <c r="V292" s="110">
        <f>((O292+R292)*100)/N292</f>
        <v>37.7687594755514</v>
      </c>
      <c r="W292" s="110">
        <f>((P292+S292)*100)/N292</f>
        <v>33.8770726010157</v>
      </c>
      <c r="X292" s="110">
        <f>((Q292+T292)*100)/N292</f>
        <v>28.3541679234329</v>
      </c>
    </row>
    <row r="293" spans="1:24" s="168" customFormat="1" ht="22.500000" customHeight="1">
      <c r="A293" s="34">
        <v>291</v>
      </c>
      <c r="B293" s="0">
        <f>C293+D293+E293+F293+G293+H293</f>
        <v>26.3911925682871</v>
      </c>
      <c r="C293" s="49">
        <v>22</v>
      </c>
      <c r="D293" s="49">
        <v>1</v>
      </c>
      <c r="E293" s="49">
        <v>0</v>
      </c>
      <c r="F293" s="49">
        <v>2.26079504552471</v>
      </c>
      <c r="G293" s="49">
        <v>1.13039752276235</v>
      </c>
      <c r="H293" s="49">
        <v>0</v>
      </c>
      <c r="I293" s="78">
        <f>(100*B293)/N293</f>
        <v>8.65289864750725</v>
      </c>
      <c r="J293" s="110">
        <f>((C293+F293)*100)/B293</f>
        <v>91.9276193478186</v>
      </c>
      <c r="K293" s="110">
        <f>((D293+G293)*100)/B293</f>
        <v>8.07238065218144</v>
      </c>
      <c r="L293" s="110">
        <f>((E293+H293)*100)/B293</f>
        <v>0</v>
      </c>
      <c r="M293" s="111"/>
      <c r="N293" s="0">
        <f>O293+P293+Q293+R293+S293+T293</f>
        <v>304.998286047068</v>
      </c>
      <c r="O293" s="49">
        <v>93</v>
      </c>
      <c r="P293" s="49">
        <v>100</v>
      </c>
      <c r="Q293" s="49">
        <v>60</v>
      </c>
      <c r="R293" s="49">
        <v>28.2599380690589</v>
      </c>
      <c r="S293" s="49">
        <v>20.3471554097224</v>
      </c>
      <c r="T293" s="49">
        <v>3.39119256828707</v>
      </c>
      <c r="U293" s="49">
        <v>57</v>
      </c>
      <c r="V293" s="110">
        <f>((O293+R293)*100)/N293</f>
        <v>39.7575801623835</v>
      </c>
      <c r="W293" s="110">
        <f>((P293+S293)*100)/N293</f>
        <v>39.4583054775429</v>
      </c>
      <c r="X293" s="110">
        <f>((Q293+T293)*100)/N293</f>
        <v>20.7841143600736</v>
      </c>
    </row>
    <row r="294" spans="1:24" s="168" customFormat="1" ht="22.500000" customHeight="1">
      <c r="A294" s="34">
        <v>292</v>
      </c>
      <c r="B294" s="0">
        <f>C294+D294+E294+F294+G294+H294</f>
        <v>126.563056320217</v>
      </c>
      <c r="C294" s="49">
        <v>50</v>
      </c>
      <c r="D294" s="49">
        <v>5</v>
      </c>
      <c r="E294" s="49">
        <v>6</v>
      </c>
      <c r="F294" s="49">
        <v>48.6070934787813</v>
      </c>
      <c r="G294" s="49">
        <v>3.39119256828707</v>
      </c>
      <c r="H294" s="49">
        <v>13.5647702731482</v>
      </c>
      <c r="I294" s="78">
        <f>(100*B294)/N294</f>
        <v>20.70860807597</v>
      </c>
      <c r="J294" s="110">
        <f>((C294+F294)*100)/B294</f>
        <v>77.9114350946899</v>
      </c>
      <c r="K294" s="110">
        <f>((D294+G294)*100)/B294</f>
        <v>6.63004893549391</v>
      </c>
      <c r="L294" s="110">
        <f>((E294+H294)*100)/B294</f>
        <v>15.4585159698162</v>
      </c>
      <c r="M294" s="111"/>
      <c r="N294" s="0">
        <f>O294+P294+Q294+R294+S294+T294</f>
        <v>611.161580034339</v>
      </c>
      <c r="O294" s="49">
        <v>77</v>
      </c>
      <c r="P294" s="49">
        <v>102</v>
      </c>
      <c r="Q294" s="49">
        <v>58</v>
      </c>
      <c r="R294" s="49">
        <v>137.908497777007</v>
      </c>
      <c r="S294" s="49">
        <v>154.864460618442</v>
      </c>
      <c r="T294" s="49">
        <v>81.3886216388896</v>
      </c>
      <c r="U294" s="49">
        <v>78</v>
      </c>
      <c r="V294" s="110">
        <f>((O294+R294)*100)/N294</f>
        <v>35.1639410587511</v>
      </c>
      <c r="W294" s="110">
        <f>((P294+S294)*100)/N294</f>
        <v>42.0288953052333</v>
      </c>
      <c r="X294" s="110">
        <f>((Q294+T294)*100)/N294</f>
        <v>22.8071636360155</v>
      </c>
    </row>
    <row r="295" spans="1:24" s="168" customFormat="1" ht="22.500000" customHeight="1">
      <c r="A295" s="34">
        <v>293</v>
      </c>
      <c r="B295" s="0">
        <f>C295+D295+E295+F295+G295+H295</f>
        <v>103.519876138118</v>
      </c>
      <c r="C295" s="49">
        <v>44</v>
      </c>
      <c r="D295" s="49">
        <v>2</v>
      </c>
      <c r="E295" s="49">
        <v>1</v>
      </c>
      <c r="F295" s="49">
        <v>51.9982860470684</v>
      </c>
      <c r="G295" s="49">
        <v>3.39119256828707</v>
      </c>
      <c r="H295" s="49">
        <v>1.13039752276235</v>
      </c>
      <c r="I295" s="78">
        <f>(100*B295)/N295</f>
        <v>15.1270915432324</v>
      </c>
      <c r="J295" s="110">
        <f>((C295+F295)*100)/B295</f>
        <v>92.7341585291176</v>
      </c>
      <c r="K295" s="110">
        <f>((D295+G295)*100)/B295</f>
        <v>5.20788158700466</v>
      </c>
      <c r="L295" s="110">
        <f>((E295+H295)*100)/B295</f>
        <v>2.0579598838777</v>
      </c>
      <c r="M295" s="111"/>
      <c r="N295" s="0">
        <f>O295+P295+Q295+R295+S295+T295</f>
        <v>684.334300762734</v>
      </c>
      <c r="O295" s="49">
        <v>100</v>
      </c>
      <c r="P295" s="49">
        <v>108</v>
      </c>
      <c r="Q295" s="49">
        <v>66</v>
      </c>
      <c r="R295" s="49">
        <v>169.559628414353</v>
      </c>
      <c r="S295" s="49">
        <v>160.516448232254</v>
      </c>
      <c r="T295" s="49">
        <v>80.2582241161273</v>
      </c>
      <c r="U295" s="49">
        <v>69</v>
      </c>
      <c r="V295" s="110">
        <f>((O295+R295)*100)/N295</f>
        <v>39.3900507564668</v>
      </c>
      <c r="W295" s="110">
        <f>((P295+S295)*100)/N295</f>
        <v>39.2376135366845</v>
      </c>
      <c r="X295" s="110">
        <f>((Q295+T295)*100)/N295</f>
        <v>21.3723357068487</v>
      </c>
    </row>
    <row r="296" spans="1:24" s="168" customFormat="1" ht="22.500000" customHeight="1">
      <c r="A296" s="34">
        <v>294</v>
      </c>
      <c r="B296" s="0">
        <f>C296+D296+E296+F296+G296+H296</f>
        <v>156.822994389276</v>
      </c>
      <c r="C296" s="49">
        <v>49</v>
      </c>
      <c r="D296" s="49">
        <v>6</v>
      </c>
      <c r="E296" s="49">
        <v>8</v>
      </c>
      <c r="F296" s="49">
        <v>79.1278265933649</v>
      </c>
      <c r="G296" s="49">
        <v>9.04318018209885</v>
      </c>
      <c r="H296" s="49">
        <v>5.65198761381178</v>
      </c>
      <c r="I296" s="78">
        <f>(100*B296)/N296</f>
        <v>13.9111371791926</v>
      </c>
      <c r="J296" s="110">
        <f>((C296+F296)*100)/B296</f>
        <v>81.7021936689452</v>
      </c>
      <c r="K296" s="110">
        <f>((D296+G296)*100)/B296</f>
        <v>9.59245819829059</v>
      </c>
      <c r="L296" s="110">
        <f>((E296+H296)*100)/B296</f>
        <v>8.70534813276425</v>
      </c>
      <c r="M296" s="111"/>
      <c r="N296" s="0">
        <f>O296+P296+Q296+R296+S296+T296</f>
        <v>1127.31973216282</v>
      </c>
      <c r="O296" s="49">
        <v>98</v>
      </c>
      <c r="P296" s="49">
        <v>111</v>
      </c>
      <c r="Q296" s="49">
        <v>66</v>
      </c>
      <c r="R296" s="49">
        <v>305.207331145836</v>
      </c>
      <c r="S296" s="49">
        <v>350.42323205633</v>
      </c>
      <c r="T296" s="49">
        <v>196.68916896065</v>
      </c>
      <c r="U296" s="49">
        <v>79</v>
      </c>
      <c r="V296" s="110">
        <f>((O296+R296)*100)/N296</f>
        <v>35.7669008748976</v>
      </c>
      <c r="W296" s="110">
        <f>((P296+S296)*100)/N296</f>
        <v>40.930999333354</v>
      </c>
      <c r="X296" s="110">
        <f>((Q296+T296)*100)/N296</f>
        <v>23.3020997917484</v>
      </c>
    </row>
    <row r="297" spans="1:24" s="168" customFormat="1" ht="22.500000" customHeight="1">
      <c r="A297" s="34">
        <v>295</v>
      </c>
      <c r="B297" s="0">
        <f>C297+D297+E297+F297+G297+H297</f>
        <v>46.9559628414353</v>
      </c>
      <c r="C297" s="49">
        <v>25</v>
      </c>
      <c r="D297" s="49">
        <v>3</v>
      </c>
      <c r="E297" s="49">
        <v>2</v>
      </c>
      <c r="F297" s="49">
        <v>13.5647702731482</v>
      </c>
      <c r="G297" s="49">
        <v>3.39119256828707</v>
      </c>
      <c r="H297" s="49">
        <v>0</v>
      </c>
      <c r="I297" s="78">
        <f>(100*B297)/N297</f>
        <v>8.22924716590413</v>
      </c>
      <c r="J297" s="110">
        <f>((C297+F297)*100)/B297</f>
        <v>82.1296549777434</v>
      </c>
      <c r="K297" s="110">
        <f>((D297+G297)*100)/B297</f>
        <v>13.6110350667696</v>
      </c>
      <c r="L297" s="110">
        <f>((E297+H297)*100)/B297</f>
        <v>4.25930995548694</v>
      </c>
      <c r="M297" s="111"/>
      <c r="N297" s="0">
        <f>O297+P297+Q297+R297+S297+T297</f>
        <v>570.598523714123</v>
      </c>
      <c r="O297" s="49">
        <v>89</v>
      </c>
      <c r="P297" s="49">
        <v>107</v>
      </c>
      <c r="Q297" s="49">
        <v>66</v>
      </c>
      <c r="R297" s="49">
        <v>101.735777048612</v>
      </c>
      <c r="S297" s="49">
        <v>120.952534935572</v>
      </c>
      <c r="T297" s="49">
        <v>85.9102117299391</v>
      </c>
      <c r="U297" s="49">
        <v>67</v>
      </c>
      <c r="V297" s="110">
        <f>((O297+R297)*100)/N297</f>
        <v>33.4273169525712</v>
      </c>
      <c r="W297" s="110">
        <f>((P297+S297)*100)/N297</f>
        <v>39.9497239235374</v>
      </c>
      <c r="X297" s="110">
        <f>((Q297+T297)*100)/N297</f>
        <v>26.6229591238915</v>
      </c>
    </row>
    <row r="298" spans="1:24" s="168" customFormat="1" ht="22.500000" customHeight="1">
      <c r="A298" s="34">
        <v>296</v>
      </c>
      <c r="B298" s="0">
        <f>C298+D298+E298+F298+G298+H298</f>
        <v>50.7383479780094</v>
      </c>
      <c r="C298" s="49">
        <v>16</v>
      </c>
      <c r="D298" s="49">
        <v>6</v>
      </c>
      <c r="E298" s="49">
        <v>5</v>
      </c>
      <c r="F298" s="49">
        <v>14.6951677959106</v>
      </c>
      <c r="G298" s="49">
        <v>7.91278265933649</v>
      </c>
      <c r="H298" s="49">
        <v>1.13039752276235</v>
      </c>
      <c r="I298" s="78">
        <f>(100*B298)/N298</f>
        <v>7.92371734782591</v>
      </c>
      <c r="J298" s="110">
        <f>((C298+F298)*100)/B298</f>
        <v>60.4969791472403</v>
      </c>
      <c r="K298" s="110">
        <f>((D298+G298)*100)/B298</f>
        <v>27.4206457517427</v>
      </c>
      <c r="L298" s="110">
        <f>((E298+H298)*100)/B298</f>
        <v>12.082375101017</v>
      </c>
      <c r="M298" s="111"/>
      <c r="N298" s="0">
        <f>O298+P298+Q298+R298+S298+T298</f>
        <v>640.3351577392</v>
      </c>
      <c r="O298" s="49">
        <v>92</v>
      </c>
      <c r="P298" s="49">
        <v>102</v>
      </c>
      <c r="Q298" s="49">
        <v>62</v>
      </c>
      <c r="R298" s="49">
        <v>129.995715117671</v>
      </c>
      <c r="S298" s="49">
        <v>174.081218505402</v>
      </c>
      <c r="T298" s="49">
        <v>80.2582241161273</v>
      </c>
      <c r="U298" s="49">
        <v>75</v>
      </c>
      <c r="V298" s="110">
        <f>((O298+R298)*100)/N298</f>
        <v>34.6686750578338</v>
      </c>
      <c r="W298" s="110">
        <f>((P298+S298)*100)/N298</f>
        <v>43.1151116987155</v>
      </c>
      <c r="X298" s="110">
        <f>((Q298+T298)*100)/N298</f>
        <v>22.2162132434507</v>
      </c>
    </row>
    <row r="299" spans="1:24" s="168" customFormat="1" ht="22.500000" customHeight="1">
      <c r="A299" s="34">
        <v>297</v>
      </c>
      <c r="B299" s="0">
        <f>C299+D299+E299+F299+G299+H299</f>
        <v>90.1295405462965</v>
      </c>
      <c r="C299" s="49">
        <v>56</v>
      </c>
      <c r="D299" s="49">
        <v>2</v>
      </c>
      <c r="E299" s="49">
        <v>5</v>
      </c>
      <c r="F299" s="49">
        <v>22.6079504552471</v>
      </c>
      <c r="G299" s="49">
        <v>3.39119256828707</v>
      </c>
      <c r="H299" s="49">
        <v>1.13039752276235</v>
      </c>
      <c r="I299" s="78">
        <f>(100*B299)/N299</f>
        <v>24.4486349323321</v>
      </c>
      <c r="J299" s="110">
        <f>((C299+F299)*100)/B299</f>
        <v>87.2166328362329</v>
      </c>
      <c r="K299" s="110">
        <f>((D299+G299)*100)/B299</f>
        <v>5.98160440584715</v>
      </c>
      <c r="L299" s="110">
        <f>((E299+H299)*100)/B299</f>
        <v>6.80176275791994</v>
      </c>
      <c r="M299" s="111"/>
      <c r="N299" s="0">
        <f>O299+P299+Q299+R299+S299+T299</f>
        <v>368.648559707949</v>
      </c>
      <c r="O299" s="49">
        <v>99</v>
      </c>
      <c r="P299" s="49">
        <v>101</v>
      </c>
      <c r="Q299" s="49">
        <v>59</v>
      </c>
      <c r="R299" s="49">
        <v>57.6502736608802</v>
      </c>
      <c r="S299" s="49">
        <v>30.5207331145836</v>
      </c>
      <c r="T299" s="49">
        <v>21.4775529324847</v>
      </c>
      <c r="U299" s="49">
        <v>58</v>
      </c>
      <c r="V299" s="110">
        <f>((O299+R299)*100)/N299</f>
        <v>42.4931196760899</v>
      </c>
      <c r="W299" s="110">
        <f>((P299+S299)*100)/N299</f>
        <v>35.676453807056</v>
      </c>
      <c r="X299" s="110">
        <f>((Q299+T299)*100)/N299</f>
        <v>21.8304265168541</v>
      </c>
    </row>
    <row r="300" spans="1:24" s="168" customFormat="1" ht="22.500000" customHeight="1">
      <c r="A300" s="34">
        <v>298</v>
      </c>
      <c r="B300" s="0">
        <f>C300+D300+E300+F300+G300+H300</f>
        <v>121.997429070603</v>
      </c>
      <c r="C300" s="49">
        <v>29</v>
      </c>
      <c r="D300" s="49">
        <v>5</v>
      </c>
      <c r="E300" s="49">
        <v>10</v>
      </c>
      <c r="F300" s="49">
        <v>58.7806711836425</v>
      </c>
      <c r="G300" s="49">
        <v>9.04318018209885</v>
      </c>
      <c r="H300" s="49">
        <v>10.1735777048612</v>
      </c>
      <c r="I300" s="78">
        <f>(100*B300)/N300</f>
        <v>12.1089754703597</v>
      </c>
      <c r="J300" s="110">
        <f>((C300+F300)*100)/B300</f>
        <v>71.9528860996259</v>
      </c>
      <c r="K300" s="110">
        <f>((D300+G300)*100)/B300</f>
        <v>11.5110460024299</v>
      </c>
      <c r="L300" s="110">
        <f>((E300+H300)*100)/B300</f>
        <v>16.5360678979442</v>
      </c>
      <c r="M300" s="111"/>
      <c r="N300" s="0">
        <f>O300+P300+Q300+R300+S300+T300</f>
        <v>1007.49588079707</v>
      </c>
      <c r="O300" s="49">
        <v>74</v>
      </c>
      <c r="P300" s="49">
        <v>95</v>
      </c>
      <c r="Q300" s="49">
        <v>54</v>
      </c>
      <c r="R300" s="49">
        <v>237.383479780094</v>
      </c>
      <c r="S300" s="49">
        <v>310.859318759648</v>
      </c>
      <c r="T300" s="49">
        <v>236.253082257332</v>
      </c>
      <c r="U300" s="49">
        <v>68</v>
      </c>
      <c r="V300" s="110">
        <f>((O300+R300)*100)/N300</f>
        <v>30.9066752246912</v>
      </c>
      <c r="W300" s="110">
        <f>((P300+S300)*100)/N300</f>
        <v>40.2839680534034</v>
      </c>
      <c r="X300" s="110">
        <f>((Q300+T300)*100)/N300</f>
        <v>28.8093567219054</v>
      </c>
    </row>
    <row r="301" spans="1:24" s="168" customFormat="1" ht="22.500000" customHeight="1">
      <c r="A301" s="34">
        <v>299</v>
      </c>
      <c r="B301" s="0">
        <f>C301+D301+E301+F301+G301+H301</f>
        <v>178.691739890047</v>
      </c>
      <c r="C301" s="49">
        <v>39</v>
      </c>
      <c r="D301" s="49">
        <v>2</v>
      </c>
      <c r="E301" s="49">
        <v>19</v>
      </c>
      <c r="F301" s="49">
        <v>96.0837894348003</v>
      </c>
      <c r="G301" s="49">
        <v>9.04318018209885</v>
      </c>
      <c r="H301" s="49">
        <v>13.5647702731482</v>
      </c>
      <c r="I301" s="78">
        <f>(100*B301)/N301</f>
        <v>20.2264222054298</v>
      </c>
      <c r="J301" s="110">
        <f>((C301+F301)*100)/B301</f>
        <v>75.5959897854932</v>
      </c>
      <c r="K301" s="110">
        <f>((D301+G301)*100)/B301</f>
        <v>6.18001715630165</v>
      </c>
      <c r="L301" s="110">
        <f>((E301+H301)*100)/B301</f>
        <v>18.2239930582051</v>
      </c>
      <c r="M301" s="111"/>
      <c r="N301" s="0">
        <f>O301+P301+Q301+R301+S301+T301</f>
        <v>883.456985497304</v>
      </c>
      <c r="O301" s="49">
        <v>84</v>
      </c>
      <c r="P301" s="49">
        <v>100</v>
      </c>
      <c r="Q301" s="49">
        <v>54</v>
      </c>
      <c r="R301" s="49">
        <v>231.731492166283</v>
      </c>
      <c r="S301" s="49">
        <v>249.81785253048</v>
      </c>
      <c r="T301" s="49">
        <v>163.907640800541</v>
      </c>
      <c r="U301" s="49">
        <v>69</v>
      </c>
      <c r="V301" s="110">
        <f>((O301+R301)*100)/N301</f>
        <v>35.7381850332595</v>
      </c>
      <c r="W301" s="110">
        <f>((P301+S301)*100)/N301</f>
        <v>39.5964781843414</v>
      </c>
      <c r="X301" s="110">
        <f>((Q301+T301)*100)/N301</f>
        <v>24.6653367823991</v>
      </c>
    </row>
    <row r="302" spans="1:24" s="168" customFormat="1" ht="22.500000" customHeight="1">
      <c r="A302" s="34">
        <v>300</v>
      </c>
      <c r="B302" s="0">
        <f>C302+D302+E302+F302+G302+H302</f>
        <v>98.867888524306</v>
      </c>
      <c r="C302" s="49">
        <v>48</v>
      </c>
      <c r="D302" s="49">
        <v>0</v>
      </c>
      <c r="E302" s="49">
        <v>0</v>
      </c>
      <c r="F302" s="49">
        <v>46.3462984332566</v>
      </c>
      <c r="G302" s="49">
        <v>3.39119256828707</v>
      </c>
      <c r="H302" s="49">
        <v>1.13039752276235</v>
      </c>
      <c r="I302" s="78">
        <f>(100*B302)/N302</f>
        <v>18.260682159742</v>
      </c>
      <c r="J302" s="110">
        <f>((C302+F302)*100)/B302</f>
        <v>95.4266343111618</v>
      </c>
      <c r="K302" s="110">
        <f>((D302+G302)*100)/B302</f>
        <v>3.43002426662866</v>
      </c>
      <c r="L302" s="110">
        <f>((E302+H302)*100)/B302</f>
        <v>1.14334142220955</v>
      </c>
      <c r="M302" s="111"/>
      <c r="N302" s="0">
        <f>O302+P302+Q302+R302+S302+T302</f>
        <v>541.424946009262</v>
      </c>
      <c r="O302" s="49">
        <v>81</v>
      </c>
      <c r="P302" s="49">
        <v>105</v>
      </c>
      <c r="Q302" s="49">
        <v>57</v>
      </c>
      <c r="R302" s="49">
        <v>92.6925968665132</v>
      </c>
      <c r="S302" s="49">
        <v>108.518162185186</v>
      </c>
      <c r="T302" s="49">
        <v>97.2141869575626</v>
      </c>
      <c r="U302" s="49">
        <v>61</v>
      </c>
      <c r="V302" s="110">
        <f>((O302+R302)*100)/N302</f>
        <v>32.0806416746712</v>
      </c>
      <c r="W302" s="110">
        <f>((P302+S302)*100)/N302</f>
        <v>39.4363362381041</v>
      </c>
      <c r="X302" s="110">
        <f>((Q302+T302)*100)/N302</f>
        <v>28.4830220872247</v>
      </c>
    </row>
    <row r="303" spans="1:24" s="168" customFormat="1" ht="22.500000" customHeight="1">
      <c r="A303" s="34">
        <v>301</v>
      </c>
      <c r="B303" s="0">
        <f>C303+D303+E303+F303+G303+H303</f>
        <v>0</v>
      </c>
      <c r="C303" s="49">
        <v>0</v>
      </c>
      <c r="D303" s="49">
        <v>0</v>
      </c>
      <c r="E303" s="49">
        <v>0</v>
      </c>
      <c r="F303" s="49">
        <v>0</v>
      </c>
      <c r="G303" s="49">
        <v>0</v>
      </c>
      <c r="H303" s="49">
        <v>0</v>
      </c>
      <c r="I303" s="78">
        <f>(100*B303)/N303</f>
        <v>0</v>
      </c>
      <c r="J303" s="110" t="e">
        <f>((C303+F303)*100)/B303</f>
        <v>#DIV/0!</v>
      </c>
      <c r="K303" s="110" t="e">
        <f>((D303+G303)*100)/B303</f>
        <v>#DIV/0!</v>
      </c>
      <c r="L303" s="110" t="e">
        <f>((E303+H303)*100)/B303</f>
        <v>#DIV/0!</v>
      </c>
      <c r="M303" s="111"/>
      <c r="N303" s="0">
        <f>O303+P303+Q303+R303+S303+T303</f>
        <v>247</v>
      </c>
      <c r="O303" s="49">
        <v>83</v>
      </c>
      <c r="P303" s="49">
        <v>107</v>
      </c>
      <c r="Q303" s="49">
        <v>57</v>
      </c>
      <c r="R303" s="49">
        <v>0</v>
      </c>
      <c r="S303" s="49">
        <v>0</v>
      </c>
      <c r="T303" s="49">
        <v>0</v>
      </c>
      <c r="U303" s="49">
        <v>32</v>
      </c>
      <c r="V303" s="110">
        <f>((O303+R303)*100)/N303</f>
        <v>33.6032388663968</v>
      </c>
      <c r="W303" s="110">
        <f>((P303+S303)*100)/N303</f>
        <v>43.3198380566802</v>
      </c>
      <c r="X303" s="110">
        <f>((Q303+T303)*100)/N303</f>
        <v>23.0769230769231</v>
      </c>
    </row>
    <row r="304" spans="1:24" s="168" customFormat="1" ht="22.500000" customHeight="1">
      <c r="A304" s="34">
        <v>302</v>
      </c>
      <c r="B304" s="0">
        <f>C304+D304+E304+F304+G304+H304</f>
        <v>3.13039752276235</v>
      </c>
      <c r="C304" s="49">
        <v>1</v>
      </c>
      <c r="D304" s="49">
        <v>1</v>
      </c>
      <c r="E304" s="49">
        <v>0</v>
      </c>
      <c r="F304" s="49">
        <v>0</v>
      </c>
      <c r="G304" s="49">
        <v>1.13039752276235</v>
      </c>
      <c r="H304" s="49">
        <v>0</v>
      </c>
      <c r="I304" s="78">
        <f>(100*B304)/N304</f>
        <v>0.637340203455193</v>
      </c>
      <c r="J304" s="110">
        <f>((C304+F304)*100)/B304</f>
        <v>31.9448246661521</v>
      </c>
      <c r="K304" s="110">
        <f>((D304+G304)*100)/B304</f>
        <v>68.055175333848</v>
      </c>
      <c r="L304" s="110">
        <f>((E304+H304)*100)/B304</f>
        <v>0</v>
      </c>
      <c r="M304" s="111"/>
      <c r="N304" s="0">
        <f>O304+P304+Q304+R304+S304+T304</f>
        <v>491.165864916668</v>
      </c>
      <c r="O304" s="49">
        <v>83</v>
      </c>
      <c r="P304" s="49">
        <v>107</v>
      </c>
      <c r="Q304" s="49">
        <v>57</v>
      </c>
      <c r="R304" s="49">
        <v>81.3886216388896</v>
      </c>
      <c r="S304" s="49">
        <v>103.996572094136</v>
      </c>
      <c r="T304" s="49">
        <v>58.7806711836425</v>
      </c>
      <c r="U304" s="49">
        <v>47</v>
      </c>
      <c r="V304" s="110">
        <f>((O304+R304)*100)/N304</f>
        <v>33.4690648070138</v>
      </c>
      <c r="W304" s="110">
        <f>((P304+S304)*100)/N304</f>
        <v>42.958313507787</v>
      </c>
      <c r="X304" s="110">
        <f>((Q304+T304)*100)/N304</f>
        <v>23.5726216851992</v>
      </c>
    </row>
    <row r="305" spans="1:24" s="168" customFormat="1" ht="22.500000" customHeight="1">
      <c r="A305" s="34">
        <v>303</v>
      </c>
      <c r="B305" s="0">
        <f>C305+D305+E305+F305+G305+H305</f>
        <v>77.6070934787813</v>
      </c>
      <c r="C305" s="49">
        <v>16</v>
      </c>
      <c r="D305" s="49">
        <v>5</v>
      </c>
      <c r="E305" s="49">
        <v>8</v>
      </c>
      <c r="F305" s="49">
        <v>37.3031182511577</v>
      </c>
      <c r="G305" s="49">
        <v>10.1735777048612</v>
      </c>
      <c r="H305" s="49">
        <v>1.13039752276235</v>
      </c>
      <c r="I305" s="78">
        <f>(100*B305)/N305</f>
        <v>9.30029173761515</v>
      </c>
      <c r="J305" s="110">
        <f>((C305+F305)*100)/B305</f>
        <v>68.683306978545</v>
      </c>
      <c r="K305" s="110">
        <f>((D305+G305)*100)/B305</f>
        <v>19.5517922714241</v>
      </c>
      <c r="L305" s="110">
        <f>((E305+H305)*100)/B305</f>
        <v>11.7649007500309</v>
      </c>
      <c r="M305" s="111"/>
      <c r="N305" s="0">
        <f>O305+P305+Q305+R305+S305+T305</f>
        <v>834.458699450237</v>
      </c>
      <c r="O305" s="49">
        <v>76</v>
      </c>
      <c r="P305" s="49">
        <v>107</v>
      </c>
      <c r="Q305" s="49">
        <v>58</v>
      </c>
      <c r="R305" s="49">
        <v>224.949107029709</v>
      </c>
      <c r="S305" s="49">
        <v>250.948250053243</v>
      </c>
      <c r="T305" s="49">
        <v>117.561342367285</v>
      </c>
      <c r="U305" s="49">
        <v>72</v>
      </c>
      <c r="V305" s="110">
        <f>((O305+R305)*100)/N305</f>
        <v>36.0651889935334</v>
      </c>
      <c r="W305" s="110">
        <f>((P305+S305)*100)/N305</f>
        <v>42.8958617471504</v>
      </c>
      <c r="X305" s="110">
        <f>((Q305+T305)*100)/N305</f>
        <v>21.0389492593162</v>
      </c>
    </row>
    <row r="306" spans="1:24" s="168" customFormat="1" ht="22.500000" customHeight="1">
      <c r="A306" s="34">
        <v>304</v>
      </c>
      <c r="B306" s="0">
        <f>C306+D306+E306+F306+G306+H306</f>
        <v>114.911068706405</v>
      </c>
      <c r="C306" s="49">
        <v>42</v>
      </c>
      <c r="D306" s="49">
        <v>1</v>
      </c>
      <c r="E306" s="49">
        <v>12</v>
      </c>
      <c r="F306" s="49">
        <v>48.6070934787813</v>
      </c>
      <c r="G306" s="49">
        <v>0</v>
      </c>
      <c r="H306" s="49">
        <v>11.3039752276235</v>
      </c>
      <c r="I306" s="78">
        <f>(100*B306)/N306</f>
        <v>12.4800341793211</v>
      </c>
      <c r="J306" s="110">
        <f>((C306+F306)*100)/B306</f>
        <v>78.849752681598</v>
      </c>
      <c r="K306" s="110">
        <f>((D306+G306)*100)/B306</f>
        <v>0.870238186153309</v>
      </c>
      <c r="L306" s="110">
        <f>((E306+H306)*100)/B306</f>
        <v>20.2800091322487</v>
      </c>
      <c r="M306" s="111"/>
      <c r="N306" s="0">
        <f>O306+P306+Q306+R306+S306+T306</f>
        <v>920.759246771996</v>
      </c>
      <c r="O306" s="49">
        <v>70</v>
      </c>
      <c r="P306" s="49">
        <v>89</v>
      </c>
      <c r="Q306" s="49">
        <v>53</v>
      </c>
      <c r="R306" s="49">
        <v>233.992287211807</v>
      </c>
      <c r="S306" s="49">
        <v>296.164150963737</v>
      </c>
      <c r="T306" s="49">
        <v>178.602808596452</v>
      </c>
      <c r="U306" s="49">
        <v>63</v>
      </c>
      <c r="V306" s="110">
        <f>((O306+R306)*100)/N306</f>
        <v>33.0153933590724</v>
      </c>
      <c r="W306" s="110">
        <f>((P306+S306)*100)/N306</f>
        <v>41.8311466666284</v>
      </c>
      <c r="X306" s="110">
        <f>((Q306+T306)*100)/N306</f>
        <v>25.1534599742991</v>
      </c>
    </row>
    <row r="307" spans="1:24" s="168" customFormat="1" ht="22.500000" customHeight="1">
      <c r="A307" s="34">
        <v>305</v>
      </c>
      <c r="B307" s="0">
        <f>C307+D307+E307+F307+G307+H307</f>
        <v>48.21675788696</v>
      </c>
      <c r="C307" s="49">
        <v>24</v>
      </c>
      <c r="D307" s="49">
        <v>4</v>
      </c>
      <c r="E307" s="49">
        <v>1</v>
      </c>
      <c r="F307" s="49">
        <v>16.9559628414353</v>
      </c>
      <c r="G307" s="49">
        <v>2.26079504552471</v>
      </c>
      <c r="H307" s="49">
        <v>0</v>
      </c>
      <c r="I307" s="78">
        <f>(100*B307)/N307</f>
        <v>11.6492310427535</v>
      </c>
      <c r="J307" s="110">
        <f>((C307+F307)*100)/B307</f>
        <v>84.9413453667976</v>
      </c>
      <c r="K307" s="110">
        <f>((D307+G307)*100)/B307</f>
        <v>12.9846869011861</v>
      </c>
      <c r="L307" s="110">
        <f>((E307+H307)*100)/B307</f>
        <v>2.07396773201635</v>
      </c>
      <c r="M307" s="111"/>
      <c r="N307" s="0">
        <f>O307+P307+Q307+R307+S307+T307</f>
        <v>413.905069871144</v>
      </c>
      <c r="O307" s="49">
        <v>55</v>
      </c>
      <c r="P307" s="49">
        <v>71</v>
      </c>
      <c r="Q307" s="49">
        <v>46</v>
      </c>
      <c r="R307" s="49">
        <v>49.7374910015437</v>
      </c>
      <c r="S307" s="49">
        <v>103.996572094136</v>
      </c>
      <c r="T307" s="49">
        <v>88.1710067754638</v>
      </c>
      <c r="U307" s="49">
        <v>51</v>
      </c>
      <c r="V307" s="110">
        <f>((O307+R307)*100)/N307</f>
        <v>25.3047132363347</v>
      </c>
      <c r="W307" s="110">
        <f>((P307+S307)*100)/N307</f>
        <v>42.2793980630911</v>
      </c>
      <c r="X307" s="110">
        <f>((Q307+T307)*100)/N307</f>
        <v>32.4158887005742</v>
      </c>
    </row>
    <row r="308" spans="1:24" s="168" customFormat="1" ht="22.500000" customHeight="1">
      <c r="A308" s="34">
        <v>306</v>
      </c>
      <c r="B308" s="0">
        <f>C308+D308+E308+F308+G308+H308</f>
        <v>76.3462984332566</v>
      </c>
      <c r="C308" s="49">
        <v>21</v>
      </c>
      <c r="D308" s="49">
        <v>2</v>
      </c>
      <c r="E308" s="49">
        <v>7</v>
      </c>
      <c r="F308" s="49">
        <v>37.3031182511577</v>
      </c>
      <c r="G308" s="49">
        <v>3.39119256828707</v>
      </c>
      <c r="H308" s="49">
        <v>5.65198761381178</v>
      </c>
      <c r="I308" s="78">
        <f>(100*B308)/N308</f>
        <v>14.682319224912</v>
      </c>
      <c r="J308" s="110">
        <f>((C308+F308)*100)/B308</f>
        <v>76.3666601362834</v>
      </c>
      <c r="K308" s="110">
        <f>((D308+G308)*100)/B308</f>
        <v>7.06149830302534</v>
      </c>
      <c r="L308" s="110">
        <f>((E308+H308)*100)/B308</f>
        <v>16.5718415606912</v>
      </c>
      <c r="M308" s="111"/>
      <c r="N308" s="0">
        <f>O308+P308+Q308+R308+S308+T308</f>
        <v>519.988002329478</v>
      </c>
      <c r="O308" s="49">
        <v>44</v>
      </c>
      <c r="P308" s="49">
        <v>70</v>
      </c>
      <c r="Q308" s="49">
        <v>42</v>
      </c>
      <c r="R308" s="49">
        <v>137.908497777007</v>
      </c>
      <c r="S308" s="49">
        <v>132.256510163195</v>
      </c>
      <c r="T308" s="49">
        <v>93.8229943892756</v>
      </c>
      <c r="U308" s="49">
        <v>68</v>
      </c>
      <c r="V308" s="110">
        <f>((O308+R308)*100)/N308</f>
        <v>34.9832105667979</v>
      </c>
      <c r="W308" s="110">
        <f>((P308+S308)*100)/N308</f>
        <v>38.8963801582176</v>
      </c>
      <c r="X308" s="110">
        <f>((Q308+T308)*100)/N308</f>
        <v>26.1204092749845</v>
      </c>
    </row>
    <row r="309" spans="1:24" s="168" customFormat="1" ht="22.500000" customHeight="1">
      <c r="A309" s="34">
        <v>307</v>
      </c>
      <c r="B309" s="0">
        <f>C309+D309+E309+F309+G309+H309</f>
        <v>167.170149798998</v>
      </c>
      <c r="C309" s="49">
        <v>24</v>
      </c>
      <c r="D309" s="49">
        <v>4</v>
      </c>
      <c r="E309" s="49">
        <v>25</v>
      </c>
      <c r="F309" s="49">
        <v>50.867888524306</v>
      </c>
      <c r="G309" s="49">
        <v>16.9559628414353</v>
      </c>
      <c r="H309" s="49">
        <v>46.3462984332566</v>
      </c>
      <c r="I309" s="78">
        <f>(100*B309)/N309</f>
        <v>13.0445706087391</v>
      </c>
      <c r="J309" s="110">
        <f>((C309+F309)*100)/B309</f>
        <v>44.7854408303909</v>
      </c>
      <c r="K309" s="110">
        <f>((D309+G309)*100)/B309</f>
        <v>12.5357085978761</v>
      </c>
      <c r="L309" s="110">
        <f>((E309+H309)*100)/B309</f>
        <v>42.6788505717331</v>
      </c>
      <c r="M309" s="111"/>
      <c r="N309" s="0">
        <f>O309+P309+Q309+R309+S309+T309</f>
        <v>1281.53049121452</v>
      </c>
      <c r="O309" s="49">
        <v>81</v>
      </c>
      <c r="P309" s="49">
        <v>95</v>
      </c>
      <c r="Q309" s="49">
        <v>52</v>
      </c>
      <c r="R309" s="49">
        <v>300.685741054786</v>
      </c>
      <c r="S309" s="49">
        <v>418.247083422072</v>
      </c>
      <c r="T309" s="49">
        <v>334.597666737657</v>
      </c>
      <c r="U309" s="49">
        <v>69</v>
      </c>
      <c r="V309" s="110">
        <f>((O309+R309)*100)/N309</f>
        <v>29.783586397001</v>
      </c>
      <c r="W309" s="110">
        <f>((P309+S309)*100)/N309</f>
        <v>40.049541305542</v>
      </c>
      <c r="X309" s="110">
        <f>((Q309+T309)*100)/N309</f>
        <v>30.1668722974571</v>
      </c>
    </row>
    <row r="310" spans="1:24" s="168" customFormat="1" ht="22.500000" customHeight="1">
      <c r="A310" s="34">
        <v>308</v>
      </c>
      <c r="B310" s="0">
        <f>C310+D310+E310+F310+G310+H310</f>
        <v>12.2607950455247</v>
      </c>
      <c r="C310" s="49">
        <v>10</v>
      </c>
      <c r="D310" s="49">
        <v>0</v>
      </c>
      <c r="E310" s="49">
        <v>0</v>
      </c>
      <c r="F310" s="49">
        <v>2.26079504552471</v>
      </c>
      <c r="G310" s="49">
        <v>0</v>
      </c>
      <c r="H310" s="49">
        <v>0</v>
      </c>
      <c r="I310" s="78">
        <f>(100*B310)/N310</f>
        <v>4.55058273292647</v>
      </c>
      <c r="J310" s="110">
        <f>((C310+F310)*100)/B310</f>
        <v>100</v>
      </c>
      <c r="K310" s="110">
        <f>((D310+G310)*100)/B310</f>
        <v>0</v>
      </c>
      <c r="L310" s="110">
        <f>((E310+H310)*100)/B310</f>
        <v>0</v>
      </c>
      <c r="M310" s="111"/>
      <c r="N310" s="0">
        <f>O310+P310+Q310+R310+S310+T310</f>
        <v>269.43351577392</v>
      </c>
      <c r="O310" s="49">
        <v>84</v>
      </c>
      <c r="P310" s="49">
        <v>95</v>
      </c>
      <c r="Q310" s="49">
        <v>52</v>
      </c>
      <c r="R310" s="49">
        <v>16.9559628414353</v>
      </c>
      <c r="S310" s="49">
        <v>16.9559628414353</v>
      </c>
      <c r="T310" s="49">
        <v>4.52159009104942</v>
      </c>
      <c r="U310" s="49">
        <v>37</v>
      </c>
      <c r="V310" s="110">
        <f>((O310+R310)*100)/N310</f>
        <v>37.4697121668215</v>
      </c>
      <c r="W310" s="110">
        <f>((P310+S310)*100)/N310</f>
        <v>41.5523519855551</v>
      </c>
      <c r="X310" s="110">
        <f>((Q310+T310)*100)/N310</f>
        <v>20.9779358476235</v>
      </c>
    </row>
    <row r="311" spans="1:24" s="168" customFormat="1" ht="22.500000" customHeight="1">
      <c r="A311" s="34">
        <v>309</v>
      </c>
      <c r="B311" s="0">
        <f>C311+D311+E311+F311+G311+H311</f>
        <v>65.6079504552471</v>
      </c>
      <c r="C311" s="49">
        <v>40</v>
      </c>
      <c r="D311" s="49">
        <v>1</v>
      </c>
      <c r="E311" s="49">
        <v>2</v>
      </c>
      <c r="F311" s="49">
        <v>16.9559628414353</v>
      </c>
      <c r="G311" s="49">
        <v>3.39119256828707</v>
      </c>
      <c r="H311" s="49">
        <v>2.26079504552471</v>
      </c>
      <c r="I311" s="78">
        <f>(100*B311)/N311</f>
        <v>14.6462956227962</v>
      </c>
      <c r="J311" s="110">
        <f>((C311+F311)*100)/B311</f>
        <v>86.8125927516765</v>
      </c>
      <c r="K311" s="110">
        <f>((D311+G311)*100)/B311</f>
        <v>6.69307993591786</v>
      </c>
      <c r="L311" s="110">
        <f>((E311+H311)*100)/B311</f>
        <v>6.4943273124057</v>
      </c>
      <c r="M311" s="111"/>
      <c r="N311" s="0">
        <f>O311+P311+Q311+R311+S311+T311</f>
        <v>447.949107029709</v>
      </c>
      <c r="O311" s="49">
        <v>74</v>
      </c>
      <c r="P311" s="49">
        <v>95</v>
      </c>
      <c r="Q311" s="49">
        <v>54</v>
      </c>
      <c r="R311" s="49">
        <v>55.3894786153554</v>
      </c>
      <c r="S311" s="49">
        <v>111.909354753473</v>
      </c>
      <c r="T311" s="49">
        <v>57.6502736608802</v>
      </c>
      <c r="U311" s="49">
        <v>55</v>
      </c>
      <c r="V311" s="110">
        <f>((O311+R311)*100)/N311</f>
        <v>28.8848613793027</v>
      </c>
      <c r="W311" s="110">
        <f>((P311+S311)*100)/N311</f>
        <v>46.1903710726117</v>
      </c>
      <c r="X311" s="110">
        <f>((Q311+T311)*100)/N311</f>
        <v>24.9247675480856</v>
      </c>
    </row>
    <row r="312" spans="1:24" s="168" customFormat="1" ht="22.500000" customHeight="1">
      <c r="A312" s="34">
        <v>310</v>
      </c>
      <c r="B312" s="0">
        <f>C312+D312+E312+F312+G312+H312</f>
        <v>23.2607950455247</v>
      </c>
      <c r="C312" s="49">
        <v>21</v>
      </c>
      <c r="D312" s="49">
        <v>0</v>
      </c>
      <c r="E312" s="49">
        <v>0</v>
      </c>
      <c r="F312" s="49">
        <v>2.26079504552471</v>
      </c>
      <c r="G312" s="49">
        <v>0</v>
      </c>
      <c r="H312" s="49">
        <v>0</v>
      </c>
      <c r="I312" s="78">
        <f>(100*B312)/N312</f>
        <v>4.91374968887533</v>
      </c>
      <c r="J312" s="110">
        <f>((C312+F312)*100)/B312</f>
        <v>100</v>
      </c>
      <c r="K312" s="110">
        <f>((D312+G312)*100)/B312</f>
        <v>0</v>
      </c>
      <c r="L312" s="110">
        <f>((E312+H312)*100)/B312</f>
        <v>0</v>
      </c>
      <c r="M312" s="111"/>
      <c r="N312" s="0">
        <f>O312+P312+Q312+R312+S312+T312</f>
        <v>473.381765827162</v>
      </c>
      <c r="O312" s="49">
        <v>55</v>
      </c>
      <c r="P312" s="49">
        <v>84</v>
      </c>
      <c r="Q312" s="49">
        <v>45</v>
      </c>
      <c r="R312" s="49">
        <v>107.387764662423</v>
      </c>
      <c r="S312" s="49">
        <v>111.909354753473</v>
      </c>
      <c r="T312" s="49">
        <v>70.0846464112661</v>
      </c>
      <c r="U312" s="49">
        <v>55</v>
      </c>
      <c r="V312" s="110">
        <f>((O312+R312)*100)/N312</f>
        <v>34.3037641888625</v>
      </c>
      <c r="W312" s="110">
        <f>((P312+S312)*100)/N312</f>
        <v>41.3850656903</v>
      </c>
      <c r="X312" s="110">
        <f>((Q312+T312)*100)/N312</f>
        <v>24.3111701208375</v>
      </c>
    </row>
    <row r="313" spans="1:24" s="168" customFormat="1" ht="22.500000" customHeight="1">
      <c r="A313" s="34">
        <v>311</v>
      </c>
      <c r="B313" s="0">
        <f>C313+D313+E313+F313+G313+H313</f>
        <v>24.2607950455247</v>
      </c>
      <c r="C313" s="49">
        <v>14</v>
      </c>
      <c r="D313" s="49">
        <v>6</v>
      </c>
      <c r="E313" s="49">
        <v>2</v>
      </c>
      <c r="F313" s="49">
        <v>2.26079504552471</v>
      </c>
      <c r="G313" s="49">
        <v>0</v>
      </c>
      <c r="H313" s="49">
        <v>0</v>
      </c>
      <c r="I313" s="78">
        <f>(100*B313)/N313</f>
        <v>3.44558134222073</v>
      </c>
      <c r="J313" s="110">
        <f>((C313+F313)*100)/B313</f>
        <v>67.0249883196811</v>
      </c>
      <c r="K313" s="110">
        <f>((D313+G313)*100)/B313</f>
        <v>24.7312587602392</v>
      </c>
      <c r="L313" s="110">
        <f>((E313+H313)*100)/B313</f>
        <v>8.24375292007972</v>
      </c>
      <c r="M313" s="111"/>
      <c r="N313" s="0">
        <f>O313+P313+Q313+R313+S313+T313</f>
        <v>704.113257993446</v>
      </c>
      <c r="O313" s="49">
        <v>59</v>
      </c>
      <c r="P313" s="49">
        <v>80</v>
      </c>
      <c r="Q313" s="49">
        <v>44</v>
      </c>
      <c r="R313" s="49">
        <v>193.297976392363</v>
      </c>
      <c r="S313" s="49">
        <v>215.90592684761</v>
      </c>
      <c r="T313" s="49">
        <v>111.909354753473</v>
      </c>
      <c r="U313" s="49">
        <v>58</v>
      </c>
      <c r="V313" s="110">
        <f>((O313+R313)*100)/N313</f>
        <v>35.8320161604898</v>
      </c>
      <c r="W313" s="110">
        <f>((P313+S313)*100)/N313</f>
        <v>42.0253309376493</v>
      </c>
      <c r="X313" s="110">
        <f>((Q313+T313)*100)/N313</f>
        <v>22.1426529018609</v>
      </c>
    </row>
    <row r="314" spans="1:24" s="168" customFormat="1" ht="22.500000" customHeight="1">
      <c r="A314" s="34">
        <v>312</v>
      </c>
      <c r="B314" s="0">
        <f>C314+D314+E314+F314+G314+H314</f>
        <v>35.7823851365741</v>
      </c>
      <c r="C314" s="49">
        <v>29</v>
      </c>
      <c r="D314" s="49">
        <v>0</v>
      </c>
      <c r="E314" s="49">
        <v>0</v>
      </c>
      <c r="F314" s="49">
        <v>6.78238513657414</v>
      </c>
      <c r="G314" s="49">
        <v>0</v>
      </c>
      <c r="H314" s="49">
        <v>0</v>
      </c>
      <c r="I314" s="78">
        <f>(100*B314)/N314</f>
        <v>8.26897432877112</v>
      </c>
      <c r="J314" s="110">
        <f>((C314+F314)*100)/B314</f>
        <v>100</v>
      </c>
      <c r="K314" s="110">
        <f>((D314+G314)*100)/B314</f>
        <v>0</v>
      </c>
      <c r="L314" s="110">
        <f>((E314+H314)*100)/B314</f>
        <v>0</v>
      </c>
      <c r="M314" s="111"/>
      <c r="N314" s="0">
        <f>O314+P314+Q314+R314+S314+T314</f>
        <v>432.730635189816</v>
      </c>
      <c r="O314" s="49">
        <v>52</v>
      </c>
      <c r="P314" s="49">
        <v>79</v>
      </c>
      <c r="Q314" s="49">
        <v>44</v>
      </c>
      <c r="R314" s="49">
        <v>57.6502736608802</v>
      </c>
      <c r="S314" s="49">
        <v>107.387764662423</v>
      </c>
      <c r="T314" s="49">
        <v>92.6925968665132</v>
      </c>
      <c r="U314" s="49">
        <v>44</v>
      </c>
      <c r="V314" s="110">
        <f>((O314+R314)*100)/N314</f>
        <v>25.3391520599835</v>
      </c>
      <c r="W314" s="110">
        <f>((P314+S314)*100)/N314</f>
        <v>43.072468067962</v>
      </c>
      <c r="X314" s="110">
        <f>((Q314+T314)*100)/N314</f>
        <v>31.5883798720544</v>
      </c>
    </row>
    <row r="315" spans="1:24" s="168" customFormat="1" ht="22.500000" customHeight="1">
      <c r="A315" s="34">
        <v>313</v>
      </c>
      <c r="B315" s="0">
        <f>C315+D315+E315+F315+G315+H315</f>
        <v>35.9559628414353</v>
      </c>
      <c r="C315" s="49">
        <v>15</v>
      </c>
      <c r="D315" s="49">
        <v>1</v>
      </c>
      <c r="E315" s="49">
        <v>3</v>
      </c>
      <c r="F315" s="49">
        <v>15.8255653186729</v>
      </c>
      <c r="G315" s="49">
        <v>1.13039752276235</v>
      </c>
      <c r="H315" s="49">
        <v>0</v>
      </c>
      <c r="I315" s="78">
        <f>(100*B315)/N315</f>
        <v>5.98283435218567</v>
      </c>
      <c r="J315" s="110">
        <f>((C315+F315)*100)/B315</f>
        <v>85.731441693309</v>
      </c>
      <c r="K315" s="110">
        <f>((D315+G315)*100)/B315</f>
        <v>5.92501870178624</v>
      </c>
      <c r="L315" s="110">
        <f>((E315+H315)*100)/B315</f>
        <v>8.34353960490479</v>
      </c>
      <c r="M315" s="111"/>
      <c r="N315" s="0">
        <f>O315+P315+Q315+R315+S315+T315</f>
        <v>600.98543140008</v>
      </c>
      <c r="O315" s="49">
        <v>40</v>
      </c>
      <c r="P315" s="49">
        <v>77</v>
      </c>
      <c r="Q315" s="49">
        <v>42</v>
      </c>
      <c r="R315" s="49">
        <v>122.082932458334</v>
      </c>
      <c r="S315" s="49">
        <v>221.557914461421</v>
      </c>
      <c r="T315" s="49">
        <v>98.344584480325</v>
      </c>
      <c r="U315" s="49">
        <v>57</v>
      </c>
      <c r="V315" s="110">
        <f>((O315+R315)*100)/N315</f>
        <v>26.9695277106367</v>
      </c>
      <c r="W315" s="110">
        <f>((P315+S315)*100)/N315</f>
        <v>49.6780618734615</v>
      </c>
      <c r="X315" s="110">
        <f>((Q315+T315)*100)/N315</f>
        <v>23.3524104159019</v>
      </c>
    </row>
    <row r="316" spans="1:24" s="168" customFormat="1" ht="22.500000" customHeight="1">
      <c r="A316" s="34">
        <v>314</v>
      </c>
      <c r="B316" s="0">
        <f>C316+D316+E316+F316+G316+H316</f>
        <v>19.9127826593365</v>
      </c>
      <c r="C316" s="49">
        <v>1</v>
      </c>
      <c r="D316" s="49">
        <v>7</v>
      </c>
      <c r="E316" s="49">
        <v>4</v>
      </c>
      <c r="F316" s="49">
        <v>0</v>
      </c>
      <c r="G316" s="49">
        <v>5.65198761381178</v>
      </c>
      <c r="H316" s="49">
        <v>2.26079504552471</v>
      </c>
      <c r="I316" s="78">
        <f>(100*B316)/N316</f>
        <v>4.45572457571359</v>
      </c>
      <c r="J316" s="110">
        <f>((C316+F316)*100)/B316</f>
        <v>5.02189983744502</v>
      </c>
      <c r="K316" s="110">
        <f>((D316+G316)*100)/B316</f>
        <v>63.5370145411578</v>
      </c>
      <c r="L316" s="110">
        <f>((E316+H316)*100)/B316</f>
        <v>31.4410856213972</v>
      </c>
      <c r="M316" s="111"/>
      <c r="N316" s="0">
        <f>O316+P316+Q316+R316+S316+T316</f>
        <v>446.903355918211</v>
      </c>
      <c r="O316" s="49">
        <v>41</v>
      </c>
      <c r="P316" s="49">
        <v>71</v>
      </c>
      <c r="Q316" s="49">
        <v>41</v>
      </c>
      <c r="R316" s="49">
        <v>113.039752276235</v>
      </c>
      <c r="S316" s="49">
        <v>123.213329981096</v>
      </c>
      <c r="T316" s="49">
        <v>57.6502736608802</v>
      </c>
      <c r="U316" s="49">
        <v>58</v>
      </c>
      <c r="V316" s="110">
        <f>((O316+R316)*100)/N316</f>
        <v>34.4682469344504</v>
      </c>
      <c r="W316" s="110">
        <f>((P316+S316)*100)/N316</f>
        <v>43.4575680422144</v>
      </c>
      <c r="X316" s="110">
        <f>((Q316+T316)*100)/N316</f>
        <v>22.0741850233352</v>
      </c>
    </row>
    <row r="317" spans="1:24" s="168" customFormat="1" ht="22.500000" customHeight="1">
      <c r="A317" s="34">
        <v>315</v>
      </c>
      <c r="B317" s="0">
        <f>C317+D317+E317+F317+G317+H317</f>
        <v>99.9982860470684</v>
      </c>
      <c r="C317" s="49">
        <v>44</v>
      </c>
      <c r="D317" s="49">
        <v>2</v>
      </c>
      <c r="E317" s="49">
        <v>2</v>
      </c>
      <c r="F317" s="49">
        <v>44.0855033877319</v>
      </c>
      <c r="G317" s="49">
        <v>5.65198761381178</v>
      </c>
      <c r="H317" s="49">
        <v>2.26079504552471</v>
      </c>
      <c r="I317" s="78">
        <f>(100*B317)/N317</f>
        <v>24.8783451183727</v>
      </c>
      <c r="J317" s="110">
        <f>((C317+F317)*100)/B317</f>
        <v>88.0870131576763</v>
      </c>
      <c r="K317" s="110">
        <f>((D317+G317)*100)/B317</f>
        <v>7.65211876752573</v>
      </c>
      <c r="L317" s="110">
        <f>((E317+H317)*100)/B317</f>
        <v>4.26086807479799</v>
      </c>
      <c r="M317" s="111"/>
      <c r="N317" s="0">
        <f>O317+P317+Q317+R317+S317+T317</f>
        <v>401.949107029709</v>
      </c>
      <c r="O317" s="49">
        <v>62</v>
      </c>
      <c r="P317" s="49">
        <v>72</v>
      </c>
      <c r="Q317" s="49">
        <v>43</v>
      </c>
      <c r="R317" s="49">
        <v>89.3014042982261</v>
      </c>
      <c r="S317" s="49">
        <v>79.1278265933649</v>
      </c>
      <c r="T317" s="49">
        <v>56.5198761381178</v>
      </c>
      <c r="U317" s="49">
        <v>59</v>
      </c>
      <c r="V317" s="110">
        <f>((O317+R317)*100)/N317</f>
        <v>37.6419306952318</v>
      </c>
      <c r="W317" s="110">
        <f>((P317+S317)*100)/N317</f>
        <v>37.5987466946144</v>
      </c>
      <c r="X317" s="110">
        <f>((Q317+T317)*100)/N317</f>
        <v>24.7593226101538</v>
      </c>
    </row>
    <row r="318" spans="1:24" s="168" customFormat="1" ht="22.500000" customHeight="1">
      <c r="A318" s="34">
        <v>316</v>
      </c>
      <c r="B318" s="0">
        <f>C318+D318+E318+F318+G318+H318</f>
        <v>124.127826593365</v>
      </c>
      <c r="C318" s="49">
        <v>40</v>
      </c>
      <c r="D318" s="49">
        <v>1</v>
      </c>
      <c r="E318" s="49">
        <v>4</v>
      </c>
      <c r="F318" s="49">
        <v>73.4758389795531</v>
      </c>
      <c r="G318" s="49">
        <v>3.39119256828707</v>
      </c>
      <c r="H318" s="49">
        <v>2.26079504552471</v>
      </c>
      <c r="I318" s="78">
        <f>(100*B318)/N318</f>
        <v>13.3187914830164</v>
      </c>
      <c r="J318" s="110">
        <f>((C318+F318)*100)/B318</f>
        <v>91.4185336953437</v>
      </c>
      <c r="K318" s="110">
        <f>((D318+G318)*100)/B318</f>
        <v>3.53763752157874</v>
      </c>
      <c r="L318" s="110">
        <f>((E318+H318)*100)/B318</f>
        <v>5.04382878307754</v>
      </c>
      <c r="M318" s="111"/>
      <c r="N318" s="0">
        <f>O318+P318+Q318+R318+S318+T318</f>
        <v>931.97514768249</v>
      </c>
      <c r="O318" s="49">
        <v>70</v>
      </c>
      <c r="P318" s="49">
        <v>65</v>
      </c>
      <c r="Q318" s="49">
        <v>43</v>
      </c>
      <c r="R318" s="49">
        <v>231.731492166283</v>
      </c>
      <c r="S318" s="49">
        <v>300.685741054786</v>
      </c>
      <c r="T318" s="49">
        <v>221.557914461421</v>
      </c>
      <c r="U318" s="49">
        <v>59</v>
      </c>
      <c r="V318" s="110">
        <f>((O318+R318)*100)/N318</f>
        <v>32.3754869340227</v>
      </c>
      <c r="W318" s="110">
        <f>((P318+S318)*100)/N318</f>
        <v>39.2377137914164</v>
      </c>
      <c r="X318" s="110">
        <f>((Q318+T318)*100)/N318</f>
        <v>28.3867992745609</v>
      </c>
    </row>
    <row r="319" spans="1:24" s="168" customFormat="1" ht="22.500000" customHeight="1">
      <c r="A319" s="34">
        <v>317</v>
      </c>
      <c r="B319" s="0">
        <f>C319+D319+E319+F319+G319+H319</f>
        <v>49.9559628414353</v>
      </c>
      <c r="C319" s="49">
        <v>30</v>
      </c>
      <c r="D319" s="49">
        <v>2</v>
      </c>
      <c r="E319" s="49">
        <v>1</v>
      </c>
      <c r="F319" s="49">
        <v>11.3039752276235</v>
      </c>
      <c r="G319" s="49">
        <v>3.39119256828707</v>
      </c>
      <c r="H319" s="49">
        <v>2.26079504552471</v>
      </c>
      <c r="I319" s="78">
        <f>(100*B319)/N319</f>
        <v>14.232711292974</v>
      </c>
      <c r="J319" s="110">
        <f>((C319+F319)*100)/B319</f>
        <v>82.6807709796847</v>
      </c>
      <c r="K319" s="110">
        <f>((D319+G319)*100)/B319</f>
        <v>10.7918900200146</v>
      </c>
      <c r="L319" s="110">
        <f>((E319+H319)*100)/B319</f>
        <v>6.52733900030066</v>
      </c>
      <c r="M319" s="111"/>
      <c r="N319" s="0">
        <f>O319+P319+Q319+R319+S319+T319</f>
        <v>350.994001164739</v>
      </c>
      <c r="O319" s="49">
        <v>57</v>
      </c>
      <c r="P319" s="49">
        <v>69</v>
      </c>
      <c r="Q319" s="49">
        <v>43</v>
      </c>
      <c r="R319" s="49">
        <v>22.6079504552471</v>
      </c>
      <c r="S319" s="49">
        <v>74.6062365023155</v>
      </c>
      <c r="T319" s="49">
        <v>84.7798142071767</v>
      </c>
      <c r="U319" s="49">
        <v>35</v>
      </c>
      <c r="V319" s="110">
        <f>((O319+R319)*100)/N319</f>
        <v>22.6807153943019</v>
      </c>
      <c r="W319" s="110">
        <f>((P319+S319)*100)/N319</f>
        <v>40.9141569444983</v>
      </c>
      <c r="X319" s="110">
        <f>((Q319+T319)*100)/N319</f>
        <v>36.4051276611999</v>
      </c>
    </row>
    <row r="320" spans="1:24" s="168" customFormat="1" ht="22.500000" customHeight="1">
      <c r="A320" s="34">
        <v>318</v>
      </c>
      <c r="B320" s="0">
        <f>C320+D320+E320+F320+G320+H320</f>
        <v>111.563056320217</v>
      </c>
      <c r="C320" s="49">
        <v>30</v>
      </c>
      <c r="D320" s="49">
        <v>5</v>
      </c>
      <c r="E320" s="49">
        <v>11</v>
      </c>
      <c r="F320" s="49">
        <v>56.5198761381178</v>
      </c>
      <c r="G320" s="49">
        <v>1.13039752276235</v>
      </c>
      <c r="H320" s="49">
        <v>7.91278265933649</v>
      </c>
      <c r="I320" s="78">
        <f>(100*B320)/N320</f>
        <v>13.0566160855262</v>
      </c>
      <c r="J320" s="110">
        <f>((C320+F320)*100)/B320</f>
        <v>77.5524434269549</v>
      </c>
      <c r="K320" s="110">
        <f>((D320+G320)*100)/B320</f>
        <v>5.49500679254109</v>
      </c>
      <c r="L320" s="110">
        <f>((E320+H320)*100)/B320</f>
        <v>16.952549780504</v>
      </c>
      <c r="M320" s="111"/>
      <c r="N320" s="0">
        <f>O320+P320+Q320+R320+S320+T320</f>
        <v>854.456128520839</v>
      </c>
      <c r="O320" s="49">
        <v>69</v>
      </c>
      <c r="P320" s="49">
        <v>69</v>
      </c>
      <c r="Q320" s="49">
        <v>45</v>
      </c>
      <c r="R320" s="49">
        <v>213.645131802085</v>
      </c>
      <c r="S320" s="49">
        <v>270.165007940203</v>
      </c>
      <c r="T320" s="49">
        <v>187.645988778551</v>
      </c>
      <c r="U320" s="49">
        <v>59</v>
      </c>
      <c r="V320" s="110">
        <f>((O320+R320)*100)/N320</f>
        <v>33.0789519049241</v>
      </c>
      <c r="W320" s="110">
        <f>((P320+S320)*100)/N320</f>
        <v>39.6936714032745</v>
      </c>
      <c r="X320" s="110">
        <f>((Q320+T320)*100)/N320</f>
        <v>27.2273766918013</v>
      </c>
    </row>
    <row r="321" spans="1:24" s="168" customFormat="1" ht="22.500000" customHeight="1">
      <c r="A321" s="34">
        <v>319</v>
      </c>
      <c r="B321" s="0">
        <f>C321+D321+E321+F321+G321+H321</f>
        <v>43.1735777048612</v>
      </c>
      <c r="C321" s="49">
        <v>28</v>
      </c>
      <c r="D321" s="49">
        <v>3</v>
      </c>
      <c r="E321" s="49">
        <v>2</v>
      </c>
      <c r="F321" s="49">
        <v>9.04318018209885</v>
      </c>
      <c r="G321" s="49">
        <v>0</v>
      </c>
      <c r="H321" s="49">
        <v>1.13039752276235</v>
      </c>
      <c r="I321" s="78">
        <f>(100*B321)/N321</f>
        <v>13.0059826690136</v>
      </c>
      <c r="J321" s="110">
        <f>((C321+F321)*100)/B321</f>
        <v>85.8005802422251</v>
      </c>
      <c r="K321" s="110">
        <f>((D321+G321)*100)/B321</f>
        <v>6.9486944549935</v>
      </c>
      <c r="L321" s="110">
        <f>((E321+H321)*100)/B321</f>
        <v>7.25072530278138</v>
      </c>
      <c r="M321" s="111"/>
      <c r="N321" s="0">
        <f>O321+P321+Q321+R321+S321+T321</f>
        <v>331.951677959106</v>
      </c>
      <c r="O321" s="49">
        <v>68</v>
      </c>
      <c r="P321" s="49">
        <v>69</v>
      </c>
      <c r="Q321" s="49">
        <v>48</v>
      </c>
      <c r="R321" s="49">
        <v>42.9551058649695</v>
      </c>
      <c r="S321" s="49">
        <v>57.6502736608802</v>
      </c>
      <c r="T321" s="49">
        <v>46.3462984332566</v>
      </c>
      <c r="U321" s="49">
        <v>50</v>
      </c>
      <c r="V321" s="110">
        <f>((O321+R321)*100)/N321</f>
        <v>33.4250775736818</v>
      </c>
      <c r="W321" s="110">
        <f>((P321+S321)*100)/N321</f>
        <v>38.1532259272033</v>
      </c>
      <c r="X321" s="110">
        <f>((Q321+T321)*100)/N321</f>
        <v>28.4216964991149</v>
      </c>
    </row>
    <row r="322" spans="1:24" s="168" customFormat="1" ht="22.500000" customHeight="1">
      <c r="A322" s="34">
        <v>320</v>
      </c>
      <c r="B322" s="0">
        <f>C322+D322+E322+F322+G322+H322</f>
        <v>41.9127826593365</v>
      </c>
      <c r="C322" s="49">
        <v>34</v>
      </c>
      <c r="D322" s="49">
        <v>0</v>
      </c>
      <c r="E322" s="49">
        <v>0</v>
      </c>
      <c r="F322" s="49">
        <v>6.78238513657414</v>
      </c>
      <c r="G322" s="49">
        <v>1.13039752276235</v>
      </c>
      <c r="H322" s="49">
        <v>0</v>
      </c>
      <c r="I322" s="78">
        <f>(100*B322)/N322</f>
        <v>13.7322910050922</v>
      </c>
      <c r="J322" s="110">
        <f>((C322+F322)*100)/B322</f>
        <v>97.3029766790954</v>
      </c>
      <c r="K322" s="110">
        <f>((D322+G322)*100)/B322</f>
        <v>2.69702332090457</v>
      </c>
      <c r="L322" s="110">
        <f>((E322+H322)*100)/B322</f>
        <v>0</v>
      </c>
      <c r="M322" s="111"/>
      <c r="N322" s="0">
        <f>O322+P322+Q322+R322+S322+T322</f>
        <v>305.213329981097</v>
      </c>
      <c r="O322" s="49">
        <v>65</v>
      </c>
      <c r="P322" s="49">
        <v>69</v>
      </c>
      <c r="Q322" s="49">
        <v>48</v>
      </c>
      <c r="R322" s="49">
        <v>20.3471554097224</v>
      </c>
      <c r="S322" s="49">
        <v>57.6502736608802</v>
      </c>
      <c r="T322" s="49">
        <v>45.2159009104942</v>
      </c>
      <c r="U322" s="49">
        <v>44</v>
      </c>
      <c r="V322" s="110">
        <f>((O322+R322)*100)/N322</f>
        <v>27.9631153118405</v>
      </c>
      <c r="W322" s="110">
        <f>((P322+S322)*100)/N322</f>
        <v>41.4956560608687</v>
      </c>
      <c r="X322" s="110">
        <f>((Q322+T322)*100)/N322</f>
        <v>30.5412286272908</v>
      </c>
    </row>
    <row r="323" spans="1:24" s="168" customFormat="1" ht="22.500000" customHeight="1">
      <c r="A323" s="34">
        <v>321</v>
      </c>
      <c r="B323" s="0">
        <f>C323+D323+E323+F323+G323+H323</f>
        <v>67.3031182511578</v>
      </c>
      <c r="C323" s="49">
        <v>27</v>
      </c>
      <c r="D323" s="49">
        <v>0</v>
      </c>
      <c r="E323" s="49">
        <v>3</v>
      </c>
      <c r="F323" s="49">
        <v>36.1727207283954</v>
      </c>
      <c r="G323" s="49">
        <v>1.13039752276235</v>
      </c>
      <c r="H323" s="49">
        <v>0</v>
      </c>
      <c r="I323" s="78">
        <f>(100*B323)/N323</f>
        <v>11.4075732906191</v>
      </c>
      <c r="J323" s="110">
        <f>((C323+F323)*100)/B323</f>
        <v>93.8629923395989</v>
      </c>
      <c r="K323" s="110">
        <f>((D323+G323)*100)/B323</f>
        <v>1.67956188678213</v>
      </c>
      <c r="L323" s="110">
        <f>((E323+H323)*100)/B323</f>
        <v>4.45744577361896</v>
      </c>
      <c r="M323" s="111"/>
      <c r="N323" s="0">
        <f>O323+P323+Q323+R323+S323+T323</f>
        <v>589.986288376546</v>
      </c>
      <c r="O323" s="49">
        <v>60</v>
      </c>
      <c r="P323" s="49">
        <v>68</v>
      </c>
      <c r="Q323" s="49">
        <v>46</v>
      </c>
      <c r="R323" s="49">
        <v>111.909354753473</v>
      </c>
      <c r="S323" s="49">
        <v>166.168435846066</v>
      </c>
      <c r="T323" s="49">
        <v>137.908497777007</v>
      </c>
      <c r="U323" s="49">
        <v>54</v>
      </c>
      <c r="V323" s="110">
        <f>((O323+R323)*100)/N323</f>
        <v>29.1378559367054</v>
      </c>
      <c r="W323" s="110">
        <f>((P323+S323)*100)/N323</f>
        <v>39.6904878061527</v>
      </c>
      <c r="X323" s="110">
        <f>((Q323+T323)*100)/N323</f>
        <v>31.1716562571419</v>
      </c>
    </row>
    <row r="324" spans="1:24" s="168" customFormat="1" ht="22.500000" customHeight="1">
      <c r="A324" s="34">
        <v>322</v>
      </c>
      <c r="B324" s="0">
        <f>C324+D324+E324+F324+G324+H324</f>
        <v>91.7374910015437</v>
      </c>
      <c r="C324" s="49">
        <v>35</v>
      </c>
      <c r="D324" s="49">
        <v>1</v>
      </c>
      <c r="E324" s="49">
        <v>6</v>
      </c>
      <c r="F324" s="49">
        <v>41.8247083422072</v>
      </c>
      <c r="G324" s="49">
        <v>1.13039752276235</v>
      </c>
      <c r="H324" s="49">
        <v>6.78238513657414</v>
      </c>
      <c r="I324" s="78">
        <f>(100*B324)/N324</f>
        <v>20.6985099689154</v>
      </c>
      <c r="J324" s="110">
        <f>((C324+F324)*100)/B324</f>
        <v>83.7440696311549</v>
      </c>
      <c r="K324" s="110">
        <f>((D324+G324)*100)/B324</f>
        <v>2.32227576697787</v>
      </c>
      <c r="L324" s="110">
        <f>((E324+H324)*100)/B324</f>
        <v>13.9336546018672</v>
      </c>
      <c r="M324" s="111"/>
      <c r="N324" s="0">
        <f>O324+P324+Q324+R324+S324+T324</f>
        <v>443.208188122302</v>
      </c>
      <c r="O324" s="49">
        <v>51</v>
      </c>
      <c r="P324" s="49">
        <v>68</v>
      </c>
      <c r="Q324" s="49">
        <v>45</v>
      </c>
      <c r="R324" s="49">
        <v>62.1718637519296</v>
      </c>
      <c r="S324" s="49">
        <v>125.474125026621</v>
      </c>
      <c r="T324" s="49">
        <v>91.5621993437509</v>
      </c>
      <c r="U324" s="49">
        <v>52</v>
      </c>
      <c r="V324" s="110">
        <f>((O324+R324)*100)/N324</f>
        <v>25.5346960604212</v>
      </c>
      <c r="W324" s="110">
        <f>((P324+S324)*100)/N324</f>
        <v>43.6531025851067</v>
      </c>
      <c r="X324" s="110">
        <f>((Q324+T324)*100)/N324</f>
        <v>30.8122013544721</v>
      </c>
    </row>
    <row r="325" spans="1:24" s="168" customFormat="1" ht="22.500000" customHeight="1">
      <c r="A325" s="34">
        <v>323</v>
      </c>
      <c r="B325" s="0">
        <f>C325+D325+E325+F325+G325+H325</f>
        <v>25</v>
      </c>
      <c r="C325" s="49">
        <v>25</v>
      </c>
      <c r="D325" s="49">
        <v>0</v>
      </c>
      <c r="E325" s="49">
        <v>0</v>
      </c>
      <c r="F325" s="49">
        <v>0</v>
      </c>
      <c r="G325" s="49">
        <v>0</v>
      </c>
      <c r="H325" s="49">
        <v>0</v>
      </c>
      <c r="I325" s="78">
        <f>(100*B325)/N325</f>
        <v>7.84032185697713</v>
      </c>
      <c r="J325" s="110">
        <f>((C325+F325)*100)/B325</f>
        <v>100</v>
      </c>
      <c r="K325" s="110">
        <f>((D325+G325)*100)/B325</f>
        <v>0</v>
      </c>
      <c r="L325" s="110">
        <f>((E325+H325)*100)/B325</f>
        <v>0</v>
      </c>
      <c r="M325" s="111"/>
      <c r="N325" s="0">
        <f>O325+P325+Q325+R325+S325+T325</f>
        <v>318.864460618443</v>
      </c>
      <c r="O325" s="49">
        <v>46</v>
      </c>
      <c r="P325" s="49">
        <v>73</v>
      </c>
      <c r="Q325" s="49">
        <v>45</v>
      </c>
      <c r="R325" s="49">
        <v>25.9991430235342</v>
      </c>
      <c r="S325" s="49">
        <v>82.519019161652</v>
      </c>
      <c r="T325" s="49">
        <v>46.3462984332566</v>
      </c>
      <c r="U325" s="49">
        <v>44</v>
      </c>
      <c r="V325" s="110">
        <f>((O325+R325)*100)/N325</f>
        <v>22.5798581892415</v>
      </c>
      <c r="W325" s="110">
        <f>((P325+S325)*100)/N325</f>
        <v>48.7727666043498</v>
      </c>
      <c r="X325" s="110">
        <f>((Q325+T325)*100)/N325</f>
        <v>28.6473752064087</v>
      </c>
    </row>
    <row r="326" spans="1:24" s="168" customFormat="1" ht="22.500000" customHeight="1">
      <c r="A326" s="34">
        <v>324</v>
      </c>
      <c r="B326" s="0">
        <f>C326+D326+E326+F326+G326+H326</f>
        <v>22.4343727503859</v>
      </c>
      <c r="C326" s="49">
        <v>10</v>
      </c>
      <c r="D326" s="49">
        <v>0</v>
      </c>
      <c r="E326" s="49">
        <v>0</v>
      </c>
      <c r="F326" s="49">
        <v>12.4343727503859</v>
      </c>
      <c r="G326" s="49">
        <v>0</v>
      </c>
      <c r="H326" s="49">
        <v>0</v>
      </c>
      <c r="I326" s="78">
        <f>(100*B326)/N326</f>
        <v>6.73364290750257</v>
      </c>
      <c r="J326" s="110">
        <f>((C326+F326)*100)/B326</f>
        <v>100</v>
      </c>
      <c r="K326" s="110">
        <f>((D326+G326)*100)/B326</f>
        <v>0</v>
      </c>
      <c r="L326" s="110">
        <f>((E326+H326)*100)/B326</f>
        <v>0</v>
      </c>
      <c r="M326" s="111"/>
      <c r="N326" s="0">
        <f>O326+P326+Q326+R326+S326+T326</f>
        <v>333.168435846066</v>
      </c>
      <c r="O326" s="49">
        <v>49</v>
      </c>
      <c r="P326" s="49">
        <v>73</v>
      </c>
      <c r="Q326" s="49">
        <v>45</v>
      </c>
      <c r="R326" s="49">
        <v>36.1727207283954</v>
      </c>
      <c r="S326" s="49">
        <v>77.9974290706026</v>
      </c>
      <c r="T326" s="49">
        <v>51.9982860470684</v>
      </c>
      <c r="U326" s="49">
        <v>47</v>
      </c>
      <c r="V326" s="110">
        <f>((O326+R326)*100)/N326</f>
        <v>25.5644627655387</v>
      </c>
      <c r="W326" s="110">
        <f>((P326+S326)*100)/N326</f>
        <v>45.3216489992971</v>
      </c>
      <c r="X326" s="110">
        <f>((Q326+T326)*100)/N326</f>
        <v>29.1138882351642</v>
      </c>
    </row>
    <row r="327" spans="1:24" s="168" customFormat="1" ht="22.500000" customHeight="1">
      <c r="A327" s="34">
        <v>325</v>
      </c>
      <c r="B327" s="0">
        <f>C327+D327+E327+F327+G327+H327</f>
        <v>12.2607950455247</v>
      </c>
      <c r="C327" s="49">
        <v>6</v>
      </c>
      <c r="D327" s="49">
        <v>0</v>
      </c>
      <c r="E327" s="49">
        <v>4</v>
      </c>
      <c r="F327" s="49">
        <v>2.26079504552471</v>
      </c>
      <c r="G327" s="49">
        <v>0</v>
      </c>
      <c r="H327" s="49">
        <v>0</v>
      </c>
      <c r="I327" s="78">
        <f>(100*B327)/N327</f>
        <v>4.36873613685517</v>
      </c>
      <c r="J327" s="110">
        <f>((C327+F327)*100)/B327</f>
        <v>67.3756882392383</v>
      </c>
      <c r="K327" s="110">
        <f>((D327+G327)*100)/B327</f>
        <v>0</v>
      </c>
      <c r="L327" s="110">
        <f>((E327+H327)*100)/B327</f>
        <v>32.6243117607617</v>
      </c>
      <c r="M327" s="111"/>
      <c r="N327" s="0">
        <f>O327+P327+Q327+R327+S327+T327</f>
        <v>280.648559707949</v>
      </c>
      <c r="O327" s="49">
        <v>55</v>
      </c>
      <c r="P327" s="49">
        <v>73</v>
      </c>
      <c r="Q327" s="49">
        <v>43</v>
      </c>
      <c r="R327" s="49">
        <v>18.0863603641977</v>
      </c>
      <c r="S327" s="49">
        <v>46.3462984332566</v>
      </c>
      <c r="T327" s="49">
        <v>45.2159009104942</v>
      </c>
      <c r="U327" s="49">
        <v>35</v>
      </c>
      <c r="V327" s="110">
        <f>((O327+R327)*100)/N327</f>
        <v>26.0419509867621</v>
      </c>
      <c r="W327" s="110">
        <f>((P327+S327)*100)/N327</f>
        <v>42.5251775948724</v>
      </c>
      <c r="X327" s="110">
        <f>((Q327+T327)*100)/N327</f>
        <v>31.4328714183655</v>
      </c>
    </row>
    <row r="328" spans="1:24" s="168" customFormat="1" ht="22.500000" customHeight="1">
      <c r="A328" s="34">
        <v>326</v>
      </c>
      <c r="B328" s="0">
        <f>C328+D328+E328+F328+G328+H328</f>
        <v>54.9991430235341</v>
      </c>
      <c r="C328" s="49">
        <v>28</v>
      </c>
      <c r="D328" s="49">
        <v>1</v>
      </c>
      <c r="E328" s="49">
        <v>0</v>
      </c>
      <c r="F328" s="49">
        <v>23.7383479780094</v>
      </c>
      <c r="G328" s="49">
        <v>2.26079504552471</v>
      </c>
      <c r="H328" s="49">
        <v>0</v>
      </c>
      <c r="I328" s="78">
        <f>(100*B328)/N328</f>
        <v>10.1306066493655</v>
      </c>
      <c r="J328" s="110">
        <f>((C328+F328)*100)/B328</f>
        <v>94.071189356297</v>
      </c>
      <c r="K328" s="110">
        <f>((D328+G328)*100)/B328</f>
        <v>5.92881064370297</v>
      </c>
      <c r="L328" s="110">
        <f>((E328+H328)*100)/B328</f>
        <v>0</v>
      </c>
      <c r="M328" s="111"/>
      <c r="N328" s="0">
        <f>O328+P328+Q328+R328+S328+T328</f>
        <v>542.900784988814</v>
      </c>
      <c r="O328" s="49">
        <v>56</v>
      </c>
      <c r="P328" s="49">
        <v>72</v>
      </c>
      <c r="Q328" s="49">
        <v>43</v>
      </c>
      <c r="R328" s="49">
        <v>92.6925968665132</v>
      </c>
      <c r="S328" s="49">
        <v>151.473268050155</v>
      </c>
      <c r="T328" s="49">
        <v>127.734920072146</v>
      </c>
      <c r="U328" s="49">
        <v>50</v>
      </c>
      <c r="V328" s="110">
        <f>((O328+R328)*100)/N328</f>
        <v>27.3885396702045</v>
      </c>
      <c r="W328" s="110">
        <f>((P328+S328)*100)/N328</f>
        <v>41.1628191060286</v>
      </c>
      <c r="X328" s="110">
        <f>((Q328+T328)*100)/N328</f>
        <v>31.4486412237668</v>
      </c>
    </row>
    <row r="329" spans="1:24" s="168" customFormat="1" ht="22.500000" customHeight="1">
      <c r="A329" s="34">
        <v>327</v>
      </c>
      <c r="B329" s="0">
        <f>C329+D329+E329+F329+G329+H329</f>
        <v>99.302261274692</v>
      </c>
      <c r="C329" s="49">
        <v>33</v>
      </c>
      <c r="D329" s="49">
        <v>1</v>
      </c>
      <c r="E329" s="49">
        <v>2</v>
      </c>
      <c r="F329" s="49">
        <v>57.6502736608802</v>
      </c>
      <c r="G329" s="49">
        <v>2.26079504552471</v>
      </c>
      <c r="H329" s="49">
        <v>3.39119256828707</v>
      </c>
      <c r="I329" s="78">
        <f>(100*B329)/N329</f>
        <v>14.9193582721464</v>
      </c>
      <c r="J329" s="110">
        <f>((C329+F329)*100)/B329</f>
        <v>91.2872199456984</v>
      </c>
      <c r="K329" s="110">
        <f>((D329+G329)*100)/B329</f>
        <v>3.28370673906874</v>
      </c>
      <c r="L329" s="110">
        <f>((E329+H329)*100)/B329</f>
        <v>5.42907331523281</v>
      </c>
      <c r="M329" s="111"/>
      <c r="N329" s="0">
        <f>O329+P329+Q329+R329+S329+T329</f>
        <v>665.593381855327</v>
      </c>
      <c r="O329" s="49">
        <v>70</v>
      </c>
      <c r="P329" s="49">
        <v>81</v>
      </c>
      <c r="Q329" s="49">
        <v>50</v>
      </c>
      <c r="R329" s="49">
        <v>128.865317594908</v>
      </c>
      <c r="S329" s="49">
        <v>195.558771437887</v>
      </c>
      <c r="T329" s="49">
        <v>140.169292822532</v>
      </c>
      <c r="U329" s="49">
        <v>51</v>
      </c>
      <c r="V329" s="110">
        <f>((O329+R329)*100)/N329</f>
        <v>29.8778988818331</v>
      </c>
      <c r="W329" s="110">
        <f>((P329+S329)*100)/N329</f>
        <v>41.5507093335252</v>
      </c>
      <c r="X329" s="110">
        <f>((Q329+T329)*100)/N329</f>
        <v>28.5713917846417</v>
      </c>
    </row>
    <row r="330" spans="1:24" s="168" customFormat="1" ht="22.500000" customHeight="1">
      <c r="A330" s="34">
        <v>328</v>
      </c>
      <c r="B330" s="0">
        <f>C330+D330+E330+F330+G330+H330</f>
        <v>56.0863603641977</v>
      </c>
      <c r="C330" s="49">
        <v>36</v>
      </c>
      <c r="D330" s="49">
        <v>0</v>
      </c>
      <c r="E330" s="49">
        <v>2</v>
      </c>
      <c r="F330" s="49">
        <v>18.0863603641977</v>
      </c>
      <c r="G330" s="49">
        <v>0</v>
      </c>
      <c r="H330" s="49">
        <v>0</v>
      </c>
      <c r="I330" s="78">
        <f>(100*B330)/N330</f>
        <v>12.0798870082016</v>
      </c>
      <c r="J330" s="110">
        <f>((C330+F330)*100)/B330</f>
        <v>96.4340706242784</v>
      </c>
      <c r="K330" s="110">
        <f>((D330+G330)*100)/B330</f>
        <v>0</v>
      </c>
      <c r="L330" s="110">
        <f>((E330+H330)*100)/B330</f>
        <v>3.5659293757216</v>
      </c>
      <c r="M330" s="111"/>
      <c r="N330" s="0">
        <f>O330+P330+Q330+R330+S330+T330</f>
        <v>464.295405462965</v>
      </c>
      <c r="O330" s="49">
        <v>61</v>
      </c>
      <c r="P330" s="49">
        <v>81</v>
      </c>
      <c r="Q330" s="49">
        <v>51</v>
      </c>
      <c r="R330" s="49">
        <v>57.6502736608802</v>
      </c>
      <c r="S330" s="49">
        <v>120.952534935572</v>
      </c>
      <c r="T330" s="49">
        <v>92.6925968665132</v>
      </c>
      <c r="U330" s="49">
        <v>43</v>
      </c>
      <c r="V330" s="110">
        <f>((O330+R330)*100)/N330</f>
        <v>25.5549101422983</v>
      </c>
      <c r="W330" s="110">
        <f>((P330+S330)*100)/N330</f>
        <v>43.4965611460656</v>
      </c>
      <c r="X330" s="110">
        <f>((Q330+T330)*100)/N330</f>
        <v>30.9485287116361</v>
      </c>
    </row>
    <row r="331" spans="1:24" s="168" customFormat="1" ht="22.500000" customHeight="1">
      <c r="A331" s="34">
        <v>329</v>
      </c>
      <c r="B331" s="0">
        <f>C331+D331+E331+F331+G331+H331</f>
        <v>93.6502736608802</v>
      </c>
      <c r="C331" s="49">
        <v>28</v>
      </c>
      <c r="D331" s="49">
        <v>3</v>
      </c>
      <c r="E331" s="49">
        <v>5</v>
      </c>
      <c r="F331" s="49">
        <v>46.3462984332566</v>
      </c>
      <c r="G331" s="49">
        <v>4.52159009104942</v>
      </c>
      <c r="H331" s="49">
        <v>6.78238513657414</v>
      </c>
      <c r="I331" s="78">
        <f>(100*B331)/N331</f>
        <v>13.6493728401124</v>
      </c>
      <c r="J331" s="110">
        <f>((C331+F331)*100)/B331</f>
        <v>79.3871662377349</v>
      </c>
      <c r="K331" s="110">
        <f>((D331+G331)*100)/B331</f>
        <v>8.03157299709137</v>
      </c>
      <c r="L331" s="110">
        <f>((E331+H331)*100)/B331</f>
        <v>12.5812607651737</v>
      </c>
      <c r="M331" s="111"/>
      <c r="N331" s="0">
        <f>O331+P331+Q331+R331+S331+T331</f>
        <v>686.11411496991</v>
      </c>
      <c r="O331" s="49">
        <v>56</v>
      </c>
      <c r="P331" s="49">
        <v>83</v>
      </c>
      <c r="Q331" s="49">
        <v>52</v>
      </c>
      <c r="R331" s="49">
        <v>221.557914461421</v>
      </c>
      <c r="S331" s="49">
        <v>166.168435846066</v>
      </c>
      <c r="T331" s="49">
        <v>107.387764662423</v>
      </c>
      <c r="U331" s="49">
        <v>52</v>
      </c>
      <c r="V331" s="110">
        <f>((O331+R331)*100)/N331</f>
        <v>40.4536079939987</v>
      </c>
      <c r="W331" s="110">
        <f>((P331+S331)*100)/N331</f>
        <v>36.3158883354256</v>
      </c>
      <c r="X331" s="110">
        <f>((Q331+T331)*100)/N331</f>
        <v>23.2305036705757</v>
      </c>
    </row>
    <row r="332" spans="1:24" s="168" customFormat="1" ht="22.500000" customHeight="1">
      <c r="A332" s="34">
        <v>330</v>
      </c>
      <c r="B332" s="0">
        <f>C332+D332+E332+F332+G332+H332</f>
        <v>80.5207331145836</v>
      </c>
      <c r="C332" s="49">
        <v>44</v>
      </c>
      <c r="D332" s="49">
        <v>0</v>
      </c>
      <c r="E332" s="49">
        <v>6</v>
      </c>
      <c r="F332" s="49">
        <v>25.9991430235342</v>
      </c>
      <c r="G332" s="49">
        <v>0</v>
      </c>
      <c r="H332" s="49">
        <v>4.52159009104942</v>
      </c>
      <c r="I332" s="78">
        <f>(100*B332)/N332</f>
        <v>22.7128342044745</v>
      </c>
      <c r="J332" s="110">
        <f>((C332+F332)*100)/B332</f>
        <v>86.9330671939153</v>
      </c>
      <c r="K332" s="110">
        <f>((D332+G332)*100)/B332</f>
        <v>0</v>
      </c>
      <c r="L332" s="110">
        <f>((E332+H332)*100)/B332</f>
        <v>13.0669328060847</v>
      </c>
      <c r="M332" s="111"/>
      <c r="N332" s="0">
        <f>O332+P332+Q332+R332+S332+T332</f>
        <v>354.516448232254</v>
      </c>
      <c r="O332" s="49">
        <v>64</v>
      </c>
      <c r="P332" s="49">
        <v>80</v>
      </c>
      <c r="Q332" s="49">
        <v>50</v>
      </c>
      <c r="R332" s="49">
        <v>47.4766959560189</v>
      </c>
      <c r="S332" s="49">
        <v>65.5630563202166</v>
      </c>
      <c r="T332" s="49">
        <v>47.4766959560189</v>
      </c>
      <c r="U332" s="49">
        <v>45</v>
      </c>
      <c r="V332" s="110">
        <f>((O332+R332)*100)/N332</f>
        <v>31.4447175897992</v>
      </c>
      <c r="W332" s="110">
        <f>((P332+S332)*100)/N332</f>
        <v>41.0596058507429</v>
      </c>
      <c r="X332" s="110">
        <f>((Q332+T332)*100)/N332</f>
        <v>27.495676559458</v>
      </c>
    </row>
    <row r="333" spans="1:24" s="168" customFormat="1" ht="22.500000" customHeight="1">
      <c r="A333" s="34">
        <v>331</v>
      </c>
      <c r="B333" s="0">
        <f>C333+D333+E333+F333+G333+H333</f>
        <v>105.389478615355</v>
      </c>
      <c r="C333" s="49">
        <v>32</v>
      </c>
      <c r="D333" s="49">
        <v>12</v>
      </c>
      <c r="E333" s="49">
        <v>6</v>
      </c>
      <c r="F333" s="49">
        <v>32.7815281601083</v>
      </c>
      <c r="G333" s="49">
        <v>18.0863603641977</v>
      </c>
      <c r="H333" s="49">
        <v>4.52159009104942</v>
      </c>
      <c r="I333" s="78">
        <f>(100*B333)/N333</f>
        <v>16.3530910726616</v>
      </c>
      <c r="J333" s="110">
        <f>((C333+F333)*100)/B333</f>
        <v>61.4686864488098</v>
      </c>
      <c r="K333" s="110">
        <f>((D333+G333)*100)/B333</f>
        <v>28.54778366824</v>
      </c>
      <c r="L333" s="110">
        <f>((E333+H333)*100)/B333</f>
        <v>9.9835298829502</v>
      </c>
      <c r="M333" s="111"/>
      <c r="N333" s="0">
        <f>O333+P333+Q333+R333+S333+T333</f>
        <v>644.4621273561</v>
      </c>
      <c r="O333" s="49">
        <v>48</v>
      </c>
      <c r="P333" s="49">
        <v>61</v>
      </c>
      <c r="Q333" s="49">
        <v>46</v>
      </c>
      <c r="R333" s="49">
        <v>133.386907685958</v>
      </c>
      <c r="S333" s="49">
        <v>206.862746665511</v>
      </c>
      <c r="T333" s="49">
        <v>149.212473004631</v>
      </c>
      <c r="U333" s="49">
        <v>50</v>
      </c>
      <c r="V333" s="110">
        <f>((O333+R333)*100)/N333</f>
        <v>28.1454720124666</v>
      </c>
      <c r="W333" s="110">
        <f>((P333+S333)*100)/N333</f>
        <v>41.563768497059</v>
      </c>
      <c r="X333" s="110">
        <f>((Q333+T333)*100)/N333</f>
        <v>30.2907594904744</v>
      </c>
    </row>
    <row r="334" spans="1:24" s="168" customFormat="1" ht="22.500000" customHeight="1">
      <c r="A334" s="34">
        <v>332</v>
      </c>
      <c r="B334" s="0">
        <f>C334+D334+E334+F334+G334+H334</f>
        <v>113.563056320217</v>
      </c>
      <c r="C334" s="49">
        <v>43</v>
      </c>
      <c r="D334" s="49">
        <v>0</v>
      </c>
      <c r="E334" s="49">
        <v>5</v>
      </c>
      <c r="F334" s="49">
        <v>62.1718637519296</v>
      </c>
      <c r="G334" s="49">
        <v>0</v>
      </c>
      <c r="H334" s="49">
        <v>3.39119256828707</v>
      </c>
      <c r="I334" s="78">
        <f>(100*B334)/N334</f>
        <v>20.9985590439366</v>
      </c>
      <c r="J334" s="110">
        <f>((C334+F334)*100)/B334</f>
        <v>92.6109838532117</v>
      </c>
      <c r="K334" s="110">
        <f>((D334+G334)*100)/B334</f>
        <v>0</v>
      </c>
      <c r="L334" s="110">
        <f>((E334+H334)*100)/B334</f>
        <v>7.38901614678827</v>
      </c>
      <c r="M334" s="111"/>
      <c r="N334" s="0">
        <f>O334+P334+Q334+R334+S334+T334</f>
        <v>540.81356764815</v>
      </c>
      <c r="O334" s="49">
        <v>51</v>
      </c>
      <c r="P334" s="49">
        <v>65</v>
      </c>
      <c r="Q334" s="49">
        <v>45</v>
      </c>
      <c r="R334" s="49">
        <v>73.4758389795531</v>
      </c>
      <c r="S334" s="49">
        <v>170.690025937115</v>
      </c>
      <c r="T334" s="49">
        <v>135.647702731482</v>
      </c>
      <c r="U334" s="49">
        <v>50</v>
      </c>
      <c r="V334" s="110">
        <f>((O334+R334)*100)/N334</f>
        <v>23.0164046218116</v>
      </c>
      <c r="W334" s="110">
        <f>((P334+S334)*100)/N334</f>
        <v>43.5806422094894</v>
      </c>
      <c r="X334" s="110">
        <f>((Q334+T334)*100)/N334</f>
        <v>33.402953168699</v>
      </c>
    </row>
    <row r="335" spans="1:24" s="168" customFormat="1" ht="22.500000" customHeight="1">
      <c r="A335" s="34">
        <v>333</v>
      </c>
      <c r="B335" s="0">
        <f>C335+D335+E335+F335+G335+H335</f>
        <v>23.7823851365741</v>
      </c>
      <c r="C335" s="49">
        <v>17</v>
      </c>
      <c r="D335" s="49">
        <v>0</v>
      </c>
      <c r="E335" s="49">
        <v>0</v>
      </c>
      <c r="F335" s="49">
        <v>6.78238513657414</v>
      </c>
      <c r="G335" s="49">
        <v>0</v>
      </c>
      <c r="H335" s="49">
        <v>0</v>
      </c>
      <c r="I335" s="78">
        <f>(100*B335)/N335</f>
        <v>11.5595777030234</v>
      </c>
      <c r="J335" s="110">
        <f>((C335+F335)*100)/B335</f>
        <v>100</v>
      </c>
      <c r="K335" s="110">
        <f>((D335+G335)*100)/B335</f>
        <v>0</v>
      </c>
      <c r="L335" s="110">
        <f>((E335+H335)*100)/B335</f>
        <v>0</v>
      </c>
      <c r="M335" s="111"/>
      <c r="N335" s="0">
        <f>O335+P335+Q335+R335+S335+T335</f>
        <v>205.737491001544</v>
      </c>
      <c r="O335" s="49">
        <v>46</v>
      </c>
      <c r="P335" s="49">
        <v>66</v>
      </c>
      <c r="Q335" s="49">
        <v>44</v>
      </c>
      <c r="R335" s="49">
        <v>28.2599380690589</v>
      </c>
      <c r="S335" s="49">
        <v>18.0863603641977</v>
      </c>
      <c r="T335" s="49">
        <v>3.39119256828707</v>
      </c>
      <c r="U335" s="49">
        <v>38</v>
      </c>
      <c r="V335" s="110">
        <f>((O335+R335)*100)/N335</f>
        <v>36.094509419531</v>
      </c>
      <c r="W335" s="110">
        <f>((P335+S335)*100)/N335</f>
        <v>40.8707037083323</v>
      </c>
      <c r="X335" s="110">
        <f>((Q335+T335)*100)/N335</f>
        <v>23.0347868721367</v>
      </c>
    </row>
    <row r="336" spans="1:24" s="168" customFormat="1" ht="22.500000" customHeight="1">
      <c r="A336" s="34">
        <v>334</v>
      </c>
      <c r="B336" s="0">
        <f>C336+D336+E336+F336+G336+H336</f>
        <v>51.5647702731483</v>
      </c>
      <c r="C336" s="49">
        <v>14</v>
      </c>
      <c r="D336" s="49">
        <v>2</v>
      </c>
      <c r="E336" s="49">
        <v>22</v>
      </c>
      <c r="F336" s="49">
        <v>9.04318018209885</v>
      </c>
      <c r="G336" s="49">
        <v>2.26079504552471</v>
      </c>
      <c r="H336" s="49">
        <v>2.26079504552471</v>
      </c>
      <c r="I336" s="78">
        <f>(100*B336)/N336</f>
        <v>29.0045714010904</v>
      </c>
      <c r="J336" s="110">
        <f>((C336+F336)*100)/B336</f>
        <v>44.6878364046515</v>
      </c>
      <c r="K336" s="110">
        <f>((D336+G336)*100)/B336</f>
        <v>8.26299627236673</v>
      </c>
      <c r="L336" s="110">
        <f>((E336+H336)*100)/B336</f>
        <v>47.0491673229818</v>
      </c>
      <c r="M336" s="111"/>
      <c r="N336" s="0">
        <f>O336+P336+Q336+R336+S336+T336</f>
        <v>177.781528160108</v>
      </c>
      <c r="O336" s="49">
        <v>44</v>
      </c>
      <c r="P336" s="49">
        <v>61</v>
      </c>
      <c r="Q336" s="49">
        <v>40</v>
      </c>
      <c r="R336" s="49">
        <v>18.0863603641977</v>
      </c>
      <c r="S336" s="49">
        <v>11.3039752276235</v>
      </c>
      <c r="T336" s="49">
        <v>3.39119256828707</v>
      </c>
      <c r="U336" s="49">
        <v>37</v>
      </c>
      <c r="V336" s="110">
        <f>((O336+R336)*100)/N336</f>
        <v>34.922840976079</v>
      </c>
      <c r="W336" s="110">
        <f>((P336+S336)*100)/N336</f>
        <v>40.6701280925582</v>
      </c>
      <c r="X336" s="110">
        <f>((Q336+T336)*100)/N336</f>
        <v>24.4070309313628</v>
      </c>
    </row>
    <row r="337" spans="1:24" s="168" customFormat="1" ht="22.500000" customHeight="1">
      <c r="A337" s="34">
        <v>335</v>
      </c>
      <c r="B337" s="0">
        <f>C337+D337+E337+F337+G337+H337</f>
        <v>130.997429070603</v>
      </c>
      <c r="C337" s="49">
        <v>40</v>
      </c>
      <c r="D337" s="49">
        <v>3</v>
      </c>
      <c r="E337" s="49">
        <v>10</v>
      </c>
      <c r="F337" s="49">
        <v>64.4326587974543</v>
      </c>
      <c r="G337" s="49">
        <v>3.39119256828707</v>
      </c>
      <c r="H337" s="49">
        <v>10.1735777048612</v>
      </c>
      <c r="I337" s="78">
        <f>(100*B337)/N337</f>
        <v>23.3187138071439</v>
      </c>
      <c r="J337" s="110">
        <f>((C337+F337)*100)/B337</f>
        <v>79.7211514289866</v>
      </c>
      <c r="K337" s="110">
        <f>((D337+G337)*100)/B337</f>
        <v>4.87886870271512</v>
      </c>
      <c r="L337" s="110">
        <f>((E337+H337)*100)/B337</f>
        <v>15.3999798682984</v>
      </c>
      <c r="M337" s="111"/>
      <c r="N337" s="0">
        <f>O337+P337+Q337+R337+S337+T337</f>
        <v>561.769530489586</v>
      </c>
      <c r="O337" s="49">
        <v>59</v>
      </c>
      <c r="P337" s="49">
        <v>63</v>
      </c>
      <c r="Q337" s="49">
        <v>43</v>
      </c>
      <c r="R337" s="49">
        <v>146.951677959106</v>
      </c>
      <c r="S337" s="49">
        <v>144.690882913581</v>
      </c>
      <c r="T337" s="49">
        <v>105.126969616899</v>
      </c>
      <c r="U337" s="49">
        <v>46</v>
      </c>
      <c r="V337" s="110">
        <f>((O337+R337)*100)/N337</f>
        <v>36.6612403808405</v>
      </c>
      <c r="W337" s="110">
        <f>((P337+S337)*100)/N337</f>
        <v>36.9708344154189</v>
      </c>
      <c r="X337" s="110">
        <f>((Q337+T337)*100)/N337</f>
        <v>26.3679252037406</v>
      </c>
    </row>
    <row r="338" spans="1:24" s="168" customFormat="1" ht="22.500000" customHeight="1">
      <c r="A338" s="34">
        <v>336</v>
      </c>
      <c r="B338" s="0">
        <f>C338+D338+E338+F338+G338+H338</f>
        <v>22.0431801820989</v>
      </c>
      <c r="C338" s="49">
        <v>13</v>
      </c>
      <c r="D338" s="49">
        <v>0</v>
      </c>
      <c r="E338" s="49">
        <v>0</v>
      </c>
      <c r="F338" s="49">
        <v>9.04318018209885</v>
      </c>
      <c r="G338" s="49">
        <v>0</v>
      </c>
      <c r="H338" s="49">
        <v>0</v>
      </c>
      <c r="I338" s="78">
        <f>(100*B338)/N338</f>
        <v>6.65531615298914</v>
      </c>
      <c r="J338" s="110">
        <f>((C338+F338)*100)/B338</f>
        <v>100</v>
      </c>
      <c r="K338" s="110">
        <f>((D338+G338)*100)/B338</f>
        <v>0</v>
      </c>
      <c r="L338" s="110">
        <f>((E338+H338)*100)/B338</f>
        <v>0</v>
      </c>
      <c r="M338" s="111"/>
      <c r="N338" s="0">
        <f>O338+P338+Q338+R338+S338+T338</f>
        <v>331.211616028165</v>
      </c>
      <c r="O338" s="49">
        <v>49</v>
      </c>
      <c r="P338" s="49">
        <v>64</v>
      </c>
      <c r="Q338" s="49">
        <v>43</v>
      </c>
      <c r="R338" s="49">
        <v>55.3894786153554</v>
      </c>
      <c r="S338" s="49">
        <v>72.3454414567908</v>
      </c>
      <c r="T338" s="49">
        <v>47.4766959560189</v>
      </c>
      <c r="U338" s="49">
        <v>45</v>
      </c>
      <c r="V338" s="110">
        <f>((O338+R338)*100)/N338</f>
        <v>31.5174569863149</v>
      </c>
      <c r="W338" s="110">
        <f>((P338+S338)*100)/N338</f>
        <v>41.1656581045746</v>
      </c>
      <c r="X338" s="110">
        <f>((Q338+T338)*100)/N338</f>
        <v>27.3168849091105</v>
      </c>
    </row>
    <row r="339" spans="1:24" s="168" customFormat="1" ht="22.500000" customHeight="1">
      <c r="A339" s="34">
        <v>337</v>
      </c>
      <c r="B339" s="0">
        <f>C339+D339+E339+F339+G339+H339</f>
        <v>155.518162185186</v>
      </c>
      <c r="C339" s="49">
        <v>31</v>
      </c>
      <c r="D339" s="49">
        <v>4</v>
      </c>
      <c r="E339" s="49">
        <v>12</v>
      </c>
      <c r="F339" s="49">
        <v>97.2141869575626</v>
      </c>
      <c r="G339" s="49">
        <v>4.52159009104942</v>
      </c>
      <c r="H339" s="49">
        <v>6.78238513657414</v>
      </c>
      <c r="I339" s="78">
        <f>(100*B339)/N339</f>
        <v>26.7579743748758</v>
      </c>
      <c r="J339" s="110">
        <f>((C339+F339)*100)/B339</f>
        <v>82.443224094231</v>
      </c>
      <c r="K339" s="110">
        <f>((D339+G339)*100)/B339</f>
        <v>5.47948224909074</v>
      </c>
      <c r="L339" s="110">
        <f>((E339+H339)*100)/B339</f>
        <v>12.0772936566783</v>
      </c>
      <c r="M339" s="111"/>
      <c r="N339" s="0">
        <f>O339+P339+Q339+R339+S339+T339</f>
        <v>581.203046263506</v>
      </c>
      <c r="O339" s="49">
        <v>42</v>
      </c>
      <c r="P339" s="49">
        <v>60</v>
      </c>
      <c r="Q339" s="49">
        <v>44</v>
      </c>
      <c r="R339" s="49">
        <v>194.428373915125</v>
      </c>
      <c r="S339" s="49">
        <v>140.169292822532</v>
      </c>
      <c r="T339" s="49">
        <v>100.605379525849</v>
      </c>
      <c r="U339" s="49">
        <v>49</v>
      </c>
      <c r="V339" s="110">
        <f>((O339+R339)*100)/N339</f>
        <v>40.6791353615743</v>
      </c>
      <c r="W339" s="110">
        <f>((P339+S339)*100)/N339</f>
        <v>34.4405099232359</v>
      </c>
      <c r="X339" s="110">
        <f>((Q339+T339)*100)/N339</f>
        <v>24.8803547151898</v>
      </c>
    </row>
    <row r="340" spans="1:24" s="168" customFormat="1" ht="22.500000" customHeight="1">
      <c r="A340" s="34">
        <v>338</v>
      </c>
      <c r="B340" s="0">
        <f>C340+D340+E340+F340+G340+H340</f>
        <v>225.25565318673</v>
      </c>
      <c r="C340" s="49">
        <v>42</v>
      </c>
      <c r="D340" s="49">
        <v>4</v>
      </c>
      <c r="E340" s="49">
        <v>21</v>
      </c>
      <c r="F340" s="49">
        <v>114.170149798998</v>
      </c>
      <c r="G340" s="49">
        <v>14.6951677959106</v>
      </c>
      <c r="H340" s="49">
        <v>29.3903355918212</v>
      </c>
      <c r="I340" s="78">
        <f>(100*B340)/N340</f>
        <v>36.6252315656101</v>
      </c>
      <c r="J340" s="110">
        <f>((C340+F340)*100)/B340</f>
        <v>69.3301799931023</v>
      </c>
      <c r="K340" s="110">
        <f>((D340+G340)*100)/B340</f>
        <v>8.2995332332072</v>
      </c>
      <c r="L340" s="110">
        <f>((E340+H340)*100)/B340</f>
        <v>22.3702867736905</v>
      </c>
      <c r="M340" s="111"/>
      <c r="N340" s="0">
        <f>O340+P340+Q340+R340+S340+T340</f>
        <v>615.028611582179</v>
      </c>
      <c r="O340" s="49">
        <v>61</v>
      </c>
      <c r="P340" s="49">
        <v>59</v>
      </c>
      <c r="Q340" s="49">
        <v>44</v>
      </c>
      <c r="R340" s="49">
        <v>188.776386301313</v>
      </c>
      <c r="S340" s="49">
        <v>160.516448232254</v>
      </c>
      <c r="T340" s="49">
        <v>101.735777048612</v>
      </c>
      <c r="U340" s="49">
        <v>47</v>
      </c>
      <c r="V340" s="110">
        <f>((O340+R340)*100)/N340</f>
        <v>40.61215715782</v>
      </c>
      <c r="W340" s="110">
        <f>((P340+S340)*100)/N340</f>
        <v>35.6920709213091</v>
      </c>
      <c r="X340" s="110">
        <f>((Q340+T340)*100)/N340</f>
        <v>23.6957719208709</v>
      </c>
    </row>
    <row r="341" spans="1:24" s="168" customFormat="1" ht="22.500000" customHeight="1">
      <c r="A341" s="34">
        <v>339</v>
      </c>
      <c r="B341" s="0">
        <f>C341+D341+E341+F341+G341+H341</f>
        <v>45.0863603641977</v>
      </c>
      <c r="C341" s="49">
        <v>23</v>
      </c>
      <c r="D341" s="49">
        <v>0</v>
      </c>
      <c r="E341" s="49">
        <v>4</v>
      </c>
      <c r="F341" s="49">
        <v>16.9559628414353</v>
      </c>
      <c r="G341" s="49">
        <v>0</v>
      </c>
      <c r="H341" s="49">
        <v>1.13039752276235</v>
      </c>
      <c r="I341" s="78">
        <f>(100*B341)/N341</f>
        <v>13.3737712042369</v>
      </c>
      <c r="J341" s="110">
        <f>((C341+F341)*100)/B341</f>
        <v>88.620954361097</v>
      </c>
      <c r="K341" s="110">
        <f>((D341+G341)*100)/B341</f>
        <v>0</v>
      </c>
      <c r="L341" s="110">
        <f>((E341+H341)*100)/B341</f>
        <v>11.3790456389031</v>
      </c>
      <c r="M341" s="111"/>
      <c r="N341" s="0">
        <f>O341+P341+Q341+R341+S341+T341</f>
        <v>337.125255663968</v>
      </c>
      <c r="O341" s="49">
        <v>76</v>
      </c>
      <c r="P341" s="49">
        <v>62</v>
      </c>
      <c r="Q341" s="49">
        <v>42</v>
      </c>
      <c r="R341" s="49">
        <v>67.8238513657414</v>
      </c>
      <c r="S341" s="49">
        <v>49.7374910015437</v>
      </c>
      <c r="T341" s="49">
        <v>39.5639132966824</v>
      </c>
      <c r="U341" s="49">
        <v>36</v>
      </c>
      <c r="V341" s="110">
        <f>((O341+R341)*100)/N341</f>
        <v>42.6618442105385</v>
      </c>
      <c r="W341" s="110">
        <f>((P341+S341)*100)/N341</f>
        <v>33.1442065298481</v>
      </c>
      <c r="X341" s="110">
        <f>((Q341+T341)*100)/N341</f>
        <v>24.1939492596134</v>
      </c>
    </row>
    <row r="342" spans="1:24" s="168" customFormat="1" ht="22.500000" customHeight="1">
      <c r="A342" s="34">
        <v>340</v>
      </c>
      <c r="B342" s="0">
        <f>C342+D342+E342+F342+G342+H342</f>
        <v>32.2607950455247</v>
      </c>
      <c r="C342" s="49">
        <v>28</v>
      </c>
      <c r="D342" s="49">
        <v>1</v>
      </c>
      <c r="E342" s="49">
        <v>1</v>
      </c>
      <c r="F342" s="49">
        <v>1.13039752276235</v>
      </c>
      <c r="G342" s="49">
        <v>1.13039752276235</v>
      </c>
      <c r="H342" s="49">
        <v>0</v>
      </c>
      <c r="I342" s="78">
        <f>(100*B342)/N342</f>
        <v>15.8547861679933</v>
      </c>
      <c r="J342" s="110">
        <f>((C342+F342)*100)/B342</f>
        <v>90.2965890383517</v>
      </c>
      <c r="K342" s="110">
        <f>((D342+G342)*100)/B342</f>
        <v>6.6036733433136</v>
      </c>
      <c r="L342" s="110">
        <f>((E342+H342)*100)/B342</f>
        <v>3.09973761833474</v>
      </c>
      <c r="M342" s="111"/>
      <c r="N342" s="0">
        <f>O342+P342+Q342+R342+S342+T342</f>
        <v>203.476695956019</v>
      </c>
      <c r="O342" s="49">
        <v>53</v>
      </c>
      <c r="P342" s="49">
        <v>60</v>
      </c>
      <c r="Q342" s="49">
        <v>43</v>
      </c>
      <c r="R342" s="49">
        <v>23.7383479780094</v>
      </c>
      <c r="S342" s="49">
        <v>19.21675788696</v>
      </c>
      <c r="T342" s="49">
        <v>4.52159009104942</v>
      </c>
      <c r="U342" s="49">
        <v>31</v>
      </c>
      <c r="V342" s="110">
        <f>((O342+R342)*100)/N342</f>
        <v>37.7135807211044</v>
      </c>
      <c r="W342" s="110">
        <f>((P342+S342)*100)/N342</f>
        <v>38.9316120525579</v>
      </c>
      <c r="X342" s="110">
        <f>((Q342+T342)*100)/N342</f>
        <v>23.3548072263377</v>
      </c>
    </row>
    <row r="343" spans="1:24" s="168" customFormat="1" ht="22.500000" customHeight="1">
      <c r="A343" s="34">
        <v>341</v>
      </c>
      <c r="B343" s="0">
        <f>C343+D343+E343+F343+G343+H343</f>
        <v>26.5647702731483</v>
      </c>
      <c r="C343" s="49">
        <v>10</v>
      </c>
      <c r="D343" s="49">
        <v>0</v>
      </c>
      <c r="E343" s="49">
        <v>3</v>
      </c>
      <c r="F343" s="49">
        <v>10.1735777048612</v>
      </c>
      <c r="G343" s="49">
        <v>0</v>
      </c>
      <c r="H343" s="49">
        <v>3.39119256828707</v>
      </c>
      <c r="I343" s="78">
        <f>(100*B343)/N343</f>
        <v>7.66337160477536</v>
      </c>
      <c r="J343" s="110">
        <f>((C343+F343)*100)/B343</f>
        <v>75.9410960359507</v>
      </c>
      <c r="K343" s="110">
        <f>((D343+G343)*100)/B343</f>
        <v>0</v>
      </c>
      <c r="L343" s="110">
        <f>((E343+H343)*100)/B343</f>
        <v>24.0589039640493</v>
      </c>
      <c r="M343" s="111"/>
      <c r="N343" s="0">
        <f>O343+P343+Q343+R343+S343+T343</f>
        <v>346.645988778551</v>
      </c>
      <c r="O343" s="49">
        <v>56</v>
      </c>
      <c r="P343" s="49">
        <v>60</v>
      </c>
      <c r="Q343" s="49">
        <v>43</v>
      </c>
      <c r="R343" s="49">
        <v>58.7806711836425</v>
      </c>
      <c r="S343" s="49">
        <v>76.8670315478402</v>
      </c>
      <c r="T343" s="49">
        <v>51.9982860470684</v>
      </c>
      <c r="U343" s="49">
        <v>43</v>
      </c>
      <c r="V343" s="110">
        <f>((O343+R343)*100)/N343</f>
        <v>33.1117840388363</v>
      </c>
      <c r="W343" s="110">
        <f>((P343+S343)*100)/N343</f>
        <v>39.4832295709256</v>
      </c>
      <c r="X343" s="110">
        <f>((Q343+T343)*100)/N343</f>
        <v>27.4049863902382</v>
      </c>
    </row>
    <row r="344" spans="1:24" s="168" customFormat="1" ht="22.500000" customHeight="1">
      <c r="A344" s="34">
        <v>342</v>
      </c>
      <c r="B344" s="0">
        <f>C344+D344+E344+F344+G344+H344</f>
        <v>168.257367139661</v>
      </c>
      <c r="C344" s="49">
        <v>48</v>
      </c>
      <c r="D344" s="49">
        <v>1</v>
      </c>
      <c r="E344" s="49">
        <v>13</v>
      </c>
      <c r="F344" s="49">
        <v>82.519019161652</v>
      </c>
      <c r="G344" s="49">
        <v>5.65198761381178</v>
      </c>
      <c r="H344" s="49">
        <v>18.0863603641977</v>
      </c>
      <c r="I344" s="78">
        <f>(100*B344)/N344</f>
        <v>28.7733209319884</v>
      </c>
      <c r="J344" s="110">
        <f>((C344+F344)*100)/B344</f>
        <v>77.571057589006</v>
      </c>
      <c r="K344" s="110">
        <f>((D344+G344)*100)/B344</f>
        <v>3.95345994466342</v>
      </c>
      <c r="L344" s="110">
        <f>((E344+H344)*100)/B344</f>
        <v>18.4754824663306</v>
      </c>
      <c r="M344" s="111"/>
      <c r="N344" s="0">
        <f>O344+P344+Q344+R344+S344+T344</f>
        <v>584.76867351312</v>
      </c>
      <c r="O344" s="49">
        <v>60</v>
      </c>
      <c r="P344" s="49">
        <v>60</v>
      </c>
      <c r="Q344" s="49">
        <v>42</v>
      </c>
      <c r="R344" s="49">
        <v>113.039752276235</v>
      </c>
      <c r="S344" s="49">
        <v>180.863603641977</v>
      </c>
      <c r="T344" s="49">
        <v>128.865317594908</v>
      </c>
      <c r="U344" s="49">
        <v>47</v>
      </c>
      <c r="V344" s="110">
        <f>((O344+R344)*100)/N344</f>
        <v>29.591146057237</v>
      </c>
      <c r="W344" s="110">
        <f>((P344+S344)*100)/N344</f>
        <v>41.1895531603871</v>
      </c>
      <c r="X344" s="110">
        <f>((Q344+T344)*100)/N344</f>
        <v>29.2193007823759</v>
      </c>
    </row>
    <row r="345" spans="1:24" s="168" customFormat="1" ht="22.500000" customHeight="1">
      <c r="A345" s="34">
        <v>343</v>
      </c>
      <c r="B345" s="0">
        <f>C345+D345+E345+F345+G345+H345</f>
        <v>39.825565318673</v>
      </c>
      <c r="C345" s="49">
        <v>19</v>
      </c>
      <c r="D345" s="49">
        <v>3</v>
      </c>
      <c r="E345" s="49">
        <v>2</v>
      </c>
      <c r="F345" s="49">
        <v>7.91278265933649</v>
      </c>
      <c r="G345" s="49">
        <v>7.91278265933649</v>
      </c>
      <c r="H345" s="49">
        <v>0</v>
      </c>
      <c r="I345" s="78">
        <f>(100*B345)/N345</f>
        <v>8.9418939827294</v>
      </c>
      <c r="J345" s="110">
        <f>((C345+F345)*100)/B345</f>
        <v>67.5766494310576</v>
      </c>
      <c r="K345" s="110">
        <f>((D345+G345)*100)/B345</f>
        <v>27.4014507314974</v>
      </c>
      <c r="L345" s="110">
        <f>((E345+H345)*100)/B345</f>
        <v>5.02189983744502</v>
      </c>
      <c r="M345" s="111"/>
      <c r="N345" s="0">
        <f>O345+P345+Q345+R345+S345+T345</f>
        <v>445.381765827163</v>
      </c>
      <c r="O345" s="49">
        <v>55</v>
      </c>
      <c r="P345" s="49">
        <v>59</v>
      </c>
      <c r="Q345" s="49">
        <v>42</v>
      </c>
      <c r="R345" s="49">
        <v>76.8670315478402</v>
      </c>
      <c r="S345" s="49">
        <v>125.474125026621</v>
      </c>
      <c r="T345" s="49">
        <v>87.0406092527014</v>
      </c>
      <c r="U345" s="49">
        <v>51</v>
      </c>
      <c r="V345" s="110">
        <f>((O345+R345)*100)/N345</f>
        <v>29.6076403808173</v>
      </c>
      <c r="W345" s="110">
        <f>((P345+S345)*100)/N345</f>
        <v>41.4193258864147</v>
      </c>
      <c r="X345" s="110">
        <f>((Q345+T345)*100)/N345</f>
        <v>28.973033732768</v>
      </c>
    </row>
    <row r="346" spans="1:24" s="168" customFormat="1" ht="22.500000" customHeight="1">
      <c r="A346" s="34">
        <v>344</v>
      </c>
      <c r="B346" s="0">
        <f>C346+D346+E346+F346+G346+H346</f>
        <v>45.21675788696</v>
      </c>
      <c r="C346" s="49">
        <v>19</v>
      </c>
      <c r="D346" s="49">
        <v>2</v>
      </c>
      <c r="E346" s="49">
        <v>5</v>
      </c>
      <c r="F346" s="49">
        <v>14.6951677959106</v>
      </c>
      <c r="G346" s="49">
        <v>1.13039752276235</v>
      </c>
      <c r="H346" s="49">
        <v>3.39119256828707</v>
      </c>
      <c r="I346" s="78">
        <f>(100*B346)/N346</f>
        <v>6.20643169595564</v>
      </c>
      <c r="J346" s="110">
        <f>((C346+F346)*100)/B346</f>
        <v>74.5192034337072</v>
      </c>
      <c r="K346" s="110">
        <f>((D346+G346)*100)/B346</f>
        <v>6.92309150202279</v>
      </c>
      <c r="L346" s="110">
        <f>((E346+H346)*100)/B346</f>
        <v>18.55770506427</v>
      </c>
      <c r="M346" s="111"/>
      <c r="N346" s="0">
        <f>O346+P346+Q346+R346+S346+T346</f>
        <v>728.546773767366</v>
      </c>
      <c r="O346" s="49">
        <v>62</v>
      </c>
      <c r="P346" s="49">
        <v>62</v>
      </c>
      <c r="Q346" s="49">
        <v>45</v>
      </c>
      <c r="R346" s="49">
        <v>165.038038323304</v>
      </c>
      <c r="S346" s="49">
        <v>241.905069871144</v>
      </c>
      <c r="T346" s="49">
        <v>152.603665572918</v>
      </c>
      <c r="U346" s="49">
        <v>50</v>
      </c>
      <c r="V346" s="110">
        <f>((O346+R346)*100)/N346</f>
        <v>31.1631382497619</v>
      </c>
      <c r="W346" s="110">
        <f>((P346+S346)*100)/N346</f>
        <v>41.7138721649442</v>
      </c>
      <c r="X346" s="110">
        <f>((Q346+T346)*100)/N346</f>
        <v>27.122989585294</v>
      </c>
    </row>
    <row r="347" spans="1:24" s="168" customFormat="1" ht="22.500000" customHeight="1">
      <c r="A347" s="34">
        <v>345</v>
      </c>
      <c r="B347" s="0">
        <f>C347+D347+E347+F347+G347+H347</f>
        <v>142.736634025078</v>
      </c>
      <c r="C347" s="49">
        <v>34</v>
      </c>
      <c r="D347" s="49">
        <v>3</v>
      </c>
      <c r="E347" s="49">
        <v>30</v>
      </c>
      <c r="F347" s="49">
        <v>53.1286835698307</v>
      </c>
      <c r="G347" s="49">
        <v>5.65198761381178</v>
      </c>
      <c r="H347" s="49">
        <v>16.9559628414353</v>
      </c>
      <c r="I347" s="78">
        <f>(100*B347)/N347</f>
        <v>29.3782336323239</v>
      </c>
      <c r="J347" s="110">
        <f>((C347+F347)*100)/B347</f>
        <v>61.041570837745</v>
      </c>
      <c r="K347" s="110">
        <f>((D347+G347)*100)/B347</f>
        <v>6.06150458353368</v>
      </c>
      <c r="L347" s="110">
        <f>((E347+H347)*100)/B347</f>
        <v>32.8969245787213</v>
      </c>
      <c r="M347" s="111"/>
      <c r="N347" s="0">
        <f>O347+P347+Q347+R347+S347+T347</f>
        <v>485.858461783181</v>
      </c>
      <c r="O347" s="49">
        <v>62</v>
      </c>
      <c r="P347" s="49">
        <v>50</v>
      </c>
      <c r="Q347" s="49">
        <v>37</v>
      </c>
      <c r="R347" s="49">
        <v>122.082932458334</v>
      </c>
      <c r="S347" s="49">
        <v>139.038895299769</v>
      </c>
      <c r="T347" s="49">
        <v>75.7366340250779</v>
      </c>
      <c r="U347" s="49">
        <v>51</v>
      </c>
      <c r="V347" s="110">
        <f>((O347+R347)*100)/N347</f>
        <v>37.888180805315</v>
      </c>
      <c r="W347" s="110">
        <f>((P347+S347)*100)/N347</f>
        <v>38.9082233138361</v>
      </c>
      <c r="X347" s="110">
        <f>((Q347+T347)*100)/N347</f>
        <v>23.2035958808489</v>
      </c>
    </row>
    <row r="348" spans="1:24" s="168" customFormat="1" ht="22.500000" customHeight="1">
      <c r="A348" s="34">
        <v>346</v>
      </c>
      <c r="B348" s="0">
        <f>C348+D348+E348+F348+G348+H348</f>
        <v>74.1727207283954</v>
      </c>
      <c r="C348" s="49">
        <v>31</v>
      </c>
      <c r="D348" s="49">
        <v>5</v>
      </c>
      <c r="E348" s="49">
        <v>2</v>
      </c>
      <c r="F348" s="49">
        <v>30.5207331145836</v>
      </c>
      <c r="G348" s="49">
        <v>4.52159009104942</v>
      </c>
      <c r="H348" s="49">
        <v>1.13039752276235</v>
      </c>
      <c r="I348" s="78">
        <f>(100*B348)/N348</f>
        <v>14.144886499779</v>
      </c>
      <c r="J348" s="110">
        <f>((C348+F348)*100)/B348</f>
        <v>82.9425326594926</v>
      </c>
      <c r="K348" s="110">
        <f>((D348+G348)*100)/B348</f>
        <v>12.8370511389429</v>
      </c>
      <c r="L348" s="110">
        <f>((E348+H348)*100)/B348</f>
        <v>4.22041620156445</v>
      </c>
      <c r="M348" s="111"/>
      <c r="N348" s="0">
        <f>O348+P348+Q348+R348+S348+T348</f>
        <v>524.378337921299</v>
      </c>
      <c r="O348" s="49">
        <v>48</v>
      </c>
      <c r="P348" s="49">
        <v>48</v>
      </c>
      <c r="Q348" s="49">
        <v>35</v>
      </c>
      <c r="R348" s="49">
        <v>71.2150439340284</v>
      </c>
      <c r="S348" s="49">
        <v>175.211616028165</v>
      </c>
      <c r="T348" s="49">
        <v>146.951677959106</v>
      </c>
      <c r="U348" s="49">
        <v>49</v>
      </c>
      <c r="V348" s="110">
        <f>((O348+R348)*100)/N348</f>
        <v>22.734547808861</v>
      </c>
      <c r="W348" s="110">
        <f>((P348+S348)*100)/N348</f>
        <v>42.5669025370124</v>
      </c>
      <c r="X348" s="110">
        <f>((Q348+T348)*100)/N348</f>
        <v>34.6985496541266</v>
      </c>
    </row>
    <row r="349" spans="1:24" s="168" customFormat="1" ht="22.500000" customHeight="1">
      <c r="A349" s="34">
        <v>347</v>
      </c>
      <c r="B349" s="0">
        <f>C349+D349+E349+F349+G349+H349</f>
        <v>60.1295405462965</v>
      </c>
      <c r="C349" s="49">
        <v>32</v>
      </c>
      <c r="D349" s="49">
        <v>0</v>
      </c>
      <c r="E349" s="49">
        <v>1</v>
      </c>
      <c r="F349" s="49">
        <v>23.7383479780094</v>
      </c>
      <c r="G349" s="49">
        <v>0</v>
      </c>
      <c r="H349" s="49">
        <v>3.39119256828707</v>
      </c>
      <c r="I349" s="78">
        <f>(100*B349)/N349</f>
        <v>14.737973004132</v>
      </c>
      <c r="J349" s="110">
        <f>((C349+F349)*100)/B349</f>
        <v>92.6971127196522</v>
      </c>
      <c r="K349" s="110">
        <f>((D349+G349)*100)/B349</f>
        <v>0</v>
      </c>
      <c r="L349" s="110">
        <f>((E349+H349)*100)/B349</f>
        <v>7.30288728034782</v>
      </c>
      <c r="M349" s="111"/>
      <c r="N349" s="0">
        <f>O349+P349+Q349+R349+S349+T349</f>
        <v>407.990573258875</v>
      </c>
      <c r="O349" s="49">
        <v>38</v>
      </c>
      <c r="P349" s="49">
        <v>48</v>
      </c>
      <c r="Q349" s="49">
        <v>36</v>
      </c>
      <c r="R349" s="49">
        <v>41.8247083422072</v>
      </c>
      <c r="S349" s="49">
        <v>131.126112640433</v>
      </c>
      <c r="T349" s="49">
        <v>113.039752276235</v>
      </c>
      <c r="U349" s="49">
        <v>37</v>
      </c>
      <c r="V349" s="110">
        <f>((O349+R349)*100)/N349</f>
        <v>19.5653315478829</v>
      </c>
      <c r="W349" s="110">
        <f>((P349+S349)*100)/N349</f>
        <v>43.9044733827159</v>
      </c>
      <c r="X349" s="110">
        <f>((Q349+T349)*100)/N349</f>
        <v>36.5301950694011</v>
      </c>
    </row>
    <row r="350" spans="1:24" s="168" customFormat="1" ht="22.500000" customHeight="1">
      <c r="A350" s="34">
        <v>348</v>
      </c>
      <c r="B350" s="0">
        <f>C350+D350+E350+F350+G350+H350</f>
        <v>1</v>
      </c>
      <c r="C350" s="49">
        <v>1</v>
      </c>
      <c r="D350" s="49">
        <v>0</v>
      </c>
      <c r="E350" s="49">
        <v>0</v>
      </c>
      <c r="F350" s="49">
        <v>0</v>
      </c>
      <c r="G350" s="49">
        <v>0</v>
      </c>
      <c r="H350" s="49">
        <v>0</v>
      </c>
      <c r="I350" s="78">
        <f>(100*B350)/N350</f>
        <v>0.78659393778813</v>
      </c>
      <c r="J350" s="110">
        <f>((C350+F350)*100)/B350</f>
        <v>100</v>
      </c>
      <c r="K350" s="110">
        <f>((D350+G350)*100)/B350</f>
        <v>0</v>
      </c>
      <c r="L350" s="110">
        <f>((E350+H350)*100)/B350</f>
        <v>0</v>
      </c>
      <c r="M350" s="111"/>
      <c r="N350" s="0">
        <f>O350+P350+Q350+R350+S350+T350</f>
        <v>127.130397522762</v>
      </c>
      <c r="O350" s="49">
        <v>42</v>
      </c>
      <c r="P350" s="49">
        <v>48</v>
      </c>
      <c r="Q350" s="49">
        <v>36</v>
      </c>
      <c r="R350" s="49">
        <v>0</v>
      </c>
      <c r="S350" s="49">
        <v>1.13039752276235</v>
      </c>
      <c r="T350" s="49">
        <v>0</v>
      </c>
      <c r="U350" s="49">
        <v>28</v>
      </c>
      <c r="V350" s="110">
        <f>((O350+R350)*100)/N350</f>
        <v>33.0369453871015</v>
      </c>
      <c r="W350" s="110">
        <f>((P350+S350)*100)/N350</f>
        <v>38.6456728525258</v>
      </c>
      <c r="X350" s="110">
        <f>((Q350+T350)*100)/N350</f>
        <v>28.3173817603727</v>
      </c>
    </row>
    <row r="351" spans="1:24" s="168" customFormat="1" ht="22.500000" customHeight="1">
      <c r="A351" s="34">
        <v>349</v>
      </c>
      <c r="B351" s="0">
        <f>C351+D351+E351+F351+G351+H351</f>
        <v>71.0855033877319</v>
      </c>
      <c r="C351" s="49">
        <v>19</v>
      </c>
      <c r="D351" s="49">
        <v>3</v>
      </c>
      <c r="E351" s="49">
        <v>5</v>
      </c>
      <c r="F351" s="49">
        <v>33.9119256828707</v>
      </c>
      <c r="G351" s="49">
        <v>3.39119256828707</v>
      </c>
      <c r="H351" s="49">
        <v>6.78238513657414</v>
      </c>
      <c r="I351" s="78">
        <f>(100*B351)/N351</f>
        <v>11.1872016998498</v>
      </c>
      <c r="J351" s="110">
        <f>((C351+F351)*100)/B351</f>
        <v>74.4341998877965</v>
      </c>
      <c r="K351" s="110">
        <f>((D351+G351)*100)/B351</f>
        <v>8.99085223245402</v>
      </c>
      <c r="L351" s="110">
        <f>((E351+H351)*100)/B351</f>
        <v>16.5749478797495</v>
      </c>
      <c r="M351" s="111"/>
      <c r="N351" s="0">
        <f>O351+P351+Q351+R351+S351+T351</f>
        <v>635.418090197534</v>
      </c>
      <c r="O351" s="49">
        <v>41</v>
      </c>
      <c r="P351" s="49">
        <v>51</v>
      </c>
      <c r="Q351" s="49">
        <v>37</v>
      </c>
      <c r="R351" s="49">
        <v>163.907640800541</v>
      </c>
      <c r="S351" s="49">
        <v>197.819566483412</v>
      </c>
      <c r="T351" s="49">
        <v>144.690882913581</v>
      </c>
      <c r="U351" s="49">
        <v>55</v>
      </c>
      <c r="V351" s="110">
        <f>((O351+R351)*100)/N351</f>
        <v>32.2476876188465</v>
      </c>
      <c r="W351" s="110">
        <f>((P351+S351)*100)/N351</f>
        <v>39.1584014244953</v>
      </c>
      <c r="X351" s="110">
        <f>((Q351+T351)*100)/N351</f>
        <v>28.5939109566582</v>
      </c>
    </row>
    <row r="352" spans="1:24" s="168" customFormat="1" ht="22.500000" customHeight="1">
      <c r="A352" s="34">
        <v>350</v>
      </c>
      <c r="B352" s="0">
        <f>C352+D352+E352+F352+G352+H352</f>
        <v>32.6951677959106</v>
      </c>
      <c r="C352" s="49">
        <v>15</v>
      </c>
      <c r="D352" s="49">
        <v>1</v>
      </c>
      <c r="E352" s="49">
        <v>2</v>
      </c>
      <c r="F352" s="49">
        <v>12.4343727503859</v>
      </c>
      <c r="G352" s="49">
        <v>1.13039752276235</v>
      </c>
      <c r="H352" s="49">
        <v>1.13039752276235</v>
      </c>
      <c r="I352" s="78">
        <f>(100*B352)/N352</f>
        <v>12.1486419415544</v>
      </c>
      <c r="J352" s="110">
        <f>((C352+F352)*100)/B352</f>
        <v>83.9095640115274</v>
      </c>
      <c r="K352" s="110">
        <f>((D352+G352)*100)/B352</f>
        <v>6.5159400192123</v>
      </c>
      <c r="L352" s="110">
        <f>((E352+H352)*100)/B352</f>
        <v>9.57449596926029</v>
      </c>
      <c r="M352" s="111"/>
      <c r="N352" s="0">
        <f>O352+P352+Q352+R352+S352+T352</f>
        <v>269.126112640433</v>
      </c>
      <c r="O352" s="49">
        <v>48</v>
      </c>
      <c r="P352" s="49">
        <v>54</v>
      </c>
      <c r="Q352" s="49">
        <v>36</v>
      </c>
      <c r="R352" s="49">
        <v>39.5639132966824</v>
      </c>
      <c r="S352" s="49">
        <v>53.1286835698307</v>
      </c>
      <c r="T352" s="49">
        <v>38.4335157739201</v>
      </c>
      <c r="U352" s="49">
        <v>37</v>
      </c>
      <c r="V352" s="110">
        <f>((O352+R352)*100)/N352</f>
        <v>32.5363869145141</v>
      </c>
      <c r="W352" s="110">
        <f>((P352+S352)*100)/N352</f>
        <v>39.8061275135202</v>
      </c>
      <c r="X352" s="110">
        <f>((Q352+T352)*100)/N352</f>
        <v>27.6574855719658</v>
      </c>
    </row>
    <row r="353" spans="1:24" s="168" customFormat="1" ht="22.500000" customHeight="1">
      <c r="A353" s="34">
        <v>351</v>
      </c>
      <c r="B353" s="0">
        <f>C353+D353+E353+F353+G353+H353</f>
        <v>0</v>
      </c>
      <c r="C353" s="49">
        <v>0</v>
      </c>
      <c r="D353" s="49">
        <v>0</v>
      </c>
      <c r="E353" s="49">
        <v>0</v>
      </c>
      <c r="F353" s="49">
        <v>0</v>
      </c>
      <c r="G353" s="49">
        <v>0</v>
      </c>
      <c r="H353" s="49">
        <v>0</v>
      </c>
      <c r="I353" s="78">
        <f>(100*B353)/N353</f>
        <v>0</v>
      </c>
      <c r="J353" s="110" t="e">
        <f>((C353+F353)*100)/B353</f>
        <v>#DIV/0!</v>
      </c>
      <c r="K353" s="110" t="e">
        <f>((D353+G353)*100)/B353</f>
        <v>#DIV/0!</v>
      </c>
      <c r="L353" s="110" t="e">
        <f>((E353+H353)*100)/B353</f>
        <v>#DIV/0!</v>
      </c>
      <c r="M353" s="111"/>
      <c r="N353" s="0">
        <f>O353+P353+Q353+R353+S353+T353</f>
        <v>134</v>
      </c>
      <c r="O353" s="49">
        <v>49</v>
      </c>
      <c r="P353" s="49">
        <v>50</v>
      </c>
      <c r="Q353" s="49">
        <v>35</v>
      </c>
      <c r="R353" s="49">
        <v>0</v>
      </c>
      <c r="S353" s="49">
        <v>0</v>
      </c>
      <c r="T353" s="49">
        <v>0</v>
      </c>
      <c r="U353" s="49">
        <v>26</v>
      </c>
      <c r="V353" s="110">
        <f>((O353+R353)*100)/N353</f>
        <v>36.5671641791045</v>
      </c>
      <c r="W353" s="110">
        <f>((P353+S353)*100)/N353</f>
        <v>37.3134328358209</v>
      </c>
      <c r="X353" s="110">
        <f>((Q353+T353)*100)/N353</f>
        <v>26.1194029850746</v>
      </c>
    </row>
    <row r="354" spans="1:24" s="168" customFormat="1" ht="22.500000" customHeight="1">
      <c r="A354" s="34">
        <v>352</v>
      </c>
      <c r="B354" s="0">
        <f>C354+D354+E354+F354+G354+H354</f>
        <v>0</v>
      </c>
      <c r="C354" s="49">
        <v>0</v>
      </c>
      <c r="D354" s="49">
        <v>0</v>
      </c>
      <c r="E354" s="49">
        <v>0</v>
      </c>
      <c r="F354" s="49">
        <v>0</v>
      </c>
      <c r="G354" s="49">
        <v>0</v>
      </c>
      <c r="H354" s="49">
        <v>0</v>
      </c>
      <c r="I354" s="78">
        <f>(100*B354)/N354</f>
        <v>0</v>
      </c>
      <c r="J354" s="110" t="e">
        <f>((C354+F354)*100)/B354</f>
        <v>#DIV/0!</v>
      </c>
      <c r="K354" s="110" t="e">
        <f>((D354+G354)*100)/B354</f>
        <v>#DIV/0!</v>
      </c>
      <c r="L354" s="110" t="e">
        <f>((E354+H354)*100)/B354</f>
        <v>#DIV/0!</v>
      </c>
      <c r="M354" s="111"/>
      <c r="N354" s="0">
        <f>O354+P354+Q354+R354+S354+T354</f>
        <v>136.391192568287</v>
      </c>
      <c r="O354" s="49">
        <v>47</v>
      </c>
      <c r="P354" s="49">
        <v>50</v>
      </c>
      <c r="Q354" s="49">
        <v>36</v>
      </c>
      <c r="R354" s="49">
        <v>2.26079504552471</v>
      </c>
      <c r="S354" s="49">
        <v>1.13039752276235</v>
      </c>
      <c r="T354" s="49">
        <v>0</v>
      </c>
      <c r="U354" s="49">
        <v>21</v>
      </c>
      <c r="V354" s="110">
        <f>((O354+R354)*100)/N354</f>
        <v>36.1172844946431</v>
      </c>
      <c r="W354" s="110">
        <f>((P354+S354)*100)/N354</f>
        <v>37.4880493087286</v>
      </c>
      <c r="X354" s="110">
        <f>((Q354+T354)*100)/N354</f>
        <v>26.3946661966284</v>
      </c>
    </row>
    <row r="355" spans="1:24" s="168" customFormat="1" ht="22.500000" customHeight="1">
      <c r="A355" s="34">
        <v>353</v>
      </c>
      <c r="B355" s="0">
        <f>C355+D355+E355+F355+G355+H355</f>
        <v>293.774672348381</v>
      </c>
      <c r="C355" s="49">
        <v>26</v>
      </c>
      <c r="D355" s="49">
        <v>8</v>
      </c>
      <c r="E355" s="49">
        <v>19</v>
      </c>
      <c r="F355" s="49">
        <v>185.385193733026</v>
      </c>
      <c r="G355" s="49">
        <v>16.9559628414353</v>
      </c>
      <c r="H355" s="49">
        <v>38.4335157739201</v>
      </c>
      <c r="I355" s="78">
        <f>(100*B355)/N355</f>
        <v>15.9906794565324</v>
      </c>
      <c r="J355" s="110">
        <f>((C355+F355)*100)/B355</f>
        <v>71.9548734556492</v>
      </c>
      <c r="K355" s="110">
        <f>((D355+G355)*100)/B355</f>
        <v>8.49493342701802</v>
      </c>
      <c r="L355" s="110">
        <f>((E355+H355)*100)/B355</f>
        <v>19.5501931173328</v>
      </c>
      <c r="M355" s="111"/>
      <c r="N355" s="0">
        <f>O355+P355+Q355+R355+S355+T355</f>
        <v>1837.16191139315</v>
      </c>
      <c r="O355" s="49">
        <v>58</v>
      </c>
      <c r="P355" s="49">
        <v>54</v>
      </c>
      <c r="Q355" s="49">
        <v>42</v>
      </c>
      <c r="R355" s="49">
        <v>803.712638684035</v>
      </c>
      <c r="S355" s="49">
        <v>570.85074899499</v>
      </c>
      <c r="T355" s="49">
        <v>308.598523714123</v>
      </c>
      <c r="U355" s="49">
        <v>55</v>
      </c>
      <c r="V355" s="110">
        <f>((O355+R355)*100)/N355</f>
        <v>46.9045560622681</v>
      </c>
      <c r="W355" s="110">
        <f>((P355+S355)*100)/N355</f>
        <v>34.0117408879415</v>
      </c>
      <c r="X355" s="110">
        <f>((Q355+T355)*100)/N355</f>
        <v>19.0837030497905</v>
      </c>
    </row>
    <row r="356" spans="1:24" s="168" customFormat="1" ht="22.500000" customHeight="1">
      <c r="A356" s="34">
        <v>354</v>
      </c>
      <c r="B356" s="0">
        <f>C356+D356+E356+F356+G356+H356</f>
        <v>32.6519876138118</v>
      </c>
      <c r="C356" s="49">
        <v>26</v>
      </c>
      <c r="D356" s="49">
        <v>0</v>
      </c>
      <c r="E356" s="49">
        <v>1</v>
      </c>
      <c r="F356" s="49">
        <v>5.65198761381178</v>
      </c>
      <c r="G356" s="49">
        <v>0</v>
      </c>
      <c r="H356" s="49">
        <v>0</v>
      </c>
      <c r="I356" s="78">
        <f>(100*B356)/N356</f>
        <v>14.318496920708</v>
      </c>
      <c r="J356" s="110">
        <f>((C356+F356)*100)/B356</f>
        <v>96.9373993037502</v>
      </c>
      <c r="K356" s="110">
        <f>((D356+G356)*100)/B356</f>
        <v>0</v>
      </c>
      <c r="L356" s="110">
        <f>((E356+H356)*100)/B356</f>
        <v>3.06260069624981</v>
      </c>
      <c r="M356" s="111"/>
      <c r="N356" s="0">
        <f>O356+P356+Q356+R356+S356+T356</f>
        <v>228.040609252701</v>
      </c>
      <c r="O356" s="49">
        <v>41</v>
      </c>
      <c r="P356" s="49">
        <v>56</v>
      </c>
      <c r="Q356" s="49">
        <v>44</v>
      </c>
      <c r="R356" s="49">
        <v>13.5647702731482</v>
      </c>
      <c r="S356" s="49">
        <v>36.1727207283954</v>
      </c>
      <c r="T356" s="49">
        <v>37.3031182511577</v>
      </c>
      <c r="U356" s="49">
        <v>24</v>
      </c>
      <c r="V356" s="110">
        <f>((O356+R356)*100)/N356</f>
        <v>23.9276550137097</v>
      </c>
      <c r="W356" s="110">
        <f>((P356+S356)*100)/N356</f>
        <v>40.4194327626335</v>
      </c>
      <c r="X356" s="110">
        <f>((Q356+T356)*100)/N356</f>
        <v>35.6529122236568</v>
      </c>
    </row>
    <row r="357" spans="1:24" s="168" customFormat="1" ht="22.500000" customHeight="1">
      <c r="A357" s="34">
        <v>355</v>
      </c>
      <c r="B357" s="0">
        <f>C357+D357+E357+F357+G357+H357</f>
        <v>56.2599380690589</v>
      </c>
      <c r="C357" s="49">
        <v>26</v>
      </c>
      <c r="D357" s="49">
        <v>0</v>
      </c>
      <c r="E357" s="49">
        <v>2</v>
      </c>
      <c r="F357" s="49">
        <v>27.1295405462965</v>
      </c>
      <c r="G357" s="49">
        <v>0</v>
      </c>
      <c r="H357" s="49">
        <v>1.13039752276235</v>
      </c>
      <c r="I357" s="78">
        <f>(100*B357)/N357</f>
        <v>11.6671884519946</v>
      </c>
      <c r="J357" s="110">
        <f>((C357+F357)*100)/B357</f>
        <v>94.4358319077426</v>
      </c>
      <c r="K357" s="110">
        <f>((D357+G357)*100)/B357</f>
        <v>0</v>
      </c>
      <c r="L357" s="110">
        <f>((E357+H357)*100)/B357</f>
        <v>5.56416809225741</v>
      </c>
      <c r="M357" s="111"/>
      <c r="N357" s="0">
        <f>O357+P357+Q357+R357+S357+T357</f>
        <v>482.20647416937</v>
      </c>
      <c r="O357" s="49">
        <v>51</v>
      </c>
      <c r="P357" s="49">
        <v>57</v>
      </c>
      <c r="Q357" s="49">
        <v>43</v>
      </c>
      <c r="R357" s="49">
        <v>79.1278265933649</v>
      </c>
      <c r="S357" s="49">
        <v>129.995715117671</v>
      </c>
      <c r="T357" s="49">
        <v>122.082932458334</v>
      </c>
      <c r="U357" s="49">
        <v>36</v>
      </c>
      <c r="V357" s="110">
        <f>((O357+R357)*100)/N357</f>
        <v>26.9859144503437</v>
      </c>
      <c r="W357" s="110">
        <f>((P357+S357)*100)/N357</f>
        <v>38.7791796947112</v>
      </c>
      <c r="X357" s="110">
        <f>((Q357+T357)*100)/N357</f>
        <v>34.2349058549451</v>
      </c>
    </row>
    <row r="358" spans="1:24" s="168" customFormat="1" ht="22.500000" customHeight="1">
      <c r="A358" s="34">
        <v>356</v>
      </c>
      <c r="B358" s="0">
        <f>C358+D358+E358+F358+G358+H358</f>
        <v>112.215043934028</v>
      </c>
      <c r="C358" s="49">
        <v>34</v>
      </c>
      <c r="D358" s="49">
        <v>0</v>
      </c>
      <c r="E358" s="49">
        <v>7</v>
      </c>
      <c r="F358" s="49">
        <v>63.3022612746919</v>
      </c>
      <c r="G358" s="49">
        <v>1.13039752276235</v>
      </c>
      <c r="H358" s="49">
        <v>6.78238513657414</v>
      </c>
      <c r="I358" s="78">
        <f>(100*B358)/N358</f>
        <v>30.7664806423869</v>
      </c>
      <c r="J358" s="110">
        <f>((C358+F358)*100)/B358</f>
        <v>86.7105317286123</v>
      </c>
      <c r="K358" s="110">
        <f>((D358+G358)*100)/B358</f>
        <v>1.00734935631885</v>
      </c>
      <c r="L358" s="110">
        <f>((E358+H358)*100)/B358</f>
        <v>12.2821189150689</v>
      </c>
      <c r="M358" s="111"/>
      <c r="N358" s="0">
        <f>O358+P358+Q358+R358+S358+T358</f>
        <v>364.731492166283</v>
      </c>
      <c r="O358" s="49">
        <v>41</v>
      </c>
      <c r="P358" s="49">
        <v>53</v>
      </c>
      <c r="Q358" s="49">
        <v>39</v>
      </c>
      <c r="R358" s="49">
        <v>102.866174571374</v>
      </c>
      <c r="S358" s="49">
        <v>83.6494166844144</v>
      </c>
      <c r="T358" s="49">
        <v>45.2159009104942</v>
      </c>
      <c r="U358" s="49">
        <v>41</v>
      </c>
      <c r="V358" s="110">
        <f>((O358+R358)*100)/N358</f>
        <v>39.4444070943523</v>
      </c>
      <c r="W358" s="110">
        <f>((P358+S358)*100)/N358</f>
        <v>37.465757583147</v>
      </c>
      <c r="X358" s="110">
        <f>((Q358+T358)*100)/N358</f>
        <v>23.0898353225007</v>
      </c>
    </row>
    <row r="359" spans="1:24" s="168" customFormat="1" ht="22.500000" customHeight="1">
      <c r="A359" s="34">
        <v>357</v>
      </c>
      <c r="B359" s="0">
        <f>C359+D359+E359+F359+G359+H359</f>
        <v>106.084646411266</v>
      </c>
      <c r="C359" s="49">
        <v>29</v>
      </c>
      <c r="D359" s="49">
        <v>2</v>
      </c>
      <c r="E359" s="49">
        <v>5</v>
      </c>
      <c r="F359" s="49">
        <v>55.3894786153554</v>
      </c>
      <c r="G359" s="49">
        <v>5.65198761381178</v>
      </c>
      <c r="H359" s="49">
        <v>9.04318018209885</v>
      </c>
      <c r="I359" s="78">
        <f>(100*B359)/N359</f>
        <v>15.1281091622632</v>
      </c>
      <c r="J359" s="110">
        <f>((C359+F359)*100)/B359</f>
        <v>79.5491915844227</v>
      </c>
      <c r="K359" s="110">
        <f>((D359+G359)*100)/B359</f>
        <v>7.21309621389203</v>
      </c>
      <c r="L359" s="110">
        <f>((E359+H359)*100)/B359</f>
        <v>13.2377122016853</v>
      </c>
      <c r="M359" s="111"/>
      <c r="N359" s="0">
        <f>O359+P359+Q359+R359+S359+T359</f>
        <v>701.241941563275</v>
      </c>
      <c r="O359" s="49">
        <v>40</v>
      </c>
      <c r="P359" s="49">
        <v>48</v>
      </c>
      <c r="Q359" s="49">
        <v>39</v>
      </c>
      <c r="R359" s="49">
        <v>183.124398687501</v>
      </c>
      <c r="S359" s="49">
        <v>236.253082257332</v>
      </c>
      <c r="T359" s="49">
        <v>154.864460618442</v>
      </c>
      <c r="U359" s="49">
        <v>44</v>
      </c>
      <c r="V359" s="110">
        <f>((O359+R359)*100)/N359</f>
        <v>31.8184617123857</v>
      </c>
      <c r="W359" s="110">
        <f>((P359+S359)*100)/N359</f>
        <v>40.5356647127592</v>
      </c>
      <c r="X359" s="110">
        <f>((Q359+T359)*100)/N359</f>
        <v>27.6458735748551</v>
      </c>
    </row>
    <row r="360" spans="1:24" s="168" customFormat="1" ht="22.500000" customHeight="1">
      <c r="A360" s="34">
        <v>358</v>
      </c>
      <c r="B360" s="0">
        <f>C360+D360+E360+F360+G360+H360</f>
        <v>21.0431801820988</v>
      </c>
      <c r="C360" s="49">
        <v>8</v>
      </c>
      <c r="D360" s="49">
        <v>1</v>
      </c>
      <c r="E360" s="49">
        <v>3</v>
      </c>
      <c r="F360" s="49">
        <v>4.52159009104942</v>
      </c>
      <c r="G360" s="49">
        <v>0</v>
      </c>
      <c r="H360" s="49">
        <v>4.52159009104942</v>
      </c>
      <c r="I360" s="78">
        <f>(100*B360)/N360</f>
        <v>6.8682105442847</v>
      </c>
      <c r="J360" s="110">
        <f>((C360+F360)*100)/B360</f>
        <v>59.5042668583971</v>
      </c>
      <c r="K360" s="110">
        <f>((D360+G360)*100)/B360</f>
        <v>4.75213342919854</v>
      </c>
      <c r="L360" s="110">
        <f>((E360+H360)*100)/B360</f>
        <v>35.7435997124044</v>
      </c>
      <c r="M360" s="111"/>
      <c r="N360" s="0">
        <f>O360+P360+Q360+R360+S360+T360</f>
        <v>306.385193733026</v>
      </c>
      <c r="O360" s="49">
        <v>35</v>
      </c>
      <c r="P360" s="49">
        <v>47</v>
      </c>
      <c r="Q360" s="49">
        <v>39</v>
      </c>
      <c r="R360" s="49">
        <v>27.1295405462965</v>
      </c>
      <c r="S360" s="49">
        <v>77.9974290706026</v>
      </c>
      <c r="T360" s="49">
        <v>80.2582241161273</v>
      </c>
      <c r="U360" s="49">
        <v>29</v>
      </c>
      <c r="V360" s="110">
        <f>((O360+R360)*100)/N360</f>
        <v>20.2782451035914</v>
      </c>
      <c r="W360" s="110">
        <f>((P360+S360)*100)/N360</f>
        <v>40.7974770411135</v>
      </c>
      <c r="X360" s="110">
        <f>((Q360+T360)*100)/N360</f>
        <v>38.9242778552951</v>
      </c>
    </row>
    <row r="361" spans="1:24" s="168" customFormat="1" ht="22.500000" customHeight="1">
      <c r="A361" s="34">
        <v>359</v>
      </c>
      <c r="B361" s="0">
        <f>C361+D361+E361+F361+G361+H361</f>
        <v>36.5647702731483</v>
      </c>
      <c r="C361" s="49">
        <v>22</v>
      </c>
      <c r="D361" s="49">
        <v>0</v>
      </c>
      <c r="E361" s="49">
        <v>1</v>
      </c>
      <c r="F361" s="49">
        <v>12.4343727503859</v>
      </c>
      <c r="G361" s="49">
        <v>0</v>
      </c>
      <c r="H361" s="49">
        <v>1.13039752276235</v>
      </c>
      <c r="I361" s="78">
        <f>(100*B361)/N361</f>
        <v>10.4123676856475</v>
      </c>
      <c r="J361" s="110">
        <f>((C361+F361)*100)/B361</f>
        <v>94.1736335088455</v>
      </c>
      <c r="K361" s="110">
        <f>((D361+G361)*100)/B361</f>
        <v>0</v>
      </c>
      <c r="L361" s="110">
        <f>((E361+H361)*100)/B361</f>
        <v>5.82636649115455</v>
      </c>
      <c r="M361" s="111"/>
      <c r="N361" s="0">
        <f>O361+P361+Q361+R361+S361+T361</f>
        <v>351.166721893135</v>
      </c>
      <c r="O361" s="49">
        <v>48</v>
      </c>
      <c r="P361" s="49">
        <v>47</v>
      </c>
      <c r="Q361" s="49">
        <v>38</v>
      </c>
      <c r="R361" s="49">
        <v>50.867888524306</v>
      </c>
      <c r="S361" s="49">
        <v>88.1710067754638</v>
      </c>
      <c r="T361" s="49">
        <v>79.1278265933649</v>
      </c>
      <c r="U361" s="49">
        <v>33</v>
      </c>
      <c r="V361" s="110">
        <f>((O361+R361)*100)/N361</f>
        <v>28.15411665186</v>
      </c>
      <c r="W361" s="110">
        <f>((P361+S361)*100)/N361</f>
        <v>38.4919749931767</v>
      </c>
      <c r="X361" s="110">
        <f>((Q361+T361)*100)/N361</f>
        <v>33.3539083549633</v>
      </c>
    </row>
    <row r="362" spans="1:24" s="168" customFormat="1" ht="22.500000" customHeight="1">
      <c r="A362" s="34">
        <v>360</v>
      </c>
      <c r="B362" s="0">
        <f>C362+D362+E362+F362+G362+H362</f>
        <v>39.3039752276236</v>
      </c>
      <c r="C362" s="49">
        <v>25</v>
      </c>
      <c r="D362" s="49">
        <v>1</v>
      </c>
      <c r="E362" s="49">
        <v>2</v>
      </c>
      <c r="F362" s="49">
        <v>9.04318018209885</v>
      </c>
      <c r="G362" s="49">
        <v>1.13039752276235</v>
      </c>
      <c r="H362" s="49">
        <v>1.13039752276235</v>
      </c>
      <c r="I362" s="78">
        <f>(100*B362)/N362</f>
        <v>10.6781459577895</v>
      </c>
      <c r="J362" s="110">
        <f>((C362+F362)*100)/B362</f>
        <v>86.6151069578649</v>
      </c>
      <c r="K362" s="110">
        <f>((D362+G362)*100)/B362</f>
        <v>5.42031056763202</v>
      </c>
      <c r="L362" s="110">
        <f>((E362+H362)*100)/B362</f>
        <v>7.96458247450311</v>
      </c>
      <c r="M362" s="111"/>
      <c r="N362" s="0">
        <f>O362+P362+Q362+R362+S362+T362</f>
        <v>368.078647576005</v>
      </c>
      <c r="O362" s="49">
        <v>32</v>
      </c>
      <c r="P362" s="49">
        <v>45</v>
      </c>
      <c r="Q362" s="49">
        <v>39</v>
      </c>
      <c r="R362" s="49">
        <v>30.5207331145836</v>
      </c>
      <c r="S362" s="49">
        <v>109.648559707948</v>
      </c>
      <c r="T362" s="49">
        <v>111.909354753473</v>
      </c>
      <c r="U362" s="49">
        <v>31</v>
      </c>
      <c r="V362" s="110">
        <f>((O362+R362)*100)/N362</f>
        <v>16.9856995308791</v>
      </c>
      <c r="W362" s="110">
        <f>((P362+S362)*100)/N362</f>
        <v>42.0150858318981</v>
      </c>
      <c r="X362" s="110">
        <f>((Q362+T362)*100)/N362</f>
        <v>40.9992146372228</v>
      </c>
    </row>
    <row r="363" spans="1:24" s="168" customFormat="1" ht="22.500000" customHeight="1">
      <c r="A363" s="34">
        <v>361</v>
      </c>
      <c r="B363" s="0">
        <f>C363+D363+E363+F363+G363+H363</f>
        <v>4.39119256828707</v>
      </c>
      <c r="C363" s="49">
        <v>1</v>
      </c>
      <c r="D363" s="49">
        <v>0</v>
      </c>
      <c r="E363" s="49">
        <v>0</v>
      </c>
      <c r="F363" s="49">
        <v>3.39119256828707</v>
      </c>
      <c r="G363" s="49">
        <v>0</v>
      </c>
      <c r="H363" s="49">
        <v>0</v>
      </c>
      <c r="I363" s="78">
        <f>(100*B363)/N363</f>
        <v>1.26470833407729</v>
      </c>
      <c r="J363" s="110">
        <f>((C363+F363)*100)/B363</f>
        <v>100</v>
      </c>
      <c r="K363" s="110">
        <f>((D363+G363)*100)/B363</f>
        <v>0</v>
      </c>
      <c r="L363" s="110">
        <f>((E363+H363)*100)/B363</f>
        <v>0</v>
      </c>
      <c r="M363" s="111"/>
      <c r="N363" s="0">
        <f>O363+P363+Q363+R363+S363+T363</f>
        <v>347.209902075234</v>
      </c>
      <c r="O363" s="49">
        <v>33</v>
      </c>
      <c r="P363" s="49">
        <v>47</v>
      </c>
      <c r="Q363" s="49">
        <v>40</v>
      </c>
      <c r="R363" s="49">
        <v>51.9982860470684</v>
      </c>
      <c r="S363" s="49">
        <v>89.3014042982261</v>
      </c>
      <c r="T363" s="49">
        <v>85.9102117299391</v>
      </c>
      <c r="U363" s="49">
        <v>38</v>
      </c>
      <c r="V363" s="110">
        <f>((O363+R363)*100)/N363</f>
        <v>24.4803749947923</v>
      </c>
      <c r="W363" s="110">
        <f>((P363+S363)*100)/N363</f>
        <v>39.2561973271984</v>
      </c>
      <c r="X363" s="110">
        <f>((Q363+T363)*100)/N363</f>
        <v>36.2634276780093</v>
      </c>
    </row>
    <row r="364" spans="1:24" s="168" customFormat="1" ht="22.500000" customHeight="1">
      <c r="A364" s="34">
        <v>362</v>
      </c>
      <c r="B364" s="0">
        <f>C364+D364+E364+F364+G364+H364</f>
        <v>46.0863603641977</v>
      </c>
      <c r="C364" s="49">
        <v>23</v>
      </c>
      <c r="D364" s="49">
        <v>0</v>
      </c>
      <c r="E364" s="49">
        <v>5</v>
      </c>
      <c r="F364" s="49">
        <v>14.6951677959106</v>
      </c>
      <c r="G364" s="49">
        <v>0</v>
      </c>
      <c r="H364" s="49">
        <v>3.39119256828707</v>
      </c>
      <c r="I364" s="78">
        <f>(100*B364)/N364</f>
        <v>13.6987487776158</v>
      </c>
      <c r="J364" s="110">
        <f>((C364+F364)*100)/B364</f>
        <v>81.7924598471747</v>
      </c>
      <c r="K364" s="110">
        <f>((D364+G364)*100)/B364</f>
        <v>0</v>
      </c>
      <c r="L364" s="110">
        <f>((E364+H364)*100)/B364</f>
        <v>18.2075401528253</v>
      </c>
      <c r="M364" s="111"/>
      <c r="N364" s="0">
        <f>O364+P364+Q364+R364+S364+T364</f>
        <v>336.427516938659</v>
      </c>
      <c r="O364" s="49">
        <v>33</v>
      </c>
      <c r="P364" s="49">
        <v>46</v>
      </c>
      <c r="Q364" s="49">
        <v>37</v>
      </c>
      <c r="R364" s="49">
        <v>45.2159009104942</v>
      </c>
      <c r="S364" s="49">
        <v>94.9533919120379</v>
      </c>
      <c r="T364" s="49">
        <v>80.2582241161273</v>
      </c>
      <c r="U364" s="49">
        <v>40</v>
      </c>
      <c r="V364" s="110">
        <f>((O364+R364)*100)/N364</f>
        <v>23.2489606148225</v>
      </c>
      <c r="W364" s="110">
        <f>((P364+S364)*100)/N364</f>
        <v>41.897105562188</v>
      </c>
      <c r="X364" s="110">
        <f>((Q364+T364)*100)/N364</f>
        <v>34.8539338229895</v>
      </c>
    </row>
    <row r="365" spans="1:24" s="168" customFormat="1" ht="22.500000" customHeight="1">
      <c r="A365" s="34">
        <v>363</v>
      </c>
      <c r="B365" s="0">
        <f>C365+D365+E365+F365+G365+H365</f>
        <v>49.8687455007718</v>
      </c>
      <c r="C365" s="49">
        <v>25</v>
      </c>
      <c r="D365" s="49">
        <v>0</v>
      </c>
      <c r="E365" s="49">
        <v>0</v>
      </c>
      <c r="F365" s="49">
        <v>23.7383479780094</v>
      </c>
      <c r="G365" s="49">
        <v>0</v>
      </c>
      <c r="H365" s="49">
        <v>1.13039752276235</v>
      </c>
      <c r="I365" s="78">
        <f>(100*B365)/N365</f>
        <v>15.4582490207496</v>
      </c>
      <c r="J365" s="110">
        <f>((C365+F365)*100)/B365</f>
        <v>97.7332545436804</v>
      </c>
      <c r="K365" s="110">
        <f>((D365+G365)*100)/B365</f>
        <v>0</v>
      </c>
      <c r="L365" s="110">
        <f>((E365+H365)*100)/B365</f>
        <v>2.26674545631964</v>
      </c>
      <c r="M365" s="111"/>
      <c r="N365" s="0">
        <f>O365+P365+Q365+R365+S365+T365</f>
        <v>322.602808596452</v>
      </c>
      <c r="O365" s="49">
        <v>40</v>
      </c>
      <c r="P365" s="49">
        <v>64</v>
      </c>
      <c r="Q365" s="49">
        <v>40</v>
      </c>
      <c r="R365" s="49">
        <v>49.7374910015437</v>
      </c>
      <c r="S365" s="49">
        <v>76.8670315478402</v>
      </c>
      <c r="T365" s="49">
        <v>51.9982860470684</v>
      </c>
      <c r="U365" s="49">
        <v>35</v>
      </c>
      <c r="V365" s="110">
        <f>((O365+R365)*100)/N365</f>
        <v>27.8167110174783</v>
      </c>
      <c r="W365" s="110">
        <f>((P365+S365)*100)/N365</f>
        <v>43.6657796504346</v>
      </c>
      <c r="X365" s="110">
        <f>((Q365+T365)*100)/N365</f>
        <v>28.5175093320871</v>
      </c>
    </row>
    <row r="366" spans="1:24" s="168" customFormat="1" ht="22.500000" customHeight="1">
      <c r="A366" s="34">
        <v>364</v>
      </c>
      <c r="B366" s="0">
        <f>C366+D366+E366+F366+G366+H366</f>
        <v>81.0855033877318</v>
      </c>
      <c r="C366" s="49">
        <v>31</v>
      </c>
      <c r="D366" s="49">
        <v>4</v>
      </c>
      <c r="E366" s="49">
        <v>2</v>
      </c>
      <c r="F366" s="49">
        <v>39.5639132966824</v>
      </c>
      <c r="G366" s="49">
        <v>4.52159009104942</v>
      </c>
      <c r="H366" s="49">
        <v>0</v>
      </c>
      <c r="I366" s="78">
        <f>(100*B366)/N366</f>
        <v>17.3553895056551</v>
      </c>
      <c r="J366" s="110">
        <f>((C366+F366)*100)/B366</f>
        <v>87.024079950842</v>
      </c>
      <c r="K366" s="110">
        <f>((D366+G366)*100)/B366</f>
        <v>10.5093879115496</v>
      </c>
      <c r="L366" s="110">
        <f>((E366+H366)*100)/B366</f>
        <v>2.46653213760846</v>
      </c>
      <c r="M366" s="111"/>
      <c r="N366" s="0">
        <f>O366+P366+Q366+R366+S366+T366</f>
        <v>467.20647416937</v>
      </c>
      <c r="O366" s="49">
        <v>36</v>
      </c>
      <c r="P366" s="49">
        <v>61</v>
      </c>
      <c r="Q366" s="49">
        <v>39</v>
      </c>
      <c r="R366" s="49">
        <v>66.693453842979</v>
      </c>
      <c r="S366" s="49">
        <v>169.559628414353</v>
      </c>
      <c r="T366" s="49">
        <v>94.9533919120379</v>
      </c>
      <c r="U366" s="49">
        <v>37</v>
      </c>
      <c r="V366" s="110">
        <f>((O366+R366)*100)/N366</f>
        <v>21.9803148116802</v>
      </c>
      <c r="W366" s="110">
        <f>((P366+S366)*100)/N366</f>
        <v>49.3485516921093</v>
      </c>
      <c r="X366" s="110">
        <f>((Q366+T366)*100)/N366</f>
        <v>28.6711334962104</v>
      </c>
    </row>
    <row r="367" spans="1:24" s="168" customFormat="1" ht="22.500000" customHeight="1">
      <c r="A367" s="34">
        <v>365</v>
      </c>
      <c r="B367" s="0">
        <f>C367+D367+E367+F367+G367+H367</f>
        <v>40.9127826593365</v>
      </c>
      <c r="C367" s="49">
        <v>32</v>
      </c>
      <c r="D367" s="49">
        <v>0</v>
      </c>
      <c r="E367" s="49">
        <v>1</v>
      </c>
      <c r="F367" s="49">
        <v>7.91278265933649</v>
      </c>
      <c r="G367" s="49">
        <v>0</v>
      </c>
      <c r="H367" s="49">
        <v>0</v>
      </c>
      <c r="I367" s="78">
        <f>(100*B367)/N367</f>
        <v>14.3467970571863</v>
      </c>
      <c r="J367" s="110">
        <f>((C367+F367)*100)/B367</f>
        <v>97.5557761291219</v>
      </c>
      <c r="K367" s="110">
        <f>((D367+G367)*100)/B367</f>
        <v>0</v>
      </c>
      <c r="L367" s="110">
        <f>((E367+H367)*100)/B367</f>
        <v>2.44422387087815</v>
      </c>
      <c r="M367" s="111"/>
      <c r="N367" s="0">
        <f>O367+P367+Q367+R367+S367+T367</f>
        <v>285.170149798998</v>
      </c>
      <c r="O367" s="49">
        <v>55</v>
      </c>
      <c r="P367" s="49">
        <v>71</v>
      </c>
      <c r="Q367" s="49">
        <v>45</v>
      </c>
      <c r="R367" s="49">
        <v>16.9559628414353</v>
      </c>
      <c r="S367" s="49">
        <v>51.9982860470684</v>
      </c>
      <c r="T367" s="49">
        <v>45.2159009104942</v>
      </c>
      <c r="U367" s="49">
        <v>29</v>
      </c>
      <c r="V367" s="110">
        <f>((O367+R367)*100)/N367</f>
        <v>25.2326419480277</v>
      </c>
      <c r="W367" s="110">
        <f>((P367+S367)*100)/N367</f>
        <v>43.1315430923481</v>
      </c>
      <c r="X367" s="110">
        <f>((Q367+T367)*100)/N367</f>
        <v>31.6358149596242</v>
      </c>
    </row>
    <row r="368" spans="1:24" s="168" customFormat="1" ht="22.500000" customHeight="1">
      <c r="A368" s="34">
        <v>366</v>
      </c>
      <c r="B368" s="0">
        <f>C368+D368+E368+F368+G368+H368</f>
        <v>19.1735777048612</v>
      </c>
      <c r="C368" s="49">
        <v>7</v>
      </c>
      <c r="D368" s="49">
        <v>0</v>
      </c>
      <c r="E368" s="49">
        <v>2</v>
      </c>
      <c r="F368" s="49">
        <v>7.91278265933649</v>
      </c>
      <c r="G368" s="49">
        <v>0</v>
      </c>
      <c r="H368" s="49">
        <v>2.26079504552471</v>
      </c>
      <c r="I368" s="78">
        <f>(100*B368)/N368</f>
        <v>5.66546147752913</v>
      </c>
      <c r="J368" s="110">
        <f>((C368+F368)*100)/B368</f>
        <v>77.7777777777778</v>
      </c>
      <c r="K368" s="110">
        <f>((D368+G368)*100)/B368</f>
        <v>0</v>
      </c>
      <c r="L368" s="110">
        <f>((E368+H368)*100)/B368</f>
        <v>22.2222222222222</v>
      </c>
      <c r="M368" s="111"/>
      <c r="N368" s="0">
        <f>O368+P368+Q368+R368+S368+T368</f>
        <v>338.429230891591</v>
      </c>
      <c r="O368" s="49">
        <v>55</v>
      </c>
      <c r="P368" s="49">
        <v>72</v>
      </c>
      <c r="Q368" s="49">
        <v>43</v>
      </c>
      <c r="R368" s="49">
        <v>58.7806711836425</v>
      </c>
      <c r="S368" s="49">
        <v>62.1718637519296</v>
      </c>
      <c r="T368" s="49">
        <v>47.4766959560189</v>
      </c>
      <c r="U368" s="49">
        <v>36</v>
      </c>
      <c r="V368" s="110">
        <f>((O368+R368)*100)/N368</f>
        <v>33.620225677282</v>
      </c>
      <c r="W368" s="110">
        <f>((P368+S368)*100)/N368</f>
        <v>39.6454713437294</v>
      </c>
      <c r="X368" s="110">
        <f>((Q368+T368)*100)/N368</f>
        <v>26.7343029789886</v>
      </c>
    </row>
    <row r="369" spans="1:24" s="168" customFormat="1" ht="22.500000" customHeight="1">
      <c r="A369" s="34">
        <v>367</v>
      </c>
      <c r="B369" s="0">
        <f>C369+D369+E369+F369+G369+H369</f>
        <v>52.21675788696</v>
      </c>
      <c r="C369" s="49">
        <v>20</v>
      </c>
      <c r="D369" s="49">
        <v>7</v>
      </c>
      <c r="E369" s="49">
        <v>6</v>
      </c>
      <c r="F369" s="49">
        <v>15.8255653186729</v>
      </c>
      <c r="G369" s="49">
        <v>1.13039752276235</v>
      </c>
      <c r="H369" s="49">
        <v>2.26079504552471</v>
      </c>
      <c r="I369" s="78">
        <f>(100*B369)/N369</f>
        <v>15.1738028707397</v>
      </c>
      <c r="J369" s="110">
        <f>((C369+F369)*100)/B369</f>
        <v>68.6093253744878</v>
      </c>
      <c r="K369" s="110">
        <f>((D369+G369)*100)/B369</f>
        <v>15.5704755556889</v>
      </c>
      <c r="L369" s="110">
        <f>((E369+H369)*100)/B369</f>
        <v>15.8201990698233</v>
      </c>
      <c r="M369" s="111"/>
      <c r="N369" s="0">
        <f>O369+P369+Q369+R369+S369+T369</f>
        <v>344.124398687501</v>
      </c>
      <c r="O369" s="49">
        <v>47</v>
      </c>
      <c r="P369" s="49">
        <v>72</v>
      </c>
      <c r="Q369" s="49">
        <v>42</v>
      </c>
      <c r="R369" s="49">
        <v>39.5639132966824</v>
      </c>
      <c r="S369" s="49">
        <v>102.866174571374</v>
      </c>
      <c r="T369" s="49">
        <v>40.6943108194448</v>
      </c>
      <c r="U369" s="49">
        <v>34</v>
      </c>
      <c r="V369" s="110">
        <f>((O369+R369)*100)/N369</f>
        <v>25.1548316907605</v>
      </c>
      <c r="W369" s="110">
        <f>((P369+S369)*100)/N369</f>
        <v>50.8148144212726</v>
      </c>
      <c r="X369" s="110">
        <f>((Q369+T369)*100)/N369</f>
        <v>24.0303538879669</v>
      </c>
    </row>
    <row r="370" spans="1:24" s="168" customFormat="1" ht="22.500000" customHeight="1">
      <c r="A370" s="34">
        <v>368</v>
      </c>
      <c r="B370" s="0">
        <f>C370+D370+E370+F370+G370+H370</f>
        <v>62.5207331145836</v>
      </c>
      <c r="C370" s="49">
        <v>28</v>
      </c>
      <c r="D370" s="49">
        <v>1</v>
      </c>
      <c r="E370" s="49">
        <v>3</v>
      </c>
      <c r="F370" s="49">
        <v>27.1295405462965</v>
      </c>
      <c r="G370" s="49">
        <v>1.13039752276235</v>
      </c>
      <c r="H370" s="49">
        <v>2.26079504552471</v>
      </c>
      <c r="I370" s="78">
        <f>(100*B370)/N370</f>
        <v>12.252969224261</v>
      </c>
      <c r="J370" s="110">
        <f>((C370+F370)*100)/B370</f>
        <v>88.1780135963201</v>
      </c>
      <c r="K370" s="110">
        <f>((D370+G370)*100)/B370</f>
        <v>3.40750566513337</v>
      </c>
      <c r="L370" s="110">
        <f>((E370+H370)*100)/B370</f>
        <v>8.41448073854652</v>
      </c>
      <c r="M370" s="111"/>
      <c r="N370" s="0">
        <f>O370+P370+Q370+R370+S370+T370</f>
        <v>510.249654351468</v>
      </c>
      <c r="O370" s="49">
        <v>57</v>
      </c>
      <c r="P370" s="49">
        <v>72</v>
      </c>
      <c r="Q370" s="49">
        <v>41</v>
      </c>
      <c r="R370" s="49">
        <v>76.8670315478402</v>
      </c>
      <c r="S370" s="49">
        <v>141.299690345294</v>
      </c>
      <c r="T370" s="49">
        <v>122.082932458334</v>
      </c>
      <c r="U370" s="49">
        <v>34</v>
      </c>
      <c r="V370" s="110">
        <f>((O370+R370)*100)/N370</f>
        <v>26.2355947537067</v>
      </c>
      <c r="W370" s="110">
        <f>((P370+S370)*100)/N370</f>
        <v>41.8030053575244</v>
      </c>
      <c r="X370" s="110">
        <f>((Q370+T370)*100)/N370</f>
        <v>31.9613998887689</v>
      </c>
    </row>
    <row r="371" spans="1:24" s="168" customFormat="1" ht="22.500000" customHeight="1">
      <c r="A371" s="34">
        <v>369</v>
      </c>
      <c r="B371" s="0">
        <f>C371+D371+E371+F371+G371+H371</f>
        <v>55.6511306373459</v>
      </c>
      <c r="C371" s="49">
        <v>22</v>
      </c>
      <c r="D371" s="49">
        <v>0</v>
      </c>
      <c r="E371" s="49">
        <v>2</v>
      </c>
      <c r="F371" s="49">
        <v>29.3903355918212</v>
      </c>
      <c r="G371" s="49">
        <v>0</v>
      </c>
      <c r="H371" s="49">
        <v>2.26079504552471</v>
      </c>
      <c r="I371" s="78">
        <f>(100*B371)/N371</f>
        <v>13.3639692142666</v>
      </c>
      <c r="J371" s="110">
        <f>((C371+F371)*100)/B371</f>
        <v>92.3437403755722</v>
      </c>
      <c r="K371" s="110">
        <f>((D371+G371)*100)/B371</f>
        <v>0</v>
      </c>
      <c r="L371" s="110">
        <f>((E371+H371)*100)/B371</f>
        <v>7.65625962442785</v>
      </c>
      <c r="M371" s="111"/>
      <c r="N371" s="0">
        <f>O371+P371+Q371+R371+S371+T371</f>
        <v>416.426659962193</v>
      </c>
      <c r="O371" s="49">
        <v>57</v>
      </c>
      <c r="P371" s="49">
        <v>72</v>
      </c>
      <c r="Q371" s="49">
        <v>41</v>
      </c>
      <c r="R371" s="49">
        <v>103.996572094136</v>
      </c>
      <c r="S371" s="49">
        <v>94.9533919120379</v>
      </c>
      <c r="T371" s="49">
        <v>47.4766959560189</v>
      </c>
      <c r="U371" s="49">
        <v>38</v>
      </c>
      <c r="V371" s="110">
        <f>((O371+R371)*100)/N371</f>
        <v>38.6614469181087</v>
      </c>
      <c r="W371" s="110">
        <f>((P371+S371)*100)/N371</f>
        <v>40.0919076427997</v>
      </c>
      <c r="X371" s="110">
        <f>((Q371+T371)*100)/N371</f>
        <v>21.2466454390916</v>
      </c>
    </row>
    <row r="372" spans="1:24" s="168" customFormat="1" ht="22.500000" customHeight="1">
      <c r="A372" s="34">
        <v>370</v>
      </c>
      <c r="B372" s="0">
        <f>C372+D372+E372+F372+G372+H372</f>
        <v>48.0863603641977</v>
      </c>
      <c r="C372" s="49">
        <v>23</v>
      </c>
      <c r="D372" s="49">
        <v>3</v>
      </c>
      <c r="E372" s="49">
        <v>4</v>
      </c>
      <c r="F372" s="49">
        <v>12.4343727503859</v>
      </c>
      <c r="G372" s="49">
        <v>4.52159009104942</v>
      </c>
      <c r="H372" s="49">
        <v>1.13039752276235</v>
      </c>
      <c r="I372" s="78">
        <f>(100*B372)/N372</f>
        <v>9.90605152290846</v>
      </c>
      <c r="J372" s="110">
        <f>((C372+F372)*100)/B372</f>
        <v>73.6890304901685</v>
      </c>
      <c r="K372" s="110">
        <f>((D372+G372)*100)/B372</f>
        <v>15.6418369659966</v>
      </c>
      <c r="L372" s="110">
        <f>((E372+H372)*100)/B372</f>
        <v>10.6691325438349</v>
      </c>
      <c r="M372" s="111"/>
      <c r="N372" s="0">
        <f>O372+P372+Q372+R372+S372+T372</f>
        <v>485.424089032795</v>
      </c>
      <c r="O372" s="49">
        <v>53</v>
      </c>
      <c r="P372" s="49">
        <v>68</v>
      </c>
      <c r="Q372" s="49">
        <v>40</v>
      </c>
      <c r="R372" s="49">
        <v>141.299690345294</v>
      </c>
      <c r="S372" s="49">
        <v>123.213329981096</v>
      </c>
      <c r="T372" s="49">
        <v>59.9110687064049</v>
      </c>
      <c r="U372" s="49">
        <v>37</v>
      </c>
      <c r="V372" s="110">
        <f>((O372+R372)*100)/N372</f>
        <v>40.0267919815094</v>
      </c>
      <c r="W372" s="110">
        <f>((P372+S372)*100)/N372</f>
        <v>39.3909849760624</v>
      </c>
      <c r="X372" s="110">
        <f>((Q372+T372)*100)/N372</f>
        <v>20.5822230424282</v>
      </c>
    </row>
    <row r="373" spans="1:24" s="168" customFormat="1" ht="22.500000" customHeight="1">
      <c r="A373" s="34">
        <v>371</v>
      </c>
      <c r="B373" s="0">
        <f>C373+D373+E373+F373+G373+H373</f>
        <v>18.3911925682871</v>
      </c>
      <c r="C373" s="49">
        <v>15</v>
      </c>
      <c r="D373" s="49">
        <v>0</v>
      </c>
      <c r="E373" s="49">
        <v>0</v>
      </c>
      <c r="F373" s="49">
        <v>3.39119256828707</v>
      </c>
      <c r="G373" s="49">
        <v>0</v>
      </c>
      <c r="H373" s="49">
        <v>0</v>
      </c>
      <c r="I373" s="78">
        <f>(100*B373)/N373</f>
        <v>7.36680774685553</v>
      </c>
      <c r="J373" s="110">
        <f>((C373+F373)*100)/B373</f>
        <v>100</v>
      </c>
      <c r="K373" s="110">
        <f>((D373+G373)*100)/B373</f>
        <v>0</v>
      </c>
      <c r="L373" s="110">
        <f>((E373+H373)*100)/B373</f>
        <v>0</v>
      </c>
      <c r="M373" s="111"/>
      <c r="N373" s="0">
        <f>O373+P373+Q373+R373+S373+T373</f>
        <v>249.649416684414</v>
      </c>
      <c r="O373" s="49">
        <v>57</v>
      </c>
      <c r="P373" s="49">
        <v>69</v>
      </c>
      <c r="Q373" s="49">
        <v>40</v>
      </c>
      <c r="R373" s="49">
        <v>41.8247083422072</v>
      </c>
      <c r="S373" s="49">
        <v>33.9119256828707</v>
      </c>
      <c r="T373" s="49">
        <v>7.91278265933649</v>
      </c>
      <c r="U373" s="49">
        <v>28</v>
      </c>
      <c r="V373" s="110">
        <f>((O373+R373)*100)/N373</f>
        <v>39.5853952533496</v>
      </c>
      <c r="W373" s="110">
        <f>((P373+S373)*100)/N373</f>
        <v>41.2225780655291</v>
      </c>
      <c r="X373" s="110">
        <f>((Q373+T373)*100)/N373</f>
        <v>19.1920266811213</v>
      </c>
    </row>
    <row r="374" spans="1:24" s="168" customFormat="1" ht="22.500000" customHeight="1">
      <c r="A374" s="34">
        <v>372</v>
      </c>
      <c r="B374" s="0">
        <f>C374+D374+E374+F374+G374+H374</f>
        <v>25.0431801820989</v>
      </c>
      <c r="C374" s="49">
        <v>16</v>
      </c>
      <c r="D374" s="49">
        <v>0</v>
      </c>
      <c r="E374" s="49">
        <v>0</v>
      </c>
      <c r="F374" s="49">
        <v>9.04318018209885</v>
      </c>
      <c r="G374" s="49">
        <v>0</v>
      </c>
      <c r="H374" s="49">
        <v>0</v>
      </c>
      <c r="I374" s="78">
        <f>(100*B374)/N374</f>
        <v>6.6922662099726</v>
      </c>
      <c r="J374" s="110">
        <f>((C374+F374)*100)/B374</f>
        <v>100</v>
      </c>
      <c r="K374" s="110">
        <f>((D374+G374)*100)/B374</f>
        <v>0</v>
      </c>
      <c r="L374" s="110">
        <f>((E374+H374)*100)/B374</f>
        <v>0</v>
      </c>
      <c r="M374" s="111"/>
      <c r="N374" s="0">
        <f>O374+P374+Q374+R374+S374+T374</f>
        <v>374.210759051699</v>
      </c>
      <c r="O374" s="49">
        <v>58</v>
      </c>
      <c r="P374" s="49">
        <v>72</v>
      </c>
      <c r="Q374" s="49">
        <v>43</v>
      </c>
      <c r="R374" s="49">
        <v>85.9102117299391</v>
      </c>
      <c r="S374" s="49">
        <v>66.693453842979</v>
      </c>
      <c r="T374" s="49">
        <v>48.6070934787813</v>
      </c>
      <c r="U374" s="49">
        <v>31</v>
      </c>
      <c r="V374" s="110">
        <f>((O374+R374)*100)/N374</f>
        <v>38.4569946878671</v>
      </c>
      <c r="W374" s="110">
        <f>((P374+S374)*100)/N374</f>
        <v>37.0629252334826</v>
      </c>
      <c r="X374" s="110">
        <f>((Q374+T374)*100)/N374</f>
        <v>24.4800800786504</v>
      </c>
    </row>
    <row r="375" spans="1:24" s="168" customFormat="1" ht="22.500000" customHeight="1">
      <c r="A375" s="34">
        <v>373</v>
      </c>
      <c r="B375" s="0">
        <f>C375+D375+E375+F375+G375+H375</f>
        <v>34.0431801820988</v>
      </c>
      <c r="C375" s="49">
        <v>12</v>
      </c>
      <c r="D375" s="49">
        <v>1</v>
      </c>
      <c r="E375" s="49">
        <v>12</v>
      </c>
      <c r="F375" s="49">
        <v>6.78238513657414</v>
      </c>
      <c r="G375" s="49">
        <v>1.13039752276235</v>
      </c>
      <c r="H375" s="49">
        <v>1.13039752276235</v>
      </c>
      <c r="I375" s="78">
        <f>(100*B375)/N375</f>
        <v>8.0531613628647</v>
      </c>
      <c r="J375" s="110">
        <f>((C375+F375)*100)/B375</f>
        <v>55.1722401846894</v>
      </c>
      <c r="K375" s="110">
        <f>((D375+G375)*100)/B375</f>
        <v>6.25792746555033</v>
      </c>
      <c r="L375" s="110">
        <f>((E375+H375)*100)/B375</f>
        <v>38.5698323497603</v>
      </c>
      <c r="M375" s="111"/>
      <c r="N375" s="0">
        <f>O375+P375+Q375+R375+S375+T375</f>
        <v>422.730635189817</v>
      </c>
      <c r="O375" s="49">
        <v>54</v>
      </c>
      <c r="P375" s="49">
        <v>74</v>
      </c>
      <c r="Q375" s="49">
        <v>37</v>
      </c>
      <c r="R375" s="49">
        <v>76.8670315478402</v>
      </c>
      <c r="S375" s="49">
        <v>102.866174571374</v>
      </c>
      <c r="T375" s="49">
        <v>77.9974290706026</v>
      </c>
      <c r="U375" s="49">
        <v>35</v>
      </c>
      <c r="V375" s="110">
        <f>((O375+R375)*100)/N375</f>
        <v>30.9575461662668</v>
      </c>
      <c r="W375" s="110">
        <f>((P375+S375)*100)/N375</f>
        <v>41.8389773175433</v>
      </c>
      <c r="X375" s="110">
        <f>((Q375+T375)*100)/N375</f>
        <v>27.20347651619</v>
      </c>
    </row>
    <row r="376" spans="1:24" s="168" customFormat="1" ht="22.500000" customHeight="1">
      <c r="A376" s="34">
        <v>374</v>
      </c>
      <c r="B376" s="0">
        <f>C376+D376+E376+F376+G376+H376</f>
        <v>54.5207331145836</v>
      </c>
      <c r="C376" s="49">
        <v>22</v>
      </c>
      <c r="D376" s="49">
        <v>0</v>
      </c>
      <c r="E376" s="49">
        <v>2</v>
      </c>
      <c r="F376" s="49">
        <v>29.3903355918212</v>
      </c>
      <c r="G376" s="49">
        <v>0</v>
      </c>
      <c r="H376" s="49">
        <v>1.13039752276235</v>
      </c>
      <c r="I376" s="78">
        <f>(100*B376)/N376</f>
        <v>10.9129278906767</v>
      </c>
      <c r="J376" s="110">
        <f>((C376+F376)*100)/B376</f>
        <v>94.2583356020115</v>
      </c>
      <c r="K376" s="110">
        <f>((D376+G376)*100)/B376</f>
        <v>0</v>
      </c>
      <c r="L376" s="110">
        <f>((E376+H376)*100)/B376</f>
        <v>5.74166439798846</v>
      </c>
      <c r="M376" s="111"/>
      <c r="N376" s="0">
        <f>O376+P376+Q376+R376+S376+T376</f>
        <v>499.597666737656</v>
      </c>
      <c r="O376" s="49">
        <v>56</v>
      </c>
      <c r="P376" s="49">
        <v>72</v>
      </c>
      <c r="Q376" s="49">
        <v>37</v>
      </c>
      <c r="R376" s="49">
        <v>102.866174571374</v>
      </c>
      <c r="S376" s="49">
        <v>144.690882913581</v>
      </c>
      <c r="T376" s="49">
        <v>87.0406092527014</v>
      </c>
      <c r="U376" s="49">
        <v>37</v>
      </c>
      <c r="V376" s="110">
        <f>((O376+R376)*100)/N376</f>
        <v>31.7988223621541</v>
      </c>
      <c r="W376" s="110">
        <f>((P376+S376)*100)/N376</f>
        <v>43.3730774462098</v>
      </c>
      <c r="X376" s="110">
        <f>((Q376+T376)*100)/N376</f>
        <v>24.8281001916361</v>
      </c>
    </row>
    <row r="377" spans="1:24" s="168" customFormat="1" ht="22.500000" customHeight="1">
      <c r="A377" s="34">
        <v>375</v>
      </c>
      <c r="B377" s="0">
        <f>C377+D377+E377+F377+G377+H377</f>
        <v>45.4775529324847</v>
      </c>
      <c r="C377" s="49">
        <v>17</v>
      </c>
      <c r="D377" s="49">
        <v>3</v>
      </c>
      <c r="E377" s="49">
        <v>4</v>
      </c>
      <c r="F377" s="49">
        <v>14.6951677959106</v>
      </c>
      <c r="G377" s="49">
        <v>1.13039752276235</v>
      </c>
      <c r="H377" s="49">
        <v>5.65198761381178</v>
      </c>
      <c r="I377" s="78">
        <f>(100*B377)/N377</f>
        <v>10.7348659312058</v>
      </c>
      <c r="J377" s="110">
        <f>((C377+F377)*100)/B377</f>
        <v>69.694092474511</v>
      </c>
      <c r="K377" s="110">
        <f>((D377+G377)*100)/B377</f>
        <v>9.08227742353304</v>
      </c>
      <c r="L377" s="110">
        <f>((E377+H377)*100)/B377</f>
        <v>21.223630101956</v>
      </c>
      <c r="M377" s="111"/>
      <c r="N377" s="0">
        <f>O377+P377+Q377+R377+S377+T377</f>
        <v>423.643417849154</v>
      </c>
      <c r="O377" s="49">
        <v>52</v>
      </c>
      <c r="P377" s="49">
        <v>69</v>
      </c>
      <c r="Q377" s="49">
        <v>37</v>
      </c>
      <c r="R377" s="49">
        <v>40.6943108194448</v>
      </c>
      <c r="S377" s="49">
        <v>140.169292822532</v>
      </c>
      <c r="T377" s="49">
        <v>84.7798142071767</v>
      </c>
      <c r="U377" s="49">
        <v>25</v>
      </c>
      <c r="V377" s="110">
        <f>((O377+R377)*100)/N377</f>
        <v>21.880266968399</v>
      </c>
      <c r="W377" s="110">
        <f>((P377+S377)*100)/N377</f>
        <v>49.3739036202873</v>
      </c>
      <c r="X377" s="110">
        <f>((Q377+T377)*100)/N377</f>
        <v>28.7458294113137</v>
      </c>
    </row>
    <row r="378" spans="1:24" s="168" customFormat="1" ht="22.500000" customHeight="1">
      <c r="A378" s="34">
        <v>376</v>
      </c>
      <c r="B378" s="0">
        <f>C378+D378+E378+F378+G378+H378</f>
        <v>8.39119256828707</v>
      </c>
      <c r="C378" s="49">
        <v>2</v>
      </c>
      <c r="D378" s="49">
        <v>0</v>
      </c>
      <c r="E378" s="49">
        <v>3</v>
      </c>
      <c r="F378" s="49">
        <v>3.39119256828707</v>
      </c>
      <c r="G378" s="49">
        <v>0</v>
      </c>
      <c r="H378" s="49">
        <v>0</v>
      </c>
      <c r="I378" s="78">
        <f>(100*B378)/N378</f>
        <v>2.50715346081561</v>
      </c>
      <c r="J378" s="110">
        <f>((C378+F378)*100)/B378</f>
        <v>64.2482284182354</v>
      </c>
      <c r="K378" s="110">
        <f>((D378+G378)*100)/B378</f>
        <v>0</v>
      </c>
      <c r="L378" s="110">
        <f>((E378+H378)*100)/B378</f>
        <v>35.7517715817646</v>
      </c>
      <c r="M378" s="111"/>
      <c r="N378" s="0">
        <f>O378+P378+Q378+R378+S378+T378</f>
        <v>334.690025937116</v>
      </c>
      <c r="O378" s="49">
        <v>57</v>
      </c>
      <c r="P378" s="49">
        <v>70</v>
      </c>
      <c r="Q378" s="49">
        <v>37</v>
      </c>
      <c r="R378" s="49">
        <v>44.0855033877319</v>
      </c>
      <c r="S378" s="49">
        <v>79.1278265933649</v>
      </c>
      <c r="T378" s="49">
        <v>47.4766959560189</v>
      </c>
      <c r="U378" s="49">
        <v>28</v>
      </c>
      <c r="V378" s="110">
        <f>((O378+R378)*100)/N378</f>
        <v>30.2027235812294</v>
      </c>
      <c r="W378" s="110">
        <f>((P378+S378)*100)/N378</f>
        <v>44.5569975310182</v>
      </c>
      <c r="X378" s="110">
        <f>((Q378+T378)*100)/N378</f>
        <v>25.2402788877524</v>
      </c>
    </row>
    <row r="379" spans="1:24" s="168" customFormat="1" ht="22.500000" customHeight="1">
      <c r="A379" s="34">
        <v>377</v>
      </c>
      <c r="B379" s="0">
        <f>C379+D379+E379+F379+G379+H379</f>
        <v>33.4343727503859</v>
      </c>
      <c r="C379" s="49">
        <v>21</v>
      </c>
      <c r="D379" s="49">
        <v>0</v>
      </c>
      <c r="E379" s="49">
        <v>0</v>
      </c>
      <c r="F379" s="49">
        <v>12.4343727503859</v>
      </c>
      <c r="G379" s="49">
        <v>0</v>
      </c>
      <c r="H379" s="49">
        <v>0</v>
      </c>
      <c r="I379" s="78">
        <f>(100*B379)/N379</f>
        <v>9.53862640763023</v>
      </c>
      <c r="J379" s="110">
        <f>((C379+F379)*100)/B379</f>
        <v>100</v>
      </c>
      <c r="K379" s="110">
        <f>((D379+G379)*100)/B379</f>
        <v>0</v>
      </c>
      <c r="L379" s="110">
        <f>((E379+H379)*100)/B379</f>
        <v>0</v>
      </c>
      <c r="M379" s="111"/>
      <c r="N379" s="0">
        <f>O379+P379+Q379+R379+S379+T379</f>
        <v>350.515591255789</v>
      </c>
      <c r="O379" s="49">
        <v>54</v>
      </c>
      <c r="P379" s="49">
        <v>71</v>
      </c>
      <c r="Q379" s="49">
        <v>39</v>
      </c>
      <c r="R379" s="49">
        <v>64.4326587974543</v>
      </c>
      <c r="S379" s="49">
        <v>79.1278265933649</v>
      </c>
      <c r="T379" s="49">
        <v>42.9551058649695</v>
      </c>
      <c r="U379" s="49">
        <v>28</v>
      </c>
      <c r="V379" s="110">
        <f>((O379+R379)*100)/N379</f>
        <v>33.7881286173739</v>
      </c>
      <c r="W379" s="110">
        <f>((P379+S379)*100)/N379</f>
        <v>42.8305702623679</v>
      </c>
      <c r="X379" s="110">
        <f>((Q379+T379)*100)/N379</f>
        <v>23.3813011202582</v>
      </c>
    </row>
    <row r="380" spans="1:24" s="168" customFormat="1" ht="22.500000" customHeight="1">
      <c r="A380" s="34">
        <v>378</v>
      </c>
      <c r="B380" s="0">
        <f>C380+D380+E380+F380+G380+H380</f>
        <v>82.2159009104942</v>
      </c>
      <c r="C380" s="49">
        <v>32</v>
      </c>
      <c r="D380" s="49">
        <v>2</v>
      </c>
      <c r="E380" s="49">
        <v>3</v>
      </c>
      <c r="F380" s="49">
        <v>39.5639132966824</v>
      </c>
      <c r="G380" s="49">
        <v>3.39119256828707</v>
      </c>
      <c r="H380" s="49">
        <v>2.26079504552471</v>
      </c>
      <c r="I380" s="78">
        <f>(100*B380)/N380</f>
        <v>12.7840128898988</v>
      </c>
      <c r="J380" s="110">
        <f>((C380+F380)*100)/B380</f>
        <v>87.0438838523362</v>
      </c>
      <c r="K380" s="110">
        <f>((D380+G380)*100)/B380</f>
        <v>6.5573599614949</v>
      </c>
      <c r="L380" s="110">
        <f>((E380+H380)*100)/B380</f>
        <v>6.39875618616886</v>
      </c>
      <c r="M380" s="111"/>
      <c r="N380" s="0">
        <f>O380+P380+Q380+R380+S380+T380</f>
        <v>643.114971946377</v>
      </c>
      <c r="O380" s="49">
        <v>59</v>
      </c>
      <c r="P380" s="49">
        <v>73</v>
      </c>
      <c r="Q380" s="49">
        <v>42</v>
      </c>
      <c r="R380" s="49">
        <v>73.4758389795531</v>
      </c>
      <c r="S380" s="49">
        <v>261.121827758104</v>
      </c>
      <c r="T380" s="49">
        <v>134.51730520872</v>
      </c>
      <c r="U380" s="49">
        <v>34</v>
      </c>
      <c r="V380" s="110">
        <f>((O380+R380)*100)/N380</f>
        <v>20.5990911047549</v>
      </c>
      <c r="W380" s="110">
        <f>((P380+S380)*100)/N380</f>
        <v>51.9536696132092</v>
      </c>
      <c r="X380" s="110">
        <f>((Q380+T380)*100)/N380</f>
        <v>27.4472392820359</v>
      </c>
    </row>
    <row r="381" spans="1:24" s="168" customFormat="1" ht="22.500000" customHeight="1">
      <c r="A381" s="34">
        <v>379</v>
      </c>
      <c r="B381" s="0">
        <f>C381+D381+E381+F381+G381+H381</f>
        <v>22.3039752276235</v>
      </c>
      <c r="C381" s="49">
        <v>11</v>
      </c>
      <c r="D381" s="49">
        <v>0</v>
      </c>
      <c r="E381" s="49">
        <v>0</v>
      </c>
      <c r="F381" s="49">
        <v>11.3039752276235</v>
      </c>
      <c r="G381" s="49">
        <v>0</v>
      </c>
      <c r="H381" s="49">
        <v>0</v>
      </c>
      <c r="I381" s="78">
        <f>(100*B381)/N381</f>
        <v>5.78877289854539</v>
      </c>
      <c r="J381" s="110">
        <f>((C381+F381)*100)/B381</f>
        <v>100</v>
      </c>
      <c r="K381" s="110">
        <f>((D381+G381)*100)/B381</f>
        <v>0</v>
      </c>
      <c r="L381" s="110">
        <f>((E381+H381)*100)/B381</f>
        <v>0</v>
      </c>
      <c r="M381" s="111"/>
      <c r="N381" s="0">
        <f>O381+P381+Q381+R381+S381+T381</f>
        <v>385.297119415897</v>
      </c>
      <c r="O381" s="49">
        <v>51</v>
      </c>
      <c r="P381" s="49">
        <v>73</v>
      </c>
      <c r="Q381" s="49">
        <v>42</v>
      </c>
      <c r="R381" s="49">
        <v>76.8670315478402</v>
      </c>
      <c r="S381" s="49">
        <v>88.1710067754638</v>
      </c>
      <c r="T381" s="49">
        <v>54.2590810925931</v>
      </c>
      <c r="U381" s="49">
        <v>35</v>
      </c>
      <c r="V381" s="110">
        <f>((O381+R381)*100)/N381</f>
        <v>33.1866045979488</v>
      </c>
      <c r="W381" s="110">
        <f>((P381+S381)*100)/N381</f>
        <v>41.8303170861479</v>
      </c>
      <c r="X381" s="110">
        <f>((Q381+T381)*100)/N381</f>
        <v>24.9830783159033</v>
      </c>
    </row>
    <row r="382" spans="1:24" s="168" customFormat="1" ht="22.500000" customHeight="1">
      <c r="A382" s="34">
        <v>380</v>
      </c>
      <c r="B382" s="0">
        <f>C382+D382+E382+F382+G382+H382</f>
        <v>18.6519876138118</v>
      </c>
      <c r="C382" s="49">
        <v>13</v>
      </c>
      <c r="D382" s="49">
        <v>0</v>
      </c>
      <c r="E382" s="49">
        <v>0</v>
      </c>
      <c r="F382" s="49">
        <v>5.65198761381178</v>
      </c>
      <c r="G382" s="49">
        <v>0</v>
      </c>
      <c r="H382" s="49">
        <v>0</v>
      </c>
      <c r="I382" s="78">
        <f>(100*B382)/N382</f>
        <v>6.55464563761354</v>
      </c>
      <c r="J382" s="110">
        <f>((C382+F382)*100)/B382</f>
        <v>100</v>
      </c>
      <c r="K382" s="110">
        <f>((D382+G382)*100)/B382</f>
        <v>0</v>
      </c>
      <c r="L382" s="110">
        <f>((E382+H382)*100)/B382</f>
        <v>0</v>
      </c>
      <c r="M382" s="111"/>
      <c r="N382" s="0">
        <f>O382+P382+Q382+R382+S382+T382</f>
        <v>284.561342367285</v>
      </c>
      <c r="O382" s="49">
        <v>51</v>
      </c>
      <c r="P382" s="49">
        <v>74</v>
      </c>
      <c r="Q382" s="49">
        <v>42</v>
      </c>
      <c r="R382" s="49">
        <v>33.9119256828707</v>
      </c>
      <c r="S382" s="49">
        <v>41.8247083422072</v>
      </c>
      <c r="T382" s="49">
        <v>41.8247083422072</v>
      </c>
      <c r="U382" s="49">
        <v>27</v>
      </c>
      <c r="V382" s="110">
        <f>((O382+R382)*100)/N382</f>
        <v>29.8395857204224</v>
      </c>
      <c r="W382" s="110">
        <f>((P382+S382)*100)/N382</f>
        <v>40.7028963873496</v>
      </c>
      <c r="X382" s="110">
        <f>((Q382+T382)*100)/N382</f>
        <v>29.457517892228</v>
      </c>
    </row>
    <row r="383" spans="1:24" s="168" customFormat="1" ht="22.500000" customHeight="1">
      <c r="A383" s="34">
        <v>381</v>
      </c>
      <c r="B383" s="0">
        <f>C383+D383+E383+F383+G383+H383</f>
        <v>24.9127826593365</v>
      </c>
      <c r="C383" s="49">
        <v>11</v>
      </c>
      <c r="D383" s="49">
        <v>2</v>
      </c>
      <c r="E383" s="49">
        <v>4</v>
      </c>
      <c r="F383" s="49">
        <v>7.91278265933649</v>
      </c>
      <c r="G383" s="49">
        <v>0</v>
      </c>
      <c r="H383" s="49">
        <v>0</v>
      </c>
      <c r="I383" s="78">
        <f>(100*B383)/N383</f>
        <v>6.16797968574256</v>
      </c>
      <c r="J383" s="110">
        <f>((C383+F383)*100)/B383</f>
        <v>75.9159782267382</v>
      </c>
      <c r="K383" s="110">
        <f>((D383+G383)*100)/B383</f>
        <v>8.02800725775395</v>
      </c>
      <c r="L383" s="110">
        <f>((E383+H383)*100)/B383</f>
        <v>16.0560145155079</v>
      </c>
      <c r="M383" s="111"/>
      <c r="N383" s="0">
        <f>O383+P383+Q383+R383+S383+T383</f>
        <v>403.905069871144</v>
      </c>
      <c r="O383" s="49">
        <v>50</v>
      </c>
      <c r="P383" s="49">
        <v>73</v>
      </c>
      <c r="Q383" s="49">
        <v>39</v>
      </c>
      <c r="R383" s="49">
        <v>90.4318018209885</v>
      </c>
      <c r="S383" s="49">
        <v>99.4749820030874</v>
      </c>
      <c r="T383" s="49">
        <v>51.9982860470684</v>
      </c>
      <c r="U383" s="49">
        <v>31</v>
      </c>
      <c r="V383" s="110">
        <f>((O383+R383)*100)/N383</f>
        <v>34.768516737309</v>
      </c>
      <c r="W383" s="110">
        <f>((P383+S383)*100)/N383</f>
        <v>42.7018611224938</v>
      </c>
      <c r="X383" s="110">
        <f>((Q383+T383)*100)/N383</f>
        <v>22.5296221401972</v>
      </c>
    </row>
    <row r="384" spans="1:24" s="168" customFormat="1" ht="22.500000" customHeight="1">
      <c r="A384" s="34">
        <v>382</v>
      </c>
      <c r="B384" s="0">
        <f>C384+D384+E384+F384+G384+H384</f>
        <v>12.3911925682871</v>
      </c>
      <c r="C384" s="49">
        <v>7</v>
      </c>
      <c r="D384" s="49">
        <v>0</v>
      </c>
      <c r="E384" s="49">
        <v>2</v>
      </c>
      <c r="F384" s="49">
        <v>3.39119256828707</v>
      </c>
      <c r="G384" s="49">
        <v>0</v>
      </c>
      <c r="H384" s="49">
        <v>0</v>
      </c>
      <c r="I384" s="78">
        <f>(100*B384)/N384</f>
        <v>3.76439269957273</v>
      </c>
      <c r="J384" s="110">
        <f>((C384+F384)*100)/B384</f>
        <v>83.8595035225373</v>
      </c>
      <c r="K384" s="110">
        <f>((D384+G384)*100)/B384</f>
        <v>0</v>
      </c>
      <c r="L384" s="110">
        <f>((E384+H384)*100)/B384</f>
        <v>16.1404964774627</v>
      </c>
      <c r="M384" s="111"/>
      <c r="N384" s="0">
        <f>O384+P384+Q384+R384+S384+T384</f>
        <v>329.168435846066</v>
      </c>
      <c r="O384" s="49">
        <v>51</v>
      </c>
      <c r="P384" s="49">
        <v>73</v>
      </c>
      <c r="Q384" s="49">
        <v>39</v>
      </c>
      <c r="R384" s="49">
        <v>62.1718637519296</v>
      </c>
      <c r="S384" s="49">
        <v>57.6502736608802</v>
      </c>
      <c r="T384" s="49">
        <v>46.3462984332566</v>
      </c>
      <c r="U384" s="49">
        <v>34</v>
      </c>
      <c r="V384" s="110">
        <f>((O384+R384)*100)/N384</f>
        <v>34.3811409077065</v>
      </c>
      <c r="W384" s="110">
        <f>((P384+S384)*100)/N384</f>
        <v>39.6910090498404</v>
      </c>
      <c r="X384" s="110">
        <f>((Q384+T384)*100)/N384</f>
        <v>25.9278500424531</v>
      </c>
    </row>
    <row r="385" spans="1:24" s="168" customFormat="1" ht="22.500000" customHeight="1">
      <c r="A385" s="34">
        <v>383</v>
      </c>
      <c r="B385" s="0">
        <f>C385+D385+E385+F385+G385+H385</f>
        <v>10.1303975227624</v>
      </c>
      <c r="C385" s="49">
        <v>9</v>
      </c>
      <c r="D385" s="49">
        <v>0</v>
      </c>
      <c r="E385" s="49">
        <v>0</v>
      </c>
      <c r="F385" s="49">
        <v>1.13039752276235</v>
      </c>
      <c r="G385" s="49">
        <v>0</v>
      </c>
      <c r="H385" s="49">
        <v>0</v>
      </c>
      <c r="I385" s="78">
        <f>(100*B385)/N385</f>
        <v>5.52918719859269</v>
      </c>
      <c r="J385" s="110">
        <f>((C385+F385)*100)/B385</f>
        <v>100</v>
      </c>
      <c r="K385" s="110">
        <f>((D385+G385)*100)/B385</f>
        <v>0</v>
      </c>
      <c r="L385" s="110">
        <f>((E385+H385)*100)/B385</f>
        <v>0</v>
      </c>
      <c r="M385" s="111"/>
      <c r="N385" s="0">
        <f>O385+P385+Q385+R385+S385+T385</f>
        <v>183.21675788696</v>
      </c>
      <c r="O385" s="49">
        <v>51</v>
      </c>
      <c r="P385" s="49">
        <v>73</v>
      </c>
      <c r="Q385" s="49">
        <v>40</v>
      </c>
      <c r="R385" s="49">
        <v>9.04318018209885</v>
      </c>
      <c r="S385" s="49">
        <v>9.04318018209885</v>
      </c>
      <c r="T385" s="49">
        <v>1.13039752276235</v>
      </c>
      <c r="U385" s="49">
        <v>21</v>
      </c>
      <c r="V385" s="110">
        <f>((O385+R385)*100)/N385</f>
        <v>32.7716639430679</v>
      </c>
      <c r="W385" s="110">
        <f>((P385+S385)*100)/N385</f>
        <v>44.7792991909165</v>
      </c>
      <c r="X385" s="110">
        <f>((Q385+T385)*100)/N385</f>
        <v>22.4490368660157</v>
      </c>
    </row>
    <row r="386" spans="1:24" s="168" customFormat="1" ht="22.500000" customHeight="1">
      <c r="A386" s="34">
        <v>384</v>
      </c>
      <c r="B386" s="0">
        <f>C386+D386+E386+F386+G386+H386</f>
        <v>22.9127826593365</v>
      </c>
      <c r="C386" s="49">
        <v>14</v>
      </c>
      <c r="D386" s="49">
        <v>1</v>
      </c>
      <c r="E386" s="49">
        <v>0</v>
      </c>
      <c r="F386" s="49">
        <v>6.78238513657414</v>
      </c>
      <c r="G386" s="49">
        <v>1.13039752276235</v>
      </c>
      <c r="H386" s="49">
        <v>0</v>
      </c>
      <c r="I386" s="78">
        <f>(100*B386)/N386</f>
        <v>6.337222180564</v>
      </c>
      <c r="J386" s="110">
        <f>((C386+F386)*100)/B386</f>
        <v>90.7021440632648</v>
      </c>
      <c r="K386" s="110">
        <f>((D386+G386)*100)/B386</f>
        <v>9.2978559367352</v>
      </c>
      <c r="L386" s="110">
        <f>((E386+H386)*100)/B386</f>
        <v>0</v>
      </c>
      <c r="M386" s="111"/>
      <c r="N386" s="0">
        <f>O386+P386+Q386+R386+S386+T386</f>
        <v>361.558771437887</v>
      </c>
      <c r="O386" s="49">
        <v>54</v>
      </c>
      <c r="P386" s="49">
        <v>72</v>
      </c>
      <c r="Q386" s="49">
        <v>40</v>
      </c>
      <c r="R386" s="49">
        <v>63.3022612746919</v>
      </c>
      <c r="S386" s="49">
        <v>84.7798142071767</v>
      </c>
      <c r="T386" s="49">
        <v>47.4766959560189</v>
      </c>
      <c r="U386" s="49">
        <v>35</v>
      </c>
      <c r="V386" s="110">
        <f>((O386+R386)*100)/N386</f>
        <v>32.443483754575</v>
      </c>
      <c r="W386" s="110">
        <f>((P386+S386)*100)/N386</f>
        <v>43.3621935332054</v>
      </c>
      <c r="X386" s="110">
        <f>((Q386+T386)*100)/N386</f>
        <v>24.1943227122196</v>
      </c>
    </row>
    <row r="387" spans="1:24" s="168" customFormat="1" ht="22.500000" customHeight="1">
      <c r="A387" s="34">
        <v>385</v>
      </c>
      <c r="B387" s="0">
        <f>C387+D387+E387+F387+G387+H387</f>
        <v>29.6951677959106</v>
      </c>
      <c r="C387" s="49">
        <v>14</v>
      </c>
      <c r="D387" s="49">
        <v>1</v>
      </c>
      <c r="E387" s="49">
        <v>0</v>
      </c>
      <c r="F387" s="49">
        <v>10.1735777048612</v>
      </c>
      <c r="G387" s="49">
        <v>4.52159009104942</v>
      </c>
      <c r="H387" s="49">
        <v>0</v>
      </c>
      <c r="I387" s="78">
        <f>(100*B387)/N387</f>
        <v>5.79799798853351</v>
      </c>
      <c r="J387" s="110">
        <f>((C387+F387)*100)/B387</f>
        <v>81.4057622809264</v>
      </c>
      <c r="K387" s="110">
        <f>((D387+G387)*100)/B387</f>
        <v>18.5942377190736</v>
      </c>
      <c r="L387" s="110">
        <f>((E387+H387)*100)/B387</f>
        <v>0</v>
      </c>
      <c r="M387" s="111"/>
      <c r="N387" s="0">
        <f>O387+P387+Q387+R387+S387+T387</f>
        <v>512.162437010804</v>
      </c>
      <c r="O387" s="49">
        <v>52</v>
      </c>
      <c r="P387" s="49">
        <v>71</v>
      </c>
      <c r="Q387" s="49">
        <v>41</v>
      </c>
      <c r="R387" s="49">
        <v>87.0406092527014</v>
      </c>
      <c r="S387" s="49">
        <v>137.908497777007</v>
      </c>
      <c r="T387" s="49">
        <v>123.213329981096</v>
      </c>
      <c r="U387" s="49">
        <v>33</v>
      </c>
      <c r="V387" s="110">
        <f>((O387+R387)*100)/N387</f>
        <v>27.1477561033568</v>
      </c>
      <c r="W387" s="110">
        <f>((P387+S387)*100)/N387</f>
        <v>40.789500103968</v>
      </c>
      <c r="X387" s="110">
        <f>((Q387+T387)*100)/N387</f>
        <v>32.0627437926753</v>
      </c>
    </row>
    <row r="388" spans="1:24" s="168" customFormat="1" ht="22.500000" customHeight="1">
      <c r="A388" s="34">
        <v>386</v>
      </c>
      <c r="B388" s="0">
        <f>C388+D388+E388+F388+G388+H388</f>
        <v>52.4775529324847</v>
      </c>
      <c r="C388" s="49">
        <v>27</v>
      </c>
      <c r="D388" s="49">
        <v>1</v>
      </c>
      <c r="E388" s="49">
        <v>3</v>
      </c>
      <c r="F388" s="49">
        <v>21.4775529324847</v>
      </c>
      <c r="G388" s="49">
        <v>0</v>
      </c>
      <c r="H388" s="49">
        <v>0</v>
      </c>
      <c r="I388" s="78">
        <f>(100*B388)/N388</f>
        <v>17.1644442889773</v>
      </c>
      <c r="J388" s="110">
        <f>((C388+F388)*100)/B388</f>
        <v>92.3776933632057</v>
      </c>
      <c r="K388" s="110">
        <f>((D388+G388)*100)/B388</f>
        <v>1.90557665919856</v>
      </c>
      <c r="L388" s="110">
        <f>((E388+H388)*100)/B388</f>
        <v>5.71672997759569</v>
      </c>
      <c r="M388" s="111"/>
      <c r="N388" s="0">
        <f>O388+P388+Q388+R388+S388+T388</f>
        <v>305.73406309568</v>
      </c>
      <c r="O388" s="49">
        <v>44</v>
      </c>
      <c r="P388" s="49">
        <v>70</v>
      </c>
      <c r="Q388" s="49">
        <v>38</v>
      </c>
      <c r="R388" s="49">
        <v>53.1286835698307</v>
      </c>
      <c r="S388" s="49">
        <v>56.5198761381178</v>
      </c>
      <c r="T388" s="49">
        <v>44.0855033877319</v>
      </c>
      <c r="U388" s="49">
        <v>34</v>
      </c>
      <c r="V388" s="110">
        <f>((O388+R388)*100)/N388</f>
        <v>31.7690095066162</v>
      </c>
      <c r="W388" s="110">
        <f>((P388+S388)*100)/N388</f>
        <v>41.3823290924973</v>
      </c>
      <c r="X388" s="110">
        <f>((Q388+T388)*100)/N388</f>
        <v>26.8486614008865</v>
      </c>
    </row>
    <row r="389" spans="1:24" s="168" customFormat="1" ht="22.500000" customHeight="1">
      <c r="A389" s="34">
        <v>387</v>
      </c>
      <c r="B389" s="0">
        <f>C389+D389+E389+F389+G389+H389</f>
        <v>29.9127826593365</v>
      </c>
      <c r="C389" s="49">
        <v>16</v>
      </c>
      <c r="D389" s="49">
        <v>0</v>
      </c>
      <c r="E389" s="49">
        <v>6</v>
      </c>
      <c r="F389" s="49">
        <v>7.91278265933649</v>
      </c>
      <c r="G389" s="49">
        <v>0</v>
      </c>
      <c r="H389" s="49">
        <v>0</v>
      </c>
      <c r="I389" s="78">
        <f>(100*B389)/N389</f>
        <v>10.3102690023662</v>
      </c>
      <c r="J389" s="110">
        <f>((C389+F389)*100)/B389</f>
        <v>79.941685571913</v>
      </c>
      <c r="K389" s="110">
        <f>((D389+G389)*100)/B389</f>
        <v>0</v>
      </c>
      <c r="L389" s="110">
        <f>((E389+H389)*100)/B389</f>
        <v>20.058314428087</v>
      </c>
      <c r="M389" s="111"/>
      <c r="N389" s="0">
        <f>O389+P389+Q389+R389+S389+T389</f>
        <v>290.126112640433</v>
      </c>
      <c r="O389" s="49">
        <v>52</v>
      </c>
      <c r="P389" s="49">
        <v>70</v>
      </c>
      <c r="Q389" s="49">
        <v>37</v>
      </c>
      <c r="R389" s="49">
        <v>39.5639132966824</v>
      </c>
      <c r="S389" s="49">
        <v>51.9982860470684</v>
      </c>
      <c r="T389" s="49">
        <v>39.5639132966824</v>
      </c>
      <c r="U389" s="49">
        <v>31</v>
      </c>
      <c r="V389" s="110">
        <f>((O389+R389)*100)/N389</f>
        <v>31.5600386546942</v>
      </c>
      <c r="W389" s="110">
        <f>((P389+S389)*100)/N389</f>
        <v>42.050088127802</v>
      </c>
      <c r="X389" s="110">
        <f>((Q389+T389)*100)/N389</f>
        <v>26.3898732175037</v>
      </c>
    </row>
    <row r="390" spans="1:24" s="168" customFormat="1" ht="22.500000" customHeight="1">
      <c r="A390" s="34">
        <v>388</v>
      </c>
      <c r="B390" s="0">
        <f>C390+D390+E390+F390+G390+H390</f>
        <v>122.171006775464</v>
      </c>
      <c r="C390" s="49">
        <v>29</v>
      </c>
      <c r="D390" s="49">
        <v>2</v>
      </c>
      <c r="E390" s="49">
        <v>3</v>
      </c>
      <c r="F390" s="49">
        <v>75.7366340250779</v>
      </c>
      <c r="G390" s="49">
        <v>5.65198761381178</v>
      </c>
      <c r="H390" s="49">
        <v>6.78238513657414</v>
      </c>
      <c r="I390" s="78">
        <f>(100*B390)/N390</f>
        <v>11.3526678637881</v>
      </c>
      <c r="J390" s="110">
        <f>((C390+F390)*100)/B390</f>
        <v>85.7295333724897</v>
      </c>
      <c r="K390" s="110">
        <f>((D390+G390)*100)/B390</f>
        <v>6.26334170092848</v>
      </c>
      <c r="L390" s="110">
        <f>((E390+H390)*100)/B390</f>
        <v>8.00712492658183</v>
      </c>
      <c r="M390" s="111"/>
      <c r="N390" s="0">
        <f>O390+P390+Q390+R390+S390+T390</f>
        <v>1076.14358352856</v>
      </c>
      <c r="O390" s="49">
        <v>45</v>
      </c>
      <c r="P390" s="49">
        <v>74</v>
      </c>
      <c r="Q390" s="49">
        <v>37</v>
      </c>
      <c r="R390" s="49">
        <v>213.645131802085</v>
      </c>
      <c r="S390" s="49">
        <v>498.505307538199</v>
      </c>
      <c r="T390" s="49">
        <v>207.993144188273</v>
      </c>
      <c r="U390" s="49">
        <v>38</v>
      </c>
      <c r="V390" s="110">
        <f>((O390+R390)*100)/N390</f>
        <v>24.0344444515495</v>
      </c>
      <c r="W390" s="110">
        <f>((P390+S390)*100)/N390</f>
        <v>53.1997138951493</v>
      </c>
      <c r="X390" s="110">
        <f>((Q390+T390)*100)/N390</f>
        <v>22.7658416533013</v>
      </c>
    </row>
    <row r="391" spans="1:24" s="168" customFormat="1" ht="22.500000" customHeight="1">
      <c r="A391" s="34">
        <v>389</v>
      </c>
      <c r="B391" s="0">
        <f>C391+D391+E391+F391+G391+H391</f>
        <v>13.2607950455247</v>
      </c>
      <c r="C391" s="49">
        <v>11</v>
      </c>
      <c r="D391" s="49">
        <v>0</v>
      </c>
      <c r="E391" s="49">
        <v>0</v>
      </c>
      <c r="F391" s="49">
        <v>2.26079504552471</v>
      </c>
      <c r="G391" s="49">
        <v>0</v>
      </c>
      <c r="H391" s="49">
        <v>0</v>
      </c>
      <c r="I391" s="78">
        <f>(100*B391)/N391</f>
        <v>4.02054796228798</v>
      </c>
      <c r="J391" s="110">
        <f>((C391+F391)*100)/B391</f>
        <v>100</v>
      </c>
      <c r="K391" s="110">
        <f>((D391+G391)*100)/B391</f>
        <v>0</v>
      </c>
      <c r="L391" s="110">
        <f>((E391+H391)*100)/B391</f>
        <v>0</v>
      </c>
      <c r="M391" s="111"/>
      <c r="N391" s="0">
        <f>O391+P391+Q391+R391+S391+T391</f>
        <v>329.825565318673</v>
      </c>
      <c r="O391" s="49">
        <v>95</v>
      </c>
      <c r="P391" s="49">
        <v>180</v>
      </c>
      <c r="Q391" s="49">
        <v>39</v>
      </c>
      <c r="R391" s="49">
        <v>7.91278265933649</v>
      </c>
      <c r="S391" s="49">
        <v>5.65198761381178</v>
      </c>
      <c r="T391" s="49">
        <v>2.26079504552471</v>
      </c>
      <c r="U391" s="49">
        <v>21</v>
      </c>
      <c r="V391" s="110">
        <f>((O391+R391)*100)/N391</f>
        <v>31.2021848760885</v>
      </c>
      <c r="W391" s="110">
        <f>((P391+S391)*100)/N391</f>
        <v>56.2879312992119</v>
      </c>
      <c r="X391" s="110">
        <f>((Q391+T391)*100)/N391</f>
        <v>12.5098838246996</v>
      </c>
    </row>
    <row r="392" spans="1:24" s="168" customFormat="1" ht="22.500000" customHeight="1">
      <c r="A392" s="34">
        <v>390</v>
      </c>
      <c r="B392" s="0">
        <f>C392+D392+E392+F392+G392+H392</f>
        <v>33.825565318673</v>
      </c>
      <c r="C392" s="49">
        <v>6</v>
      </c>
      <c r="D392" s="49">
        <v>8</v>
      </c>
      <c r="E392" s="49">
        <v>4</v>
      </c>
      <c r="F392" s="49">
        <v>7.91278265933649</v>
      </c>
      <c r="G392" s="49">
        <v>3.39119256828707</v>
      </c>
      <c r="H392" s="49">
        <v>4.52159009104942</v>
      </c>
      <c r="I392" s="78">
        <f>(100*B392)/N392</f>
        <v>4.92313018143478</v>
      </c>
      <c r="J392" s="110">
        <f>((C392+F392)*100)/B392</f>
        <v>41.1309686276141</v>
      </c>
      <c r="K392" s="110">
        <f>((D392+G392)*100)/B392</f>
        <v>33.6762814190092</v>
      </c>
      <c r="L392" s="110">
        <f>((E392+H392)*100)/B392</f>
        <v>25.1927499533768</v>
      </c>
      <c r="M392" s="111"/>
      <c r="N392" s="0">
        <f>O392+P392+Q392+R392+S392+T392</f>
        <v>687.074362693675</v>
      </c>
      <c r="O392" s="49">
        <v>95</v>
      </c>
      <c r="P392" s="49">
        <v>173</v>
      </c>
      <c r="Q392" s="49">
        <v>37</v>
      </c>
      <c r="R392" s="49">
        <v>102.866174571374</v>
      </c>
      <c r="S392" s="49">
        <v>202.341156574461</v>
      </c>
      <c r="T392" s="49">
        <v>76.8670315478402</v>
      </c>
      <c r="U392" s="49">
        <v>26</v>
      </c>
      <c r="V392" s="110">
        <f>((O392+R392)*100)/N392</f>
        <v>28.7983638038304</v>
      </c>
      <c r="W392" s="110">
        <f>((P392+S392)*100)/N392</f>
        <v>54.6288985522522</v>
      </c>
      <c r="X392" s="110">
        <f>((Q392+T392)*100)/N392</f>
        <v>16.5727376439174</v>
      </c>
    </row>
    <row r="393" spans="1:24" s="168" customFormat="1" ht="22.500000" customHeight="1">
      <c r="A393" s="34">
        <v>391</v>
      </c>
      <c r="B393" s="0">
        <f>C393+D393+E393+F393+G393+H393</f>
        <v>36.4343727503859</v>
      </c>
      <c r="C393" s="49">
        <v>24</v>
      </c>
      <c r="D393" s="49">
        <v>0</v>
      </c>
      <c r="E393" s="49">
        <v>0</v>
      </c>
      <c r="F393" s="49">
        <v>12.4343727503859</v>
      </c>
      <c r="G393" s="49">
        <v>0</v>
      </c>
      <c r="H393" s="49">
        <v>0</v>
      </c>
      <c r="I393" s="78">
        <f>(100*B393)/N393</f>
        <v>10.7892949012272</v>
      </c>
      <c r="J393" s="110">
        <f>((C393+F393)*100)/B393</f>
        <v>100</v>
      </c>
      <c r="K393" s="110">
        <f>((D393+G393)*100)/B393</f>
        <v>0</v>
      </c>
      <c r="L393" s="110">
        <f>((E393+H393)*100)/B393</f>
        <v>0</v>
      </c>
      <c r="M393" s="111"/>
      <c r="N393" s="0">
        <f>O393+P393+Q393+R393+S393+T393</f>
        <v>337.690025937116</v>
      </c>
      <c r="O393" s="49">
        <v>56</v>
      </c>
      <c r="P393" s="49">
        <v>73</v>
      </c>
      <c r="Q393" s="49">
        <v>38</v>
      </c>
      <c r="R393" s="49">
        <v>49.7374910015437</v>
      </c>
      <c r="S393" s="49">
        <v>76.8670315478402</v>
      </c>
      <c r="T393" s="49">
        <v>44.0855033877319</v>
      </c>
      <c r="U393" s="49">
        <v>26</v>
      </c>
      <c r="V393" s="110">
        <f>((O393+R393)*100)/N393</f>
        <v>31.3119970624285</v>
      </c>
      <c r="W393" s="110">
        <f>((P393+S393)*100)/N393</f>
        <v>44.3800586445951</v>
      </c>
      <c r="X393" s="110">
        <f>((Q393+T393)*100)/N393</f>
        <v>24.3079442929765</v>
      </c>
    </row>
    <row r="394" spans="1:24" s="168" customFormat="1" ht="22.500000" customHeight="1">
      <c r="A394" s="34">
        <v>392</v>
      </c>
      <c r="B394" s="0">
        <f>C394+D394+E394+F394+G394+H394</f>
        <v>35.0431801820989</v>
      </c>
      <c r="C394" s="49">
        <v>25</v>
      </c>
      <c r="D394" s="49">
        <v>1</v>
      </c>
      <c r="E394" s="49">
        <v>0</v>
      </c>
      <c r="F394" s="49">
        <v>9.04318018209885</v>
      </c>
      <c r="G394" s="49">
        <v>0</v>
      </c>
      <c r="H394" s="49">
        <v>0</v>
      </c>
      <c r="I394" s="78">
        <f>(100*B394)/N394</f>
        <v>9.88967257455312</v>
      </c>
      <c r="J394" s="110">
        <f>((C394+F394)*100)/B394</f>
        <v>97.1463777122864</v>
      </c>
      <c r="K394" s="110">
        <f>((D394+G394)*100)/B394</f>
        <v>2.85362228771358</v>
      </c>
      <c r="L394" s="110">
        <f>((E394+H394)*100)/B394</f>
        <v>0</v>
      </c>
      <c r="M394" s="111"/>
      <c r="N394" s="0">
        <f>O394+P394+Q394+R394+S394+T394</f>
        <v>354.341156574462</v>
      </c>
      <c r="O394" s="49">
        <v>44</v>
      </c>
      <c r="P394" s="49">
        <v>71</v>
      </c>
      <c r="Q394" s="49">
        <v>37</v>
      </c>
      <c r="R394" s="49">
        <v>73.4758389795531</v>
      </c>
      <c r="S394" s="49">
        <v>87.0406092527014</v>
      </c>
      <c r="T394" s="49">
        <v>41.8247083422072</v>
      </c>
      <c r="U394" s="49">
        <v>33</v>
      </c>
      <c r="V394" s="110">
        <f>((O394+R394)*100)/N394</f>
        <v>33.1533147645711</v>
      </c>
      <c r="W394" s="110">
        <f>((P394+S394)*100)/N394</f>
        <v>44.6012568171687</v>
      </c>
      <c r="X394" s="110">
        <f>((Q394+T394)*100)/N394</f>
        <v>22.2454284182602</v>
      </c>
    </row>
    <row r="395" spans="1:24" s="168" customFormat="1" ht="22.500000" customHeight="1">
      <c r="A395" s="34">
        <v>393</v>
      </c>
      <c r="B395" s="0">
        <f>C395+D395+E395+F395+G395+H395</f>
        <v>58.1295405462965</v>
      </c>
      <c r="C395" s="49">
        <v>28</v>
      </c>
      <c r="D395" s="49">
        <v>1</v>
      </c>
      <c r="E395" s="49">
        <v>2</v>
      </c>
      <c r="F395" s="49">
        <v>18.0863603641977</v>
      </c>
      <c r="G395" s="49">
        <v>4.52159009104942</v>
      </c>
      <c r="H395" s="49">
        <v>4.52159009104942</v>
      </c>
      <c r="I395" s="78">
        <f>(100*B395)/N395</f>
        <v>12.0051142740325</v>
      </c>
      <c r="J395" s="110">
        <f>((C395+F395)*100)/B395</f>
        <v>79.2821686376358</v>
      </c>
      <c r="K395" s="110">
        <f>((D395+G395)*100)/B395</f>
        <v>9.49876781952512</v>
      </c>
      <c r="L395" s="110">
        <f>((E395+H395)*100)/B395</f>
        <v>11.2190635428391</v>
      </c>
      <c r="M395" s="111"/>
      <c r="N395" s="0">
        <f>O395+P395+Q395+R395+S395+T395</f>
        <v>484.20647416937</v>
      </c>
      <c r="O395" s="49">
        <v>46</v>
      </c>
      <c r="P395" s="49">
        <v>70</v>
      </c>
      <c r="Q395" s="49">
        <v>37</v>
      </c>
      <c r="R395" s="49">
        <v>57.6502736608802</v>
      </c>
      <c r="S395" s="49">
        <v>201.210759051699</v>
      </c>
      <c r="T395" s="49">
        <v>72.3454414567908</v>
      </c>
      <c r="U395" s="49">
        <v>29</v>
      </c>
      <c r="V395" s="110">
        <f>((O395+R395)*100)/N395</f>
        <v>21.4062139170457</v>
      </c>
      <c r="W395" s="110">
        <f>((P395+S395)*100)/N395</f>
        <v>56.0113863650721</v>
      </c>
      <c r="X395" s="110">
        <f>((Q395+T395)*100)/N395</f>
        <v>22.5823997178821</v>
      </c>
    </row>
    <row r="396" spans="1:24" s="168" customFormat="1" ht="22.500000" customHeight="1">
      <c r="A396" s="34">
        <v>394</v>
      </c>
      <c r="B396" s="0">
        <f>C396+D396+E396+F396+G396+H396</f>
        <v>22.3039752276236</v>
      </c>
      <c r="C396" s="49">
        <v>10</v>
      </c>
      <c r="D396" s="49">
        <v>1</v>
      </c>
      <c r="E396" s="49">
        <v>0</v>
      </c>
      <c r="F396" s="49">
        <v>7.91278265933649</v>
      </c>
      <c r="G396" s="49">
        <v>3.39119256828707</v>
      </c>
      <c r="H396" s="49">
        <v>0</v>
      </c>
      <c r="I396" s="78">
        <f>(100*B396)/N396</f>
        <v>5.58764593567635</v>
      </c>
      <c r="J396" s="110">
        <f>((C396+F396)*100)/B396</f>
        <v>80.312063103224</v>
      </c>
      <c r="K396" s="110">
        <f>((D396+G396)*100)/B396</f>
        <v>19.687936896776</v>
      </c>
      <c r="L396" s="110">
        <f>((E396+H396)*100)/B396</f>
        <v>0</v>
      </c>
      <c r="M396" s="111"/>
      <c r="N396" s="0">
        <f>O396+P396+Q396+R396+S396+T396</f>
        <v>399.165864916669</v>
      </c>
      <c r="O396" s="49">
        <v>49</v>
      </c>
      <c r="P396" s="49">
        <v>69</v>
      </c>
      <c r="Q396" s="49">
        <v>37</v>
      </c>
      <c r="R396" s="49">
        <v>102.866174571374</v>
      </c>
      <c r="S396" s="49">
        <v>98.344584480325</v>
      </c>
      <c r="T396" s="49">
        <v>42.9551058649695</v>
      </c>
      <c r="U396" s="49">
        <v>33</v>
      </c>
      <c r="V396" s="110">
        <f>((O396+R396)*100)/N396</f>
        <v>38.0458821555491</v>
      </c>
      <c r="W396" s="110">
        <f>((P396+S396)*100)/N396</f>
        <v>41.9235709233956</v>
      </c>
      <c r="X396" s="110">
        <f>((Q396+T396)*100)/N396</f>
        <v>20.0305469210553</v>
      </c>
    </row>
    <row r="397" spans="1:24" s="168" customFormat="1" ht="22.500000" customHeight="1">
      <c r="A397" s="34">
        <v>395</v>
      </c>
      <c r="B397" s="0">
        <f>C397+D397+E397+F397+G397+H397</f>
        <v>25.6519876138118</v>
      </c>
      <c r="C397" s="49">
        <v>20</v>
      </c>
      <c r="D397" s="49">
        <v>0</v>
      </c>
      <c r="E397" s="49">
        <v>0</v>
      </c>
      <c r="F397" s="49">
        <v>5.65198761381178</v>
      </c>
      <c r="G397" s="49">
        <v>0</v>
      </c>
      <c r="H397" s="49">
        <v>0</v>
      </c>
      <c r="I397" s="78">
        <f>(100*B397)/N397</f>
        <v>13.190262970949</v>
      </c>
      <c r="J397" s="110">
        <f>((C397+F397)*100)/B397</f>
        <v>100</v>
      </c>
      <c r="K397" s="110">
        <f>((D397+G397)*100)/B397</f>
        <v>0</v>
      </c>
      <c r="L397" s="110">
        <f>((E397+H397)*100)/B397</f>
        <v>0</v>
      </c>
      <c r="M397" s="111"/>
      <c r="N397" s="0">
        <f>O397+P397+Q397+R397+S397+T397</f>
        <v>194.476695956019</v>
      </c>
      <c r="O397" s="49">
        <v>41</v>
      </c>
      <c r="P397" s="49">
        <v>69</v>
      </c>
      <c r="Q397" s="49">
        <v>37</v>
      </c>
      <c r="R397" s="49">
        <v>31.6511306373459</v>
      </c>
      <c r="S397" s="49">
        <v>12.4343727503859</v>
      </c>
      <c r="T397" s="49">
        <v>3.39119256828707</v>
      </c>
      <c r="U397" s="49">
        <v>26</v>
      </c>
      <c r="V397" s="110">
        <f>((O397+R397)*100)/N397</f>
        <v>37.3572423576016</v>
      </c>
      <c r="W397" s="110">
        <f>((P397+S397)*100)/N397</f>
        <v>41.8735891979584</v>
      </c>
      <c r="X397" s="110">
        <f>((Q397+T397)*100)/N397</f>
        <v>20.76916844444</v>
      </c>
    </row>
    <row r="398" spans="1:24" s="168" customFormat="1" ht="22.500000" customHeight="1">
      <c r="A398" s="34">
        <v>396</v>
      </c>
      <c r="B398" s="0">
        <f>C398+D398+E398+F398+G398+H398</f>
        <v>45.9991430235341</v>
      </c>
      <c r="C398" s="49">
        <v>15</v>
      </c>
      <c r="D398" s="49">
        <v>1</v>
      </c>
      <c r="E398" s="49">
        <v>4</v>
      </c>
      <c r="F398" s="49">
        <v>21.4775529324847</v>
      </c>
      <c r="G398" s="49">
        <v>1.13039752276235</v>
      </c>
      <c r="H398" s="49">
        <v>3.39119256828707</v>
      </c>
      <c r="I398" s="78">
        <f>(100*B398)/N398</f>
        <v>8.42830910371092</v>
      </c>
      <c r="J398" s="110">
        <f>((C398+F398)*100)/B398</f>
        <v>79.3005054764217</v>
      </c>
      <c r="K398" s="110">
        <f>((D398+G398)*100)/B398</f>
        <v>4.63138524487814</v>
      </c>
      <c r="L398" s="110">
        <f>((E398+H398)*100)/B398</f>
        <v>16.0681092787002</v>
      </c>
      <c r="M398" s="111"/>
      <c r="N398" s="0">
        <f>O398+P398+Q398+R398+S398+T398</f>
        <v>545.769530489586</v>
      </c>
      <c r="O398" s="49">
        <v>41</v>
      </c>
      <c r="P398" s="49">
        <v>70</v>
      </c>
      <c r="Q398" s="49">
        <v>38</v>
      </c>
      <c r="R398" s="49">
        <v>128.865317594908</v>
      </c>
      <c r="S398" s="49">
        <v>191.037181346838</v>
      </c>
      <c r="T398" s="49">
        <v>76.8670315478402</v>
      </c>
      <c r="U398" s="49">
        <v>34</v>
      </c>
      <c r="V398" s="110">
        <f>((O398+R398)*100)/N398</f>
        <v>31.124001635366</v>
      </c>
      <c r="W398" s="110">
        <f>((P398+S398)*100)/N398</f>
        <v>47.829196531487</v>
      </c>
      <c r="X398" s="110">
        <f>((Q398+T398)*100)/N398</f>
        <v>21.046801833147</v>
      </c>
    </row>
    <row r="399" spans="1:24" s="168" customFormat="1" ht="22.500000" customHeight="1">
      <c r="A399" s="34">
        <v>397</v>
      </c>
      <c r="B399" s="0">
        <f>C399+D399+E399+F399+G399+H399</f>
        <v>16.1303975227624</v>
      </c>
      <c r="C399" s="49">
        <v>10</v>
      </c>
      <c r="D399" s="49">
        <v>3</v>
      </c>
      <c r="E399" s="49">
        <v>2</v>
      </c>
      <c r="F399" s="49">
        <v>1.13039752276235</v>
      </c>
      <c r="G399" s="49">
        <v>0</v>
      </c>
      <c r="H399" s="49">
        <v>0</v>
      </c>
      <c r="I399" s="78">
        <f>(100*B399)/N399</f>
        <v>7.28314094985843</v>
      </c>
      <c r="J399" s="110">
        <f>((C399+F399)*100)/B399</f>
        <v>69.0026238166526</v>
      </c>
      <c r="K399" s="110">
        <f>((D399+G399)*100)/B399</f>
        <v>18.5984257100085</v>
      </c>
      <c r="L399" s="110">
        <f>((E399+H399)*100)/B399</f>
        <v>12.398950473339</v>
      </c>
      <c r="M399" s="111"/>
      <c r="N399" s="0">
        <f>O399+P399+Q399+R399+S399+T399</f>
        <v>221.475838979553</v>
      </c>
      <c r="O399" s="49">
        <v>41</v>
      </c>
      <c r="P399" s="49">
        <v>69</v>
      </c>
      <c r="Q399" s="49">
        <v>38</v>
      </c>
      <c r="R399" s="49">
        <v>2.26079504552471</v>
      </c>
      <c r="S399" s="49">
        <v>35.042323205633</v>
      </c>
      <c r="T399" s="49">
        <v>36.1727207283954</v>
      </c>
      <c r="U399" s="49">
        <v>23</v>
      </c>
      <c r="V399" s="110">
        <f>((O399+R399)*100)/N399</f>
        <v>19.5329636157372</v>
      </c>
      <c r="W399" s="110">
        <f>((P399+S399)*100)/N399</f>
        <v>46.976827668881</v>
      </c>
      <c r="X399" s="110">
        <f>((Q399+T399)*100)/N399</f>
        <v>33.4902087153819</v>
      </c>
    </row>
    <row r="400" spans="1:24" s="168" customFormat="1" ht="22.500000" customHeight="1">
      <c r="A400" s="34">
        <v>398</v>
      </c>
      <c r="B400" s="0">
        <f>C400+D400+E400+F400+G400+H400</f>
        <v>5</v>
      </c>
      <c r="C400" s="49">
        <v>5</v>
      </c>
      <c r="D400" s="49">
        <v>0</v>
      </c>
      <c r="E400" s="49">
        <v>0</v>
      </c>
      <c r="F400" s="49">
        <v>0</v>
      </c>
      <c r="G400" s="49">
        <v>0</v>
      </c>
      <c r="H400" s="49">
        <v>0</v>
      </c>
      <c r="I400" s="78">
        <f>(100*B400)/N400</f>
        <v>3.35570469798658</v>
      </c>
      <c r="J400" s="110">
        <f>((C400+F400)*100)/B400</f>
        <v>100</v>
      </c>
      <c r="K400" s="110">
        <f>((D400+G400)*100)/B400</f>
        <v>0</v>
      </c>
      <c r="L400" s="110">
        <f>((E400+H400)*100)/B400</f>
        <v>0</v>
      </c>
      <c r="M400" s="111"/>
      <c r="N400" s="0">
        <f>O400+P400+Q400+R400+S400+T400</f>
        <v>149</v>
      </c>
      <c r="O400" s="49">
        <v>41</v>
      </c>
      <c r="P400" s="49">
        <v>70</v>
      </c>
      <c r="Q400" s="49">
        <v>38</v>
      </c>
      <c r="R400" s="49">
        <v>0</v>
      </c>
      <c r="S400" s="49">
        <v>0</v>
      </c>
      <c r="T400" s="49">
        <v>0</v>
      </c>
      <c r="U400" s="49">
        <v>19</v>
      </c>
      <c r="V400" s="110">
        <f>((O400+R400)*100)/N400</f>
        <v>27.5167785234899</v>
      </c>
      <c r="W400" s="110">
        <f>((P400+S400)*100)/N400</f>
        <v>46.9798657718121</v>
      </c>
      <c r="X400" s="110">
        <f>((Q400+T400)*100)/N400</f>
        <v>25.503355704698</v>
      </c>
    </row>
    <row r="401" spans="1:24" s="168" customFormat="1" ht="22.500000" customHeight="1">
      <c r="A401" s="34">
        <v>399</v>
      </c>
      <c r="B401" s="0">
        <f>C401+D401+E401+F401+G401+H401</f>
        <v>71.7815281601083</v>
      </c>
      <c r="C401" s="49">
        <v>25</v>
      </c>
      <c r="D401" s="49">
        <v>0</v>
      </c>
      <c r="E401" s="49">
        <v>14</v>
      </c>
      <c r="F401" s="49">
        <v>31.6511306373459</v>
      </c>
      <c r="G401" s="49">
        <v>0</v>
      </c>
      <c r="H401" s="49">
        <v>1.13039752276235</v>
      </c>
      <c r="I401" s="78">
        <f>(100*B401)/N401</f>
        <v>20.2354540674557</v>
      </c>
      <c r="J401" s="110">
        <f>((C401+F401)*100)/B401</f>
        <v>78.9216001517632</v>
      </c>
      <c r="K401" s="110">
        <f>((D401+G401)*100)/B401</f>
        <v>0</v>
      </c>
      <c r="L401" s="110">
        <f>((E401+H401)*100)/B401</f>
        <v>21.0783998482369</v>
      </c>
      <c r="M401" s="111"/>
      <c r="N401" s="0">
        <f>O401+P401+Q401+R401+S401+T401</f>
        <v>354.731492166283</v>
      </c>
      <c r="O401" s="49">
        <v>39</v>
      </c>
      <c r="P401" s="49">
        <v>47</v>
      </c>
      <c r="Q401" s="49">
        <v>37</v>
      </c>
      <c r="R401" s="49">
        <v>59.9110687064049</v>
      </c>
      <c r="S401" s="49">
        <v>91.5621993437509</v>
      </c>
      <c r="T401" s="49">
        <v>80.2582241161273</v>
      </c>
      <c r="U401" s="49">
        <v>34</v>
      </c>
      <c r="V401" s="110">
        <f>((O401+R401)*100)/N401</f>
        <v>27.8833627379324</v>
      </c>
      <c r="W401" s="110">
        <f>((P401+S401)*100)/N401</f>
        <v>39.0611497438741</v>
      </c>
      <c r="X401" s="110">
        <f>((Q401+T401)*100)/N401</f>
        <v>33.0554875181935</v>
      </c>
    </row>
    <row r="402" spans="1:24" s="168" customFormat="1" ht="22.500000" customHeight="1">
      <c r="A402" s="34">
        <v>400</v>
      </c>
      <c r="B402" s="0">
        <f>C402+D402+E402+F402+G402+H402</f>
        <v>24.0431801820989</v>
      </c>
      <c r="C402" s="49">
        <v>14</v>
      </c>
      <c r="D402" s="49">
        <v>0</v>
      </c>
      <c r="E402" s="49">
        <v>1</v>
      </c>
      <c r="F402" s="49">
        <v>9.04318018209885</v>
      </c>
      <c r="G402" s="49">
        <v>0</v>
      </c>
      <c r="H402" s="49">
        <v>0</v>
      </c>
      <c r="I402" s="78">
        <f>(100*B402)/N402</f>
        <v>8.82544963012435</v>
      </c>
      <c r="J402" s="110">
        <f>((C402+F402)*100)/B402</f>
        <v>95.8408164293318</v>
      </c>
      <c r="K402" s="110">
        <f>((D402+G402)*100)/B402</f>
        <v>0</v>
      </c>
      <c r="L402" s="110">
        <f>((E402+H402)*100)/B402</f>
        <v>4.15918357066817</v>
      </c>
      <c r="M402" s="111"/>
      <c r="N402" s="0">
        <f>O402+P402+Q402+R402+S402+T402</f>
        <v>272.430087868057</v>
      </c>
      <c r="O402" s="49">
        <v>45</v>
      </c>
      <c r="P402" s="49">
        <v>48</v>
      </c>
      <c r="Q402" s="49">
        <v>37</v>
      </c>
      <c r="R402" s="49">
        <v>46.3462984332566</v>
      </c>
      <c r="S402" s="49">
        <v>53.1286835698307</v>
      </c>
      <c r="T402" s="49">
        <v>42.9551058649695</v>
      </c>
      <c r="U402" s="49">
        <v>34</v>
      </c>
      <c r="V402" s="110">
        <f>((O402+R402)*100)/N402</f>
        <v>33.5301798520498</v>
      </c>
      <c r="W402" s="110">
        <f>((P402+S402)*100)/N402</f>
        <v>37.1209672034498</v>
      </c>
      <c r="X402" s="110">
        <f>((Q402+T402)*100)/N402</f>
        <v>29.3488529445005</v>
      </c>
    </row>
    <row r="403" spans="1:24">
      <c r="A403" s="34">
        <v>401</v>
      </c>
      <c r="I403" s="78"/>
      <c r="J403" s="78"/>
      <c r="K403" s="78"/>
      <c r="L403" s="78"/>
      <c r="V403" s="78"/>
      <c r="W403" s="78"/>
      <c r="X403" s="78"/>
    </row>
    <row r="404" spans="1:24">
      <c r="A404" s="34">
        <v>402</v>
      </c>
      <c r="I404" s="78"/>
      <c r="J404" s="78"/>
      <c r="K404" s="78"/>
      <c r="L404" s="78"/>
      <c r="V404" s="78"/>
      <c r="W404" s="78"/>
      <c r="X404" s="78"/>
    </row>
    <row r="405" spans="1:24">
      <c r="A405" s="34">
        <v>403</v>
      </c>
      <c r="I405" s="78"/>
      <c r="J405" s="78"/>
      <c r="K405" s="78"/>
      <c r="L405" s="78"/>
      <c r="V405" s="78"/>
      <c r="W405" s="78"/>
      <c r="X405" s="78"/>
    </row>
    <row r="406" spans="1:24">
      <c r="A406" s="34">
        <v>404</v>
      </c>
      <c r="I406" s="78"/>
      <c r="J406" s="78"/>
      <c r="K406" s="78"/>
      <c r="L406" s="78"/>
      <c r="V406" s="78"/>
      <c r="W406" s="78"/>
      <c r="X406" s="78"/>
    </row>
    <row r="407" spans="1:24">
      <c r="A407" s="34">
        <v>405</v>
      </c>
      <c r="I407" s="78"/>
      <c r="J407" s="78"/>
      <c r="K407" s="78"/>
      <c r="L407" s="78"/>
      <c r="V407" s="78"/>
      <c r="W407" s="78"/>
      <c r="X407" s="78"/>
    </row>
    <row r="408" spans="1:24">
      <c r="A408" s="34">
        <v>406</v>
      </c>
      <c r="I408" s="78"/>
      <c r="J408" s="78"/>
      <c r="K408" s="78"/>
      <c r="L408" s="78"/>
      <c r="V408" s="78"/>
      <c r="W408" s="78"/>
      <c r="X408" s="78"/>
    </row>
    <row r="409" spans="1:24">
      <c r="A409" s="34">
        <v>407</v>
      </c>
      <c r="I409" s="78"/>
      <c r="J409" s="78"/>
      <c r="K409" s="78"/>
      <c r="L409" s="78"/>
      <c r="V409" s="78"/>
      <c r="W409" s="78"/>
      <c r="X409" s="78"/>
    </row>
    <row r="410" spans="1:24">
      <c r="A410" s="34">
        <v>408</v>
      </c>
      <c r="I410" s="78"/>
      <c r="J410" s="78"/>
      <c r="K410" s="78"/>
      <c r="L410" s="78"/>
      <c r="V410" s="78"/>
      <c r="W410" s="78"/>
      <c r="X410" s="78"/>
    </row>
    <row r="411" spans="1:24">
      <c r="A411" s="34">
        <v>409</v>
      </c>
      <c r="I411" s="78"/>
      <c r="J411" s="78"/>
      <c r="K411" s="78"/>
      <c r="L411" s="78"/>
      <c r="V411" s="78"/>
      <c r="W411" s="78"/>
      <c r="X411" s="78"/>
    </row>
    <row r="412" spans="1:24">
      <c r="A412" s="34">
        <v>410</v>
      </c>
      <c r="I412" s="78"/>
      <c r="J412" s="78"/>
      <c r="K412" s="78"/>
      <c r="L412" s="78"/>
      <c r="V412" s="78"/>
      <c r="W412" s="78"/>
      <c r="X412" s="78"/>
    </row>
    <row r="413" spans="1:24">
      <c r="A413" s="34">
        <v>411</v>
      </c>
      <c r="I413" s="78"/>
      <c r="J413" s="78"/>
      <c r="K413" s="78"/>
      <c r="L413" s="78"/>
      <c r="V413" s="78"/>
      <c r="W413" s="78"/>
      <c r="X413" s="78"/>
    </row>
    <row r="414" spans="1:24">
      <c r="A414" s="34">
        <v>412</v>
      </c>
      <c r="I414" s="78"/>
      <c r="J414" s="78"/>
      <c r="K414" s="78"/>
      <c r="L414" s="78"/>
      <c r="V414" s="78"/>
      <c r="W414" s="78"/>
      <c r="X414" s="78"/>
    </row>
    <row r="415" spans="1:24">
      <c r="A415" s="34">
        <v>413</v>
      </c>
      <c r="I415" s="78"/>
      <c r="J415" s="78"/>
      <c r="K415" s="78"/>
      <c r="L415" s="78"/>
      <c r="V415" s="78"/>
      <c r="W415" s="78"/>
      <c r="X415" s="78"/>
    </row>
    <row r="416" spans="1:24">
      <c r="A416" s="34">
        <v>414</v>
      </c>
      <c r="I416" s="78"/>
      <c r="J416" s="78"/>
      <c r="K416" s="78"/>
      <c r="L416" s="78"/>
      <c r="V416" s="78"/>
      <c r="W416" s="78"/>
      <c r="X416" s="78"/>
    </row>
    <row r="417" spans="1:24">
      <c r="A417" s="34">
        <v>415</v>
      </c>
      <c r="I417" s="78"/>
      <c r="J417" s="78"/>
      <c r="K417" s="78"/>
      <c r="L417" s="78"/>
      <c r="V417" s="78"/>
      <c r="W417" s="78"/>
      <c r="X417" s="78"/>
    </row>
    <row r="418" spans="1:24">
      <c r="A418" s="34">
        <v>416</v>
      </c>
      <c r="I418" s="78"/>
      <c r="J418" s="78"/>
      <c r="K418" s="78"/>
      <c r="L418" s="78"/>
      <c r="V418" s="78"/>
      <c r="W418" s="78"/>
      <c r="X418" s="78"/>
    </row>
    <row r="419" spans="1:24">
      <c r="A419" s="34">
        <v>417</v>
      </c>
      <c r="I419" s="78"/>
      <c r="J419" s="78"/>
      <c r="K419" s="78"/>
      <c r="L419" s="78"/>
      <c r="V419" s="78"/>
      <c r="W419" s="78"/>
      <c r="X419" s="78"/>
    </row>
    <row r="420" spans="1:24">
      <c r="A420" s="34">
        <v>418</v>
      </c>
      <c r="I420" s="78"/>
      <c r="J420" s="78"/>
      <c r="K420" s="78"/>
      <c r="L420" s="78"/>
      <c r="V420" s="78"/>
      <c r="W420" s="78"/>
      <c r="X420" s="78"/>
    </row>
    <row r="421" spans="1:24">
      <c r="A421" s="34">
        <v>419</v>
      </c>
      <c r="I421" s="78"/>
      <c r="J421" s="78"/>
      <c r="K421" s="78"/>
      <c r="L421" s="78"/>
      <c r="V421" s="78"/>
      <c r="W421" s="78"/>
      <c r="X421" s="78"/>
    </row>
    <row r="422" spans="1:24">
      <c r="A422" s="34">
        <v>420</v>
      </c>
      <c r="I422" s="78"/>
      <c r="J422" s="78"/>
      <c r="K422" s="78"/>
      <c r="L422" s="78"/>
      <c r="V422" s="78"/>
      <c r="W422" s="78"/>
      <c r="X422" s="78"/>
    </row>
    <row r="423" spans="1:24">
      <c r="A423" s="34">
        <v>421</v>
      </c>
      <c r="I423" s="78"/>
      <c r="J423" s="78"/>
      <c r="K423" s="78"/>
      <c r="L423" s="78"/>
      <c r="V423" s="78"/>
      <c r="W423" s="78"/>
      <c r="X423" s="78"/>
    </row>
    <row r="424" spans="1:24">
      <c r="A424" s="34">
        <v>422</v>
      </c>
      <c r="I424" s="78"/>
      <c r="J424" s="78"/>
      <c r="K424" s="78"/>
      <c r="L424" s="78"/>
      <c r="V424" s="78"/>
      <c r="W424" s="78"/>
      <c r="X424" s="78"/>
    </row>
    <row r="425" spans="1:24">
      <c r="A425" s="34">
        <v>423</v>
      </c>
      <c r="I425" s="78"/>
      <c r="J425" s="78"/>
      <c r="K425" s="78"/>
      <c r="L425" s="78"/>
      <c r="V425" s="78"/>
      <c r="W425" s="78"/>
      <c r="X425" s="78"/>
    </row>
    <row r="426" spans="1:24">
      <c r="A426" s="34">
        <v>424</v>
      </c>
      <c r="I426" s="78"/>
      <c r="J426" s="78"/>
      <c r="K426" s="78"/>
      <c r="L426" s="78"/>
      <c r="V426" s="78"/>
      <c r="W426" s="78"/>
      <c r="X426" s="78"/>
    </row>
    <row r="427" spans="1:24">
      <c r="A427" s="34">
        <v>425</v>
      </c>
      <c r="I427" s="78"/>
      <c r="J427" s="78"/>
      <c r="K427" s="78"/>
      <c r="L427" s="78"/>
      <c r="V427" s="78"/>
      <c r="W427" s="78"/>
      <c r="X427" s="78"/>
    </row>
    <row r="428" spans="1:24">
      <c r="A428" s="34">
        <v>426</v>
      </c>
      <c r="I428" s="78"/>
      <c r="J428" s="78"/>
      <c r="K428" s="78"/>
      <c r="L428" s="78"/>
      <c r="V428" s="78"/>
      <c r="W428" s="78"/>
      <c r="X428" s="78"/>
    </row>
    <row r="429" spans="1:24">
      <c r="A429" s="34">
        <v>427</v>
      </c>
      <c r="I429" s="78"/>
      <c r="J429" s="78"/>
      <c r="K429" s="78"/>
      <c r="L429" s="78"/>
      <c r="V429" s="78"/>
      <c r="W429" s="78"/>
      <c r="X429" s="78"/>
    </row>
    <row r="430" spans="1:24">
      <c r="A430" s="34">
        <v>428</v>
      </c>
      <c r="I430" s="78"/>
      <c r="J430" s="78"/>
      <c r="K430" s="78"/>
      <c r="L430" s="78"/>
      <c r="V430" s="78"/>
      <c r="W430" s="78"/>
      <c r="X430" s="78"/>
    </row>
    <row r="431" spans="1:24">
      <c r="A431" s="34">
        <v>429</v>
      </c>
      <c r="I431" s="78"/>
      <c r="J431" s="78"/>
      <c r="K431" s="78"/>
      <c r="L431" s="78"/>
      <c r="V431" s="78"/>
      <c r="W431" s="78"/>
      <c r="X431" s="78"/>
    </row>
    <row r="432" spans="1:24">
      <c r="A432" s="34">
        <v>430</v>
      </c>
      <c r="I432" s="78"/>
      <c r="J432" s="78"/>
      <c r="K432" s="78"/>
      <c r="L432" s="78"/>
      <c r="V432" s="78"/>
      <c r="W432" s="78"/>
      <c r="X432" s="78"/>
    </row>
    <row r="433" spans="1:24">
      <c r="A433" s="34">
        <v>431</v>
      </c>
      <c r="I433" s="78"/>
      <c r="J433" s="78"/>
      <c r="K433" s="78"/>
      <c r="L433" s="78"/>
      <c r="V433" s="78"/>
      <c r="W433" s="78"/>
      <c r="X433" s="78"/>
    </row>
    <row r="434" spans="1:24">
      <c r="A434" s="34">
        <v>432</v>
      </c>
      <c r="I434" s="78"/>
      <c r="J434" s="78"/>
      <c r="K434" s="78"/>
      <c r="L434" s="78"/>
      <c r="V434" s="78"/>
      <c r="W434" s="78"/>
      <c r="X434" s="78"/>
    </row>
    <row r="435" spans="1:24">
      <c r="A435" s="34">
        <v>433</v>
      </c>
      <c r="I435" s="78"/>
      <c r="J435" s="78"/>
      <c r="K435" s="78"/>
      <c r="L435" s="78"/>
      <c r="V435" s="78"/>
      <c r="W435" s="78"/>
      <c r="X435" s="78"/>
    </row>
    <row r="436" spans="1:24">
      <c r="A436" s="34">
        <v>434</v>
      </c>
      <c r="I436" s="78"/>
      <c r="J436" s="78"/>
      <c r="K436" s="78"/>
      <c r="L436" s="78"/>
      <c r="V436" s="78"/>
      <c r="W436" s="78"/>
      <c r="X436" s="78"/>
    </row>
    <row r="437" spans="1:24">
      <c r="A437" s="34">
        <v>435</v>
      </c>
      <c r="I437" s="78"/>
      <c r="J437" s="78"/>
      <c r="K437" s="78"/>
      <c r="L437" s="78"/>
      <c r="V437" s="78"/>
      <c r="W437" s="78"/>
      <c r="X437" s="78"/>
    </row>
    <row r="438" spans="1:24">
      <c r="A438" s="34">
        <v>436</v>
      </c>
      <c r="I438" s="78"/>
      <c r="J438" s="78"/>
      <c r="K438" s="78"/>
      <c r="L438" s="78"/>
      <c r="V438" s="78"/>
      <c r="W438" s="78"/>
      <c r="X438" s="78"/>
    </row>
    <row r="439" spans="1:24">
      <c r="A439" s="34">
        <v>437</v>
      </c>
      <c r="I439" s="78"/>
      <c r="J439" s="78"/>
      <c r="K439" s="78"/>
      <c r="L439" s="78"/>
      <c r="V439" s="78"/>
      <c r="W439" s="78"/>
      <c r="X439" s="78"/>
    </row>
    <row r="440" spans="1:24">
      <c r="A440" s="34">
        <v>438</v>
      </c>
      <c r="I440" s="78"/>
      <c r="J440" s="78"/>
      <c r="K440" s="78"/>
      <c r="L440" s="78"/>
      <c r="V440" s="78"/>
      <c r="W440" s="78"/>
      <c r="X440" s="78"/>
    </row>
    <row r="441" spans="1:24">
      <c r="A441" s="34">
        <v>439</v>
      </c>
      <c r="I441" s="78"/>
      <c r="J441" s="78"/>
      <c r="K441" s="78"/>
      <c r="L441" s="78"/>
      <c r="V441" s="78"/>
      <c r="W441" s="78"/>
      <c r="X441" s="78"/>
    </row>
    <row r="442" spans="1:24">
      <c r="A442" s="34">
        <v>440</v>
      </c>
      <c r="I442" s="78"/>
      <c r="J442" s="78"/>
      <c r="K442" s="78"/>
      <c r="L442" s="78"/>
      <c r="V442" s="78"/>
      <c r="W442" s="78"/>
      <c r="X442" s="78"/>
    </row>
    <row r="443" spans="1:24">
      <c r="A443" s="34">
        <v>441</v>
      </c>
      <c r="I443" s="78"/>
      <c r="J443" s="78"/>
      <c r="K443" s="78"/>
      <c r="L443" s="78"/>
      <c r="V443" s="78"/>
      <c r="W443" s="78"/>
      <c r="X443" s="78"/>
    </row>
    <row r="444" spans="1:24">
      <c r="A444" s="34">
        <v>442</v>
      </c>
      <c r="I444" s="78"/>
      <c r="J444" s="78"/>
      <c r="K444" s="78"/>
      <c r="L444" s="78"/>
      <c r="V444" s="78"/>
      <c r="W444" s="78"/>
      <c r="X444" s="78"/>
    </row>
    <row r="445" spans="1:24">
      <c r="A445" s="34">
        <v>443</v>
      </c>
      <c r="I445" s="78"/>
      <c r="J445" s="78"/>
      <c r="K445" s="78"/>
      <c r="L445" s="78"/>
      <c r="V445" s="78"/>
      <c r="W445" s="78"/>
      <c r="X445" s="78"/>
    </row>
    <row r="446" spans="1:24">
      <c r="A446" s="34">
        <v>444</v>
      </c>
      <c r="I446" s="78"/>
      <c r="J446" s="78"/>
      <c r="K446" s="78"/>
      <c r="L446" s="78"/>
      <c r="V446" s="78"/>
      <c r="W446" s="78"/>
      <c r="X446" s="78"/>
    </row>
    <row r="447" spans="1:24">
      <c r="A447" s="34">
        <v>445</v>
      </c>
      <c r="I447" s="78"/>
      <c r="J447" s="78"/>
      <c r="K447" s="78"/>
      <c r="L447" s="78"/>
      <c r="V447" s="78"/>
      <c r="W447" s="78"/>
      <c r="X447" s="78"/>
    </row>
    <row r="448" spans="1:24">
      <c r="A448" s="34">
        <v>446</v>
      </c>
      <c r="I448" s="78"/>
      <c r="J448" s="78"/>
      <c r="K448" s="78"/>
      <c r="L448" s="78"/>
      <c r="V448" s="78"/>
      <c r="W448" s="78"/>
      <c r="X448" s="78"/>
    </row>
    <row r="449" spans="1:24">
      <c r="A449" s="34">
        <v>447</v>
      </c>
      <c r="I449" s="78"/>
      <c r="J449" s="78"/>
      <c r="K449" s="78"/>
      <c r="L449" s="78"/>
      <c r="V449" s="78"/>
      <c r="W449" s="78"/>
      <c r="X449" s="78"/>
    </row>
    <row r="450" spans="1:24">
      <c r="A450" s="34">
        <v>448</v>
      </c>
      <c r="I450" s="78"/>
      <c r="J450" s="78"/>
      <c r="K450" s="78"/>
      <c r="L450" s="78"/>
      <c r="V450" s="78"/>
      <c r="W450" s="78"/>
      <c r="X450" s="78"/>
    </row>
    <row r="451" spans="1:24">
      <c r="A451" s="34">
        <v>449</v>
      </c>
      <c r="I451" s="78"/>
      <c r="J451" s="78"/>
      <c r="K451" s="78"/>
      <c r="L451" s="78"/>
      <c r="V451" s="78"/>
      <c r="W451" s="78"/>
      <c r="X451" s="78"/>
    </row>
    <row r="452" spans="1:24">
      <c r="A452" s="34">
        <v>450</v>
      </c>
      <c r="I452" s="78"/>
      <c r="J452" s="78"/>
      <c r="K452" s="78"/>
      <c r="L452" s="78"/>
      <c r="V452" s="78"/>
      <c r="W452" s="78"/>
      <c r="X452" s="78"/>
    </row>
    <row r="453" spans="1:24">
      <c r="A453" s="34">
        <v>451</v>
      </c>
      <c r="I453" s="78"/>
      <c r="J453" s="78"/>
      <c r="K453" s="78"/>
      <c r="L453" s="78"/>
      <c r="V453" s="78"/>
      <c r="W453" s="78"/>
      <c r="X453" s="78"/>
    </row>
    <row r="454" spans="1:24">
      <c r="A454" s="34">
        <v>452</v>
      </c>
      <c r="I454" s="78"/>
      <c r="J454" s="78"/>
      <c r="K454" s="78"/>
      <c r="L454" s="78"/>
      <c r="V454" s="78"/>
      <c r="W454" s="78"/>
      <c r="X454" s="78"/>
    </row>
    <row r="455" spans="1:24">
      <c r="A455" s="34">
        <v>453</v>
      </c>
      <c r="I455" s="78"/>
      <c r="J455" s="78"/>
      <c r="K455" s="78"/>
      <c r="L455" s="78"/>
      <c r="V455" s="78"/>
      <c r="W455" s="78"/>
      <c r="X455" s="78"/>
    </row>
    <row r="456" spans="1:24">
      <c r="A456" s="34">
        <v>454</v>
      </c>
      <c r="I456" s="78"/>
      <c r="J456" s="78"/>
      <c r="K456" s="78"/>
      <c r="L456" s="78"/>
      <c r="V456" s="78"/>
      <c r="W456" s="78"/>
      <c r="X456" s="78"/>
    </row>
    <row r="457" spans="1:24">
      <c r="A457" s="34">
        <v>455</v>
      </c>
      <c r="I457" s="78"/>
      <c r="J457" s="78"/>
      <c r="K457" s="78"/>
      <c r="L457" s="78"/>
      <c r="V457" s="78"/>
      <c r="W457" s="78"/>
      <c r="X457" s="78"/>
    </row>
    <row r="458" spans="1:24">
      <c r="A458" s="34">
        <v>456</v>
      </c>
      <c r="I458" s="78"/>
      <c r="J458" s="78"/>
      <c r="K458" s="78"/>
      <c r="L458" s="78"/>
      <c r="V458" s="78"/>
      <c r="W458" s="78"/>
      <c r="X458" s="78"/>
    </row>
    <row r="459" spans="1:24">
      <c r="A459" s="34">
        <v>457</v>
      </c>
      <c r="I459" s="78"/>
      <c r="J459" s="78"/>
      <c r="K459" s="78"/>
      <c r="L459" s="78"/>
      <c r="V459" s="78"/>
      <c r="W459" s="78"/>
      <c r="X459" s="78"/>
    </row>
    <row r="460" spans="1:24">
      <c r="A460" s="34">
        <v>458</v>
      </c>
      <c r="I460" s="78"/>
      <c r="J460" s="78"/>
      <c r="K460" s="78"/>
      <c r="L460" s="78"/>
      <c r="V460" s="78"/>
      <c r="W460" s="78"/>
      <c r="X460" s="78"/>
    </row>
    <row r="461" spans="1:24">
      <c r="A461" s="34">
        <v>459</v>
      </c>
      <c r="I461" s="78"/>
      <c r="J461" s="78"/>
      <c r="K461" s="78"/>
      <c r="L461" s="78"/>
      <c r="V461" s="78"/>
      <c r="W461" s="78"/>
      <c r="X461" s="78"/>
    </row>
    <row r="462" spans="1:24">
      <c r="A462" s="34">
        <v>460</v>
      </c>
      <c r="I462" s="78"/>
      <c r="J462" s="78"/>
      <c r="K462" s="78"/>
      <c r="L462" s="78"/>
      <c r="V462" s="78"/>
      <c r="W462" s="78"/>
      <c r="X462" s="78"/>
    </row>
    <row r="463" spans="1:24">
      <c r="A463" s="34">
        <v>461</v>
      </c>
      <c r="I463" s="78"/>
      <c r="J463" s="78"/>
      <c r="K463" s="78"/>
      <c r="L463" s="78"/>
      <c r="V463" s="78"/>
      <c r="W463" s="78"/>
      <c r="X463" s="78"/>
    </row>
    <row r="464" spans="1:24">
      <c r="A464" s="34">
        <v>462</v>
      </c>
      <c r="I464" s="78"/>
      <c r="J464" s="78"/>
      <c r="K464" s="78"/>
      <c r="L464" s="78"/>
      <c r="V464" s="78"/>
      <c r="W464" s="78"/>
      <c r="X464" s="78"/>
    </row>
    <row r="465" spans="1:24">
      <c r="A465" s="34">
        <v>463</v>
      </c>
      <c r="I465" s="78"/>
      <c r="J465" s="78"/>
      <c r="K465" s="78"/>
      <c r="L465" s="78"/>
      <c r="V465" s="78"/>
      <c r="W465" s="78"/>
      <c r="X465" s="78"/>
    </row>
    <row r="466" spans="1:24">
      <c r="A466" s="34">
        <v>464</v>
      </c>
      <c r="I466" s="78"/>
      <c r="J466" s="78"/>
      <c r="K466" s="78"/>
      <c r="L466" s="78"/>
      <c r="V466" s="78"/>
      <c r="W466" s="78"/>
      <c r="X466" s="78"/>
    </row>
    <row r="467" spans="1:24">
      <c r="A467" s="34">
        <v>465</v>
      </c>
      <c r="I467" s="78"/>
      <c r="J467" s="78"/>
      <c r="K467" s="78"/>
      <c r="L467" s="78"/>
      <c r="V467" s="78"/>
      <c r="W467" s="78"/>
      <c r="X467" s="78"/>
    </row>
    <row r="468" spans="1:24">
      <c r="A468" s="34">
        <v>466</v>
      </c>
      <c r="I468" s="78"/>
      <c r="J468" s="78"/>
      <c r="K468" s="78"/>
      <c r="L468" s="78"/>
      <c r="V468" s="78"/>
      <c r="W468" s="78"/>
      <c r="X468" s="78"/>
    </row>
    <row r="469" spans="1:24">
      <c r="A469" s="34">
        <v>467</v>
      </c>
      <c r="I469" s="78"/>
      <c r="J469" s="78"/>
      <c r="K469" s="78"/>
      <c r="L469" s="78"/>
      <c r="V469" s="78"/>
      <c r="W469" s="78"/>
      <c r="X469" s="78"/>
    </row>
    <row r="470" spans="1:24">
      <c r="A470" s="34">
        <v>468</v>
      </c>
      <c r="I470" s="78"/>
      <c r="J470" s="78"/>
      <c r="K470" s="78"/>
      <c r="L470" s="78"/>
      <c r="V470" s="78"/>
      <c r="W470" s="78"/>
      <c r="X470" s="78"/>
    </row>
    <row r="471" spans="1:24">
      <c r="A471" s="34">
        <v>469</v>
      </c>
      <c r="I471" s="78"/>
      <c r="J471" s="78"/>
      <c r="K471" s="78"/>
      <c r="L471" s="78"/>
      <c r="V471" s="78"/>
      <c r="W471" s="78"/>
      <c r="X471" s="78"/>
    </row>
    <row r="472" spans="1:24">
      <c r="A472" s="34">
        <v>470</v>
      </c>
      <c r="I472" s="78"/>
      <c r="J472" s="78"/>
      <c r="K472" s="78"/>
      <c r="L472" s="78"/>
      <c r="V472" s="78"/>
      <c r="W472" s="78"/>
      <c r="X472" s="78"/>
    </row>
    <row r="473" spans="1:24">
      <c r="A473" s="34">
        <v>471</v>
      </c>
      <c r="I473" s="78"/>
      <c r="J473" s="78"/>
      <c r="K473" s="78"/>
      <c r="L473" s="78"/>
      <c r="V473" s="78"/>
      <c r="W473" s="78"/>
      <c r="X473" s="78"/>
    </row>
    <row r="474" spans="1:24">
      <c r="A474" s="34">
        <v>472</v>
      </c>
      <c r="I474" s="78"/>
      <c r="J474" s="78"/>
      <c r="K474" s="78"/>
      <c r="L474" s="78"/>
      <c r="V474" s="78"/>
      <c r="W474" s="78"/>
      <c r="X474" s="78"/>
    </row>
    <row r="475" spans="1:24">
      <c r="A475" s="34">
        <v>473</v>
      </c>
      <c r="I475" s="78"/>
      <c r="J475" s="78"/>
      <c r="K475" s="78"/>
      <c r="L475" s="78"/>
      <c r="V475" s="78"/>
      <c r="W475" s="78"/>
      <c r="X475" s="78"/>
    </row>
    <row r="476" spans="1:24">
      <c r="A476" s="34">
        <v>474</v>
      </c>
      <c r="I476" s="78"/>
      <c r="J476" s="78"/>
      <c r="K476" s="78"/>
      <c r="L476" s="78"/>
      <c r="V476" s="78"/>
      <c r="W476" s="78"/>
      <c r="X476" s="78"/>
    </row>
    <row r="477" spans="1:24">
      <c r="A477" s="34">
        <v>475</v>
      </c>
      <c r="I477" s="78"/>
      <c r="J477" s="78"/>
      <c r="K477" s="78"/>
      <c r="L477" s="78"/>
      <c r="V477" s="78"/>
      <c r="W477" s="78"/>
      <c r="X477" s="78"/>
    </row>
    <row r="478" spans="1:24">
      <c r="A478" s="34">
        <v>476</v>
      </c>
      <c r="I478" s="78"/>
      <c r="J478" s="78"/>
      <c r="K478" s="78"/>
      <c r="L478" s="78"/>
      <c r="V478" s="78"/>
      <c r="W478" s="78"/>
      <c r="X478" s="78"/>
    </row>
    <row r="479" spans="1:24">
      <c r="A479" s="34">
        <v>477</v>
      </c>
      <c r="I479" s="78"/>
      <c r="J479" s="78"/>
      <c r="K479" s="78"/>
      <c r="L479" s="78"/>
      <c r="V479" s="78"/>
      <c r="W479" s="78"/>
      <c r="X479" s="78"/>
    </row>
    <row r="480" spans="1:24">
      <c r="A480" s="34">
        <v>478</v>
      </c>
      <c r="I480" s="78"/>
      <c r="J480" s="78"/>
      <c r="K480" s="78"/>
      <c r="L480" s="78"/>
      <c r="V480" s="78"/>
      <c r="W480" s="78"/>
      <c r="X480" s="78"/>
    </row>
    <row r="481" spans="1:24">
      <c r="A481" s="34">
        <v>479</v>
      </c>
      <c r="I481" s="78"/>
      <c r="J481" s="78"/>
      <c r="K481" s="78"/>
      <c r="L481" s="78"/>
      <c r="V481" s="78"/>
      <c r="W481" s="78"/>
      <c r="X481" s="78"/>
    </row>
    <row r="482" spans="1:24">
      <c r="A482" s="34">
        <v>480</v>
      </c>
      <c r="I482" s="78"/>
      <c r="J482" s="78"/>
      <c r="K482" s="78"/>
      <c r="L482" s="78"/>
      <c r="V482" s="78"/>
      <c r="W482" s="78"/>
      <c r="X482" s="78"/>
    </row>
    <row r="483" spans="1:24">
      <c r="A483" s="34">
        <v>481</v>
      </c>
      <c r="I483" s="78"/>
      <c r="J483" s="78"/>
      <c r="K483" s="78"/>
      <c r="L483" s="78"/>
      <c r="V483" s="78"/>
      <c r="W483" s="78"/>
      <c r="X483" s="78"/>
    </row>
    <row r="484" spans="1:24">
      <c r="A484" s="34">
        <v>482</v>
      </c>
      <c r="I484" s="78"/>
      <c r="J484" s="78"/>
      <c r="K484" s="78"/>
      <c r="L484" s="78"/>
      <c r="V484" s="78"/>
      <c r="W484" s="78"/>
      <c r="X484" s="78"/>
    </row>
    <row r="485" spans="1:24">
      <c r="A485" s="34">
        <v>483</v>
      </c>
      <c r="I485" s="78"/>
      <c r="J485" s="78"/>
      <c r="K485" s="78"/>
      <c r="L485" s="78"/>
      <c r="V485" s="78"/>
      <c r="W485" s="78"/>
      <c r="X485" s="78"/>
    </row>
    <row r="486" spans="1:24">
      <c r="A486" s="34">
        <v>484</v>
      </c>
      <c r="I486" s="78"/>
      <c r="J486" s="78"/>
      <c r="K486" s="78"/>
      <c r="L486" s="78"/>
      <c r="V486" s="78"/>
      <c r="W486" s="78"/>
      <c r="X486" s="78"/>
    </row>
    <row r="487" spans="1:24">
      <c r="A487" s="34">
        <v>485</v>
      </c>
      <c r="I487" s="78"/>
      <c r="J487" s="78"/>
      <c r="K487" s="78"/>
      <c r="L487" s="78"/>
      <c r="V487" s="78"/>
      <c r="W487" s="78"/>
      <c r="X487" s="78"/>
    </row>
    <row r="488" spans="1:24">
      <c r="A488" s="34">
        <v>486</v>
      </c>
      <c r="I488" s="78"/>
      <c r="J488" s="78"/>
      <c r="K488" s="78"/>
      <c r="L488" s="78"/>
      <c r="V488" s="78"/>
      <c r="W488" s="78"/>
      <c r="X488" s="78"/>
    </row>
    <row r="489" spans="1:24">
      <c r="A489" s="34">
        <v>487</v>
      </c>
      <c r="I489" s="78"/>
      <c r="J489" s="78"/>
      <c r="K489" s="78"/>
      <c r="L489" s="78"/>
      <c r="V489" s="78"/>
      <c r="W489" s="78"/>
      <c r="X489" s="78"/>
    </row>
    <row r="490" spans="1:24">
      <c r="A490" s="34">
        <v>488</v>
      </c>
      <c r="I490" s="78"/>
      <c r="J490" s="78"/>
      <c r="K490" s="78"/>
      <c r="L490" s="78"/>
      <c r="V490" s="78"/>
      <c r="W490" s="78"/>
      <c r="X490" s="78"/>
    </row>
    <row r="491" spans="1:24">
      <c r="A491" s="34">
        <v>489</v>
      </c>
      <c r="I491" s="78"/>
      <c r="J491" s="78"/>
      <c r="K491" s="78"/>
      <c r="L491" s="78"/>
      <c r="V491" s="78"/>
      <c r="W491" s="78"/>
      <c r="X491" s="78"/>
    </row>
    <row r="492" spans="1:24">
      <c r="A492" s="34">
        <v>490</v>
      </c>
      <c r="I492" s="78"/>
      <c r="J492" s="78"/>
      <c r="K492" s="78"/>
      <c r="L492" s="78"/>
      <c r="V492" s="78"/>
      <c r="W492" s="78"/>
      <c r="X492" s="78"/>
    </row>
    <row r="493" spans="1:24">
      <c r="A493" s="34">
        <v>491</v>
      </c>
      <c r="I493" s="78"/>
      <c r="J493" s="78"/>
      <c r="K493" s="78"/>
      <c r="L493" s="78"/>
      <c r="V493" s="78"/>
      <c r="W493" s="78"/>
      <c r="X493" s="78"/>
    </row>
    <row r="494" spans="1:24">
      <c r="A494" s="34">
        <v>492</v>
      </c>
      <c r="I494" s="78"/>
      <c r="J494" s="78"/>
      <c r="K494" s="78"/>
      <c r="L494" s="78"/>
      <c r="V494" s="78"/>
      <c r="W494" s="78"/>
      <c r="X494" s="78"/>
    </row>
    <row r="495" spans="1:24">
      <c r="A495" s="34">
        <v>493</v>
      </c>
      <c r="I495" s="78"/>
      <c r="J495" s="78"/>
      <c r="K495" s="78"/>
      <c r="L495" s="78"/>
      <c r="V495" s="78"/>
      <c r="W495" s="78"/>
      <c r="X495" s="78"/>
    </row>
    <row r="496" spans="1:24">
      <c r="A496" s="34">
        <v>494</v>
      </c>
      <c r="I496" s="78"/>
      <c r="J496" s="78"/>
      <c r="K496" s="78"/>
      <c r="L496" s="78"/>
      <c r="V496" s="78"/>
      <c r="W496" s="78"/>
      <c r="X496" s="78"/>
    </row>
    <row r="497" spans="1:24">
      <c r="A497" s="34">
        <v>495</v>
      </c>
      <c r="I497" s="78"/>
      <c r="J497" s="78"/>
      <c r="K497" s="78"/>
      <c r="L497" s="78"/>
      <c r="V497" s="78"/>
      <c r="W497" s="78"/>
      <c r="X497" s="78"/>
    </row>
    <row r="498" spans="1:24">
      <c r="A498" s="34">
        <v>496</v>
      </c>
      <c r="I498" s="78"/>
      <c r="J498" s="78"/>
      <c r="K498" s="78"/>
      <c r="L498" s="78"/>
      <c r="V498" s="78"/>
      <c r="W498" s="78"/>
      <c r="X498" s="78"/>
    </row>
    <row r="499" spans="1:24">
      <c r="A499" s="34">
        <v>497</v>
      </c>
      <c r="I499" s="78"/>
      <c r="J499" s="78"/>
      <c r="K499" s="78"/>
      <c r="L499" s="78"/>
      <c r="V499" s="78"/>
      <c r="W499" s="78"/>
      <c r="X499" s="78"/>
    </row>
    <row r="500" spans="1:24">
      <c r="A500" s="34">
        <v>498</v>
      </c>
      <c r="I500" s="78"/>
      <c r="J500" s="78"/>
      <c r="K500" s="78"/>
      <c r="L500" s="78"/>
      <c r="V500" s="78"/>
      <c r="W500" s="78"/>
      <c r="X500" s="78"/>
    </row>
    <row r="501" spans="1:24">
      <c r="A501" s="34">
        <v>499</v>
      </c>
      <c r="I501" s="78"/>
      <c r="J501" s="78"/>
      <c r="K501" s="78"/>
      <c r="L501" s="78"/>
      <c r="V501" s="78"/>
      <c r="W501" s="78"/>
      <c r="X501" s="78"/>
    </row>
    <row r="502" spans="1:24">
      <c r="A502" s="34">
        <v>500</v>
      </c>
      <c r="I502" s="78"/>
      <c r="J502" s="78"/>
      <c r="K502" s="78"/>
      <c r="L502" s="78"/>
      <c r="V502" s="78"/>
      <c r="W502" s="78"/>
      <c r="X502" s="78"/>
    </row>
    <row r="503" spans="1:24">
      <c r="A503" s="34">
        <v>501</v>
      </c>
      <c r="I503" s="78"/>
      <c r="J503" s="78"/>
      <c r="K503" s="78"/>
      <c r="L503" s="78"/>
      <c r="V503" s="78"/>
      <c r="W503" s="78"/>
      <c r="X503" s="78"/>
    </row>
    <row r="504" spans="1:24">
      <c r="A504" s="34">
        <v>502</v>
      </c>
      <c r="I504" s="78"/>
      <c r="J504" s="78"/>
      <c r="K504" s="78"/>
      <c r="L504" s="78"/>
      <c r="V504" s="78"/>
      <c r="W504" s="78"/>
      <c r="X504" s="78"/>
    </row>
    <row r="505" spans="1:24">
      <c r="A505" s="34">
        <v>503</v>
      </c>
      <c r="I505" s="78"/>
      <c r="J505" s="78"/>
      <c r="K505" s="78"/>
      <c r="L505" s="78"/>
      <c r="V505" s="78"/>
      <c r="W505" s="78"/>
      <c r="X505" s="78"/>
    </row>
    <row r="506" spans="1:24">
      <c r="A506" s="34">
        <v>504</v>
      </c>
      <c r="I506" s="78"/>
      <c r="J506" s="78"/>
      <c r="K506" s="78"/>
      <c r="L506" s="78"/>
      <c r="V506" s="78"/>
      <c r="W506" s="78"/>
      <c r="X506" s="78"/>
    </row>
    <row r="507" spans="1:24">
      <c r="A507" s="34">
        <v>505</v>
      </c>
      <c r="I507" s="78"/>
      <c r="J507" s="78"/>
      <c r="K507" s="78"/>
      <c r="L507" s="78"/>
      <c r="V507" s="78"/>
      <c r="W507" s="78"/>
      <c r="X507" s="78"/>
    </row>
    <row r="508" spans="1:24">
      <c r="A508" s="34">
        <v>506</v>
      </c>
      <c r="I508" s="78"/>
      <c r="J508" s="78"/>
      <c r="K508" s="78"/>
      <c r="L508" s="78"/>
      <c r="V508" s="78"/>
      <c r="W508" s="78"/>
      <c r="X508" s="78"/>
    </row>
    <row r="509" spans="1:24">
      <c r="A509" s="34">
        <v>507</v>
      </c>
      <c r="I509" s="78"/>
      <c r="J509" s="78"/>
      <c r="K509" s="78"/>
      <c r="L509" s="78"/>
      <c r="V509" s="78"/>
      <c r="W509" s="78"/>
      <c r="X509" s="78"/>
    </row>
    <row r="510" spans="1:24">
      <c r="A510" s="34">
        <v>508</v>
      </c>
      <c r="I510" s="78"/>
      <c r="J510" s="78"/>
      <c r="K510" s="78"/>
      <c r="L510" s="78"/>
      <c r="V510" s="78"/>
      <c r="W510" s="78"/>
      <c r="X510" s="78"/>
    </row>
    <row r="511" spans="1:24">
      <c r="A511" s="34">
        <v>509</v>
      </c>
      <c r="I511" s="78"/>
      <c r="J511" s="78"/>
      <c r="K511" s="78"/>
      <c r="L511" s="78"/>
      <c r="V511" s="78"/>
      <c r="W511" s="78"/>
      <c r="X511" s="78"/>
    </row>
    <row r="512" spans="1:24">
      <c r="A512" s="34">
        <v>510</v>
      </c>
      <c r="I512" s="78"/>
      <c r="J512" s="78"/>
      <c r="K512" s="78"/>
      <c r="L512" s="78"/>
      <c r="V512" s="78"/>
      <c r="W512" s="78"/>
      <c r="X512" s="78"/>
    </row>
    <row r="513" spans="1:24">
      <c r="A513" s="34">
        <v>511</v>
      </c>
      <c r="I513" s="78"/>
      <c r="J513" s="78"/>
      <c r="K513" s="78"/>
      <c r="L513" s="78"/>
      <c r="V513" s="78"/>
      <c r="W513" s="78"/>
      <c r="X513" s="78"/>
    </row>
    <row r="514" spans="1:24">
      <c r="A514" s="34">
        <v>512</v>
      </c>
      <c r="I514" s="78"/>
      <c r="J514" s="78"/>
      <c r="K514" s="78"/>
      <c r="L514" s="78"/>
      <c r="V514" s="78"/>
      <c r="W514" s="78"/>
      <c r="X514" s="78"/>
    </row>
    <row r="515" spans="1:24">
      <c r="A515" s="34">
        <v>513</v>
      </c>
      <c r="I515" s="78"/>
      <c r="J515" s="78"/>
      <c r="K515" s="78"/>
      <c r="L515" s="78"/>
      <c r="V515" s="78"/>
      <c r="W515" s="78"/>
      <c r="X515" s="78"/>
    </row>
    <row r="516" spans="1:24">
      <c r="A516" s="34">
        <v>514</v>
      </c>
      <c r="I516" s="78"/>
      <c r="J516" s="78"/>
      <c r="K516" s="78"/>
      <c r="L516" s="78"/>
      <c r="V516" s="78"/>
      <c r="W516" s="78"/>
      <c r="X516" s="78"/>
    </row>
    <row r="517" spans="1:24">
      <c r="A517" s="34">
        <v>515</v>
      </c>
      <c r="I517" s="78"/>
      <c r="J517" s="78"/>
      <c r="K517" s="78"/>
      <c r="L517" s="78"/>
      <c r="V517" s="78"/>
      <c r="W517" s="78"/>
      <c r="X517" s="78"/>
    </row>
    <row r="518" spans="1:24">
      <c r="A518" s="34">
        <v>516</v>
      </c>
      <c r="I518" s="78"/>
      <c r="J518" s="78"/>
      <c r="K518" s="78"/>
      <c r="L518" s="78"/>
      <c r="V518" s="78"/>
      <c r="W518" s="78"/>
      <c r="X518" s="78"/>
    </row>
    <row r="519" spans="1:24">
      <c r="A519" s="34">
        <v>517</v>
      </c>
      <c r="I519" s="78"/>
      <c r="J519" s="78"/>
      <c r="K519" s="78"/>
      <c r="L519" s="78"/>
      <c r="V519" s="78"/>
      <c r="W519" s="78"/>
      <c r="X519" s="78"/>
    </row>
    <row r="520" spans="1:24">
      <c r="A520" s="34">
        <v>518</v>
      </c>
      <c r="I520" s="78"/>
      <c r="J520" s="78"/>
      <c r="K520" s="78"/>
      <c r="L520" s="78"/>
      <c r="V520" s="78"/>
      <c r="W520" s="78"/>
      <c r="X520" s="78"/>
    </row>
    <row r="521" spans="1:24">
      <c r="A521" s="34">
        <v>519</v>
      </c>
      <c r="I521" s="78"/>
      <c r="J521" s="78"/>
      <c r="K521" s="78"/>
      <c r="L521" s="78"/>
      <c r="V521" s="78"/>
      <c r="W521" s="78"/>
      <c r="X521" s="78"/>
    </row>
    <row r="522" spans="1:24">
      <c r="A522" s="34">
        <v>520</v>
      </c>
      <c r="I522" s="78"/>
      <c r="J522" s="78"/>
      <c r="K522" s="78"/>
      <c r="L522" s="78"/>
      <c r="V522" s="78"/>
      <c r="W522" s="78"/>
      <c r="X522" s="78"/>
    </row>
    <row r="523" spans="1:24">
      <c r="A523" s="34">
        <v>521</v>
      </c>
      <c r="I523" s="78"/>
      <c r="J523" s="78"/>
      <c r="K523" s="78"/>
      <c r="L523" s="78"/>
      <c r="V523" s="78"/>
      <c r="W523" s="78"/>
      <c r="X523" s="78"/>
    </row>
    <row r="524" spans="1:24">
      <c r="A524" s="34">
        <v>522</v>
      </c>
      <c r="I524" s="78"/>
      <c r="J524" s="78"/>
      <c r="K524" s="78"/>
      <c r="L524" s="78"/>
      <c r="V524" s="78"/>
      <c r="W524" s="78"/>
      <c r="X524" s="78"/>
    </row>
    <row r="525" spans="1:24">
      <c r="A525" s="34">
        <v>523</v>
      </c>
      <c r="I525" s="78"/>
      <c r="J525" s="78"/>
      <c r="K525" s="78"/>
      <c r="L525" s="78"/>
      <c r="V525" s="78"/>
      <c r="W525" s="78"/>
      <c r="X525" s="78"/>
    </row>
    <row r="526" spans="1:24">
      <c r="A526" s="34">
        <v>524</v>
      </c>
      <c r="I526" s="78"/>
      <c r="J526" s="78"/>
      <c r="K526" s="78"/>
      <c r="L526" s="78"/>
      <c r="V526" s="78"/>
      <c r="W526" s="78"/>
      <c r="X526" s="78"/>
    </row>
    <row r="527" spans="1:24">
      <c r="A527" s="34">
        <v>525</v>
      </c>
      <c r="I527" s="78"/>
      <c r="J527" s="78"/>
      <c r="K527" s="78"/>
      <c r="L527" s="78"/>
      <c r="V527" s="78"/>
      <c r="W527" s="78"/>
      <c r="X527" s="78"/>
    </row>
    <row r="528" spans="1:24">
      <c r="A528" s="34">
        <v>526</v>
      </c>
      <c r="I528" s="78"/>
      <c r="J528" s="78"/>
      <c r="K528" s="78"/>
      <c r="L528" s="78"/>
      <c r="V528" s="78"/>
      <c r="W528" s="78"/>
      <c r="X528" s="78"/>
    </row>
    <row r="529" spans="1:24">
      <c r="A529" s="34">
        <v>527</v>
      </c>
      <c r="I529" s="78"/>
      <c r="J529" s="78"/>
      <c r="K529" s="78"/>
      <c r="L529" s="78"/>
      <c r="V529" s="78"/>
      <c r="W529" s="78"/>
      <c r="X529" s="78"/>
    </row>
    <row r="530" spans="1:24">
      <c r="A530" s="34">
        <v>528</v>
      </c>
      <c r="I530" s="78"/>
      <c r="J530" s="78"/>
      <c r="K530" s="78"/>
      <c r="L530" s="78"/>
      <c r="V530" s="78"/>
      <c r="W530" s="78"/>
      <c r="X530" s="78"/>
    </row>
    <row r="531" spans="1:24">
      <c r="A531" s="34">
        <v>529</v>
      </c>
      <c r="I531" s="78"/>
      <c r="J531" s="78"/>
      <c r="K531" s="78"/>
      <c r="L531" s="78"/>
      <c r="V531" s="78"/>
      <c r="W531" s="78"/>
      <c r="X531" s="78"/>
    </row>
    <row r="532" spans="1:24">
      <c r="A532" s="34">
        <v>530</v>
      </c>
      <c r="I532" s="78"/>
      <c r="J532" s="78"/>
      <c r="K532" s="78"/>
      <c r="L532" s="78"/>
      <c r="V532" s="78"/>
      <c r="W532" s="78"/>
      <c r="X532" s="78"/>
    </row>
    <row r="533" spans="1:24">
      <c r="A533" s="34">
        <v>531</v>
      </c>
      <c r="I533" s="78"/>
      <c r="J533" s="78"/>
      <c r="K533" s="78"/>
      <c r="L533" s="78"/>
      <c r="V533" s="78"/>
      <c r="W533" s="78"/>
      <c r="X533" s="78"/>
    </row>
    <row r="534" spans="1:24">
      <c r="A534" s="34">
        <v>532</v>
      </c>
      <c r="I534" s="78"/>
      <c r="J534" s="78"/>
      <c r="K534" s="78"/>
      <c r="L534" s="78"/>
      <c r="V534" s="78"/>
      <c r="W534" s="78"/>
      <c r="X534" s="78"/>
    </row>
    <row r="535" spans="1:24">
      <c r="A535" s="34">
        <v>533</v>
      </c>
      <c r="I535" s="78"/>
      <c r="J535" s="78"/>
      <c r="K535" s="78"/>
      <c r="L535" s="78"/>
      <c r="V535" s="78"/>
      <c r="W535" s="78"/>
      <c r="X535" s="78"/>
    </row>
    <row r="536" spans="1:24">
      <c r="A536" s="34">
        <v>534</v>
      </c>
      <c r="I536" s="78"/>
      <c r="J536" s="78"/>
      <c r="K536" s="78"/>
      <c r="L536" s="78"/>
      <c r="V536" s="78"/>
      <c r="W536" s="78"/>
      <c r="X536" s="78"/>
    </row>
    <row r="537" spans="1:24">
      <c r="A537" s="34">
        <v>535</v>
      </c>
      <c r="I537" s="78"/>
      <c r="J537" s="78"/>
      <c r="K537" s="78"/>
      <c r="L537" s="78"/>
      <c r="V537" s="78"/>
      <c r="W537" s="78"/>
      <c r="X537" s="78"/>
    </row>
    <row r="538" spans="1:24">
      <c r="A538" s="34">
        <v>536</v>
      </c>
      <c r="I538" s="78"/>
      <c r="J538" s="78"/>
      <c r="K538" s="78"/>
      <c r="L538" s="78"/>
      <c r="V538" s="78"/>
      <c r="W538" s="78"/>
      <c r="X538" s="78"/>
    </row>
    <row r="539" spans="1:24">
      <c r="A539" s="34">
        <v>537</v>
      </c>
      <c r="I539" s="78"/>
      <c r="J539" s="78"/>
      <c r="K539" s="78"/>
      <c r="L539" s="78"/>
      <c r="V539" s="78"/>
      <c r="W539" s="78"/>
      <c r="X539" s="78"/>
    </row>
    <row r="540" spans="1:24">
      <c r="A540" s="34">
        <v>538</v>
      </c>
      <c r="I540" s="78"/>
      <c r="J540" s="78"/>
      <c r="K540" s="78"/>
      <c r="L540" s="78"/>
      <c r="V540" s="78"/>
      <c r="W540" s="78"/>
      <c r="X540" s="78"/>
    </row>
    <row r="541" spans="1:24">
      <c r="A541" s="34">
        <v>539</v>
      </c>
      <c r="I541" s="78"/>
      <c r="J541" s="78"/>
      <c r="K541" s="78"/>
      <c r="L541" s="78"/>
      <c r="V541" s="78"/>
      <c r="W541" s="78"/>
      <c r="X541" s="78"/>
    </row>
    <row r="542" spans="1:24">
      <c r="A542" s="34">
        <v>540</v>
      </c>
      <c r="I542" s="78"/>
      <c r="J542" s="78"/>
      <c r="K542" s="78"/>
      <c r="L542" s="78"/>
      <c r="V542" s="78"/>
      <c r="W542" s="78"/>
      <c r="X542" s="78"/>
    </row>
    <row r="543" spans="1:24">
      <c r="A543" s="34">
        <v>541</v>
      </c>
      <c r="I543" s="78"/>
      <c r="J543" s="78"/>
      <c r="K543" s="78"/>
      <c r="L543" s="78"/>
      <c r="V543" s="78"/>
      <c r="W543" s="78"/>
      <c r="X543" s="78"/>
    </row>
    <row r="544" spans="1:24">
      <c r="A544" s="34">
        <v>542</v>
      </c>
      <c r="I544" s="78"/>
      <c r="J544" s="78"/>
      <c r="K544" s="78"/>
      <c r="L544" s="78"/>
      <c r="V544" s="78"/>
      <c r="W544" s="78"/>
      <c r="X544" s="78"/>
    </row>
    <row r="545" spans="1:24">
      <c r="A545" s="34">
        <v>543</v>
      </c>
      <c r="I545" s="78"/>
      <c r="J545" s="78"/>
      <c r="K545" s="78"/>
      <c r="L545" s="78"/>
      <c r="V545" s="78"/>
      <c r="W545" s="78"/>
      <c r="X545" s="78"/>
    </row>
    <row r="546" spans="1:24">
      <c r="A546" s="34">
        <v>544</v>
      </c>
      <c r="I546" s="78"/>
      <c r="J546" s="78"/>
      <c r="K546" s="78"/>
      <c r="L546" s="78"/>
      <c r="V546" s="78"/>
      <c r="W546" s="78"/>
      <c r="X546" s="78"/>
    </row>
    <row r="547" spans="1:24">
      <c r="A547" s="34">
        <v>545</v>
      </c>
      <c r="I547" s="78"/>
      <c r="J547" s="78"/>
      <c r="K547" s="78"/>
      <c r="L547" s="78"/>
      <c r="V547" s="78"/>
      <c r="W547" s="78"/>
      <c r="X547" s="78"/>
    </row>
    <row r="548" spans="1:24">
      <c r="A548" s="34">
        <v>546</v>
      </c>
      <c r="I548" s="78"/>
      <c r="J548" s="78"/>
      <c r="K548" s="78"/>
      <c r="L548" s="78"/>
      <c r="V548" s="78"/>
      <c r="W548" s="78"/>
      <c r="X548" s="78"/>
    </row>
    <row r="549" spans="1:24">
      <c r="A549" s="34">
        <v>547</v>
      </c>
      <c r="I549" s="78"/>
      <c r="J549" s="78"/>
      <c r="K549" s="78"/>
      <c r="L549" s="78"/>
      <c r="V549" s="78"/>
      <c r="W549" s="78"/>
      <c r="X549" s="78"/>
    </row>
    <row r="550" spans="1:24">
      <c r="A550" s="34">
        <v>548</v>
      </c>
      <c r="I550" s="78"/>
      <c r="J550" s="78"/>
      <c r="K550" s="78"/>
      <c r="L550" s="78"/>
      <c r="V550" s="78"/>
      <c r="W550" s="78"/>
      <c r="X550" s="78"/>
    </row>
    <row r="551" spans="1:24">
      <c r="A551" s="34">
        <v>549</v>
      </c>
      <c r="I551" s="78"/>
      <c r="J551" s="78"/>
      <c r="K551" s="78"/>
      <c r="L551" s="78"/>
      <c r="V551" s="78"/>
      <c r="W551" s="78"/>
      <c r="X551" s="78"/>
    </row>
    <row r="552" spans="1:24">
      <c r="A552" s="34">
        <v>550</v>
      </c>
      <c r="I552" s="78"/>
      <c r="J552" s="78"/>
      <c r="K552" s="78"/>
      <c r="L552" s="78"/>
      <c r="V552" s="78"/>
      <c r="W552" s="78"/>
      <c r="X552" s="78"/>
    </row>
    <row r="553" spans="1:24">
      <c r="A553" s="34">
        <v>551</v>
      </c>
      <c r="I553" s="78"/>
      <c r="J553" s="78"/>
      <c r="K553" s="78"/>
      <c r="L553" s="78"/>
      <c r="V553" s="78"/>
      <c r="W553" s="78"/>
      <c r="X553" s="78"/>
    </row>
    <row r="554" spans="1:24">
      <c r="A554" s="34">
        <v>552</v>
      </c>
      <c r="I554" s="78"/>
      <c r="J554" s="78"/>
      <c r="K554" s="78"/>
      <c r="L554" s="78"/>
      <c r="V554" s="78"/>
      <c r="W554" s="78"/>
      <c r="X554" s="78"/>
    </row>
    <row r="555" spans="1:24">
      <c r="A555" s="34">
        <v>553</v>
      </c>
      <c r="I555" s="78"/>
      <c r="J555" s="78"/>
      <c r="K555" s="78"/>
      <c r="L555" s="78"/>
      <c r="V555" s="78"/>
      <c r="W555" s="78"/>
      <c r="X555" s="78"/>
    </row>
    <row r="556" spans="1:24">
      <c r="A556" s="34">
        <v>554</v>
      </c>
      <c r="I556" s="78"/>
      <c r="J556" s="78"/>
      <c r="K556" s="78"/>
      <c r="L556" s="78"/>
      <c r="V556" s="78"/>
      <c r="W556" s="78"/>
      <c r="X556" s="78"/>
    </row>
    <row r="557" spans="1:24">
      <c r="A557" s="34">
        <v>555</v>
      </c>
      <c r="I557" s="78"/>
      <c r="J557" s="78"/>
      <c r="K557" s="78"/>
      <c r="L557" s="78"/>
      <c r="V557" s="78"/>
      <c r="W557" s="78"/>
      <c r="X557" s="78"/>
    </row>
    <row r="558" spans="1:24">
      <c r="A558" s="34">
        <v>556</v>
      </c>
      <c r="I558" s="78"/>
      <c r="J558" s="78"/>
      <c r="K558" s="78"/>
      <c r="L558" s="78"/>
      <c r="V558" s="78"/>
      <c r="W558" s="78"/>
      <c r="X558" s="78"/>
    </row>
    <row r="559" spans="1:24">
      <c r="A559" s="34">
        <v>557</v>
      </c>
      <c r="I559" s="78"/>
      <c r="J559" s="78"/>
      <c r="K559" s="78"/>
      <c r="L559" s="78"/>
      <c r="V559" s="78"/>
      <c r="W559" s="78"/>
      <c r="X559" s="78"/>
    </row>
    <row r="560" spans="1:24">
      <c r="A560" s="34">
        <v>558</v>
      </c>
      <c r="I560" s="78"/>
      <c r="J560" s="78"/>
      <c r="K560" s="78"/>
      <c r="L560" s="78"/>
      <c r="V560" s="78"/>
      <c r="W560" s="78"/>
      <c r="X560" s="78"/>
    </row>
    <row r="561" spans="1:24">
      <c r="A561" s="34">
        <v>559</v>
      </c>
      <c r="I561" s="78"/>
      <c r="J561" s="78"/>
      <c r="K561" s="78"/>
      <c r="L561" s="78"/>
      <c r="V561" s="78"/>
      <c r="W561" s="78"/>
      <c r="X561" s="78"/>
    </row>
    <row r="562" spans="1:24">
      <c r="A562" s="34">
        <v>560</v>
      </c>
      <c r="I562" s="78"/>
      <c r="J562" s="78"/>
      <c r="K562" s="78"/>
      <c r="L562" s="78"/>
      <c r="V562" s="78"/>
      <c r="W562" s="78"/>
      <c r="X562" s="78"/>
    </row>
    <row r="563" spans="1:24">
      <c r="A563" s="34">
        <v>561</v>
      </c>
      <c r="I563" s="78"/>
      <c r="J563" s="78"/>
      <c r="K563" s="78"/>
      <c r="L563" s="78"/>
      <c r="V563" s="78"/>
      <c r="W563" s="78"/>
      <c r="X563" s="78"/>
    </row>
    <row r="564" spans="1:24">
      <c r="A564" s="34">
        <v>562</v>
      </c>
      <c r="I564" s="78"/>
      <c r="J564" s="78"/>
      <c r="K564" s="78"/>
      <c r="L564" s="78"/>
      <c r="V564" s="78"/>
      <c r="W564" s="78"/>
      <c r="X564" s="78"/>
    </row>
    <row r="565" spans="1:24">
      <c r="A565" s="34">
        <v>563</v>
      </c>
      <c r="I565" s="78"/>
      <c r="J565" s="78"/>
      <c r="K565" s="78"/>
      <c r="L565" s="78"/>
      <c r="V565" s="78"/>
      <c r="W565" s="78"/>
      <c r="X565" s="78"/>
    </row>
    <row r="566" spans="1:24">
      <c r="A566" s="34">
        <v>564</v>
      </c>
      <c r="I566" s="78"/>
      <c r="J566" s="78"/>
      <c r="K566" s="78"/>
      <c r="L566" s="78"/>
      <c r="V566" s="78"/>
      <c r="W566" s="78"/>
      <c r="X566" s="78"/>
    </row>
    <row r="567" spans="1:24">
      <c r="A567" s="34">
        <v>565</v>
      </c>
      <c r="I567" s="78"/>
      <c r="J567" s="78"/>
      <c r="K567" s="78"/>
      <c r="L567" s="78"/>
      <c r="V567" s="78"/>
      <c r="W567" s="78"/>
      <c r="X567" s="78"/>
    </row>
    <row r="568" spans="1:24">
      <c r="A568" s="34">
        <v>566</v>
      </c>
      <c r="I568" s="78"/>
      <c r="J568" s="78"/>
      <c r="K568" s="78"/>
      <c r="L568" s="78"/>
      <c r="V568" s="78"/>
      <c r="W568" s="78"/>
      <c r="X568" s="78"/>
    </row>
    <row r="569" spans="1:24">
      <c r="A569" s="34">
        <v>567</v>
      </c>
      <c r="I569" s="78"/>
      <c r="J569" s="78"/>
      <c r="K569" s="78"/>
      <c r="L569" s="78"/>
      <c r="V569" s="78"/>
      <c r="W569" s="78"/>
      <c r="X569" s="78"/>
    </row>
    <row r="570" spans="1:24">
      <c r="A570" s="34">
        <v>568</v>
      </c>
      <c r="I570" s="78"/>
      <c r="J570" s="78"/>
      <c r="K570" s="78"/>
      <c r="L570" s="78"/>
      <c r="V570" s="78"/>
      <c r="W570" s="78"/>
      <c r="X570" s="78"/>
    </row>
    <row r="571" spans="1:24">
      <c r="A571" s="34">
        <v>569</v>
      </c>
      <c r="I571" s="78"/>
      <c r="J571" s="78"/>
      <c r="K571" s="78"/>
      <c r="L571" s="78"/>
      <c r="V571" s="78"/>
      <c r="W571" s="78"/>
      <c r="X571" s="78"/>
    </row>
    <row r="572" spans="1:24">
      <c r="A572" s="34">
        <v>570</v>
      </c>
      <c r="I572" s="78"/>
      <c r="J572" s="78"/>
      <c r="K572" s="78"/>
      <c r="L572" s="78"/>
      <c r="V572" s="78"/>
      <c r="W572" s="78"/>
      <c r="X572" s="78"/>
    </row>
    <row r="573" spans="1:24">
      <c r="A573" s="34">
        <v>571</v>
      </c>
      <c r="I573" s="78"/>
      <c r="J573" s="78"/>
      <c r="K573" s="78"/>
      <c r="L573" s="78"/>
      <c r="V573" s="78"/>
      <c r="W573" s="78"/>
      <c r="X573" s="78"/>
    </row>
    <row r="574" spans="1:24">
      <c r="A574" s="34">
        <v>572</v>
      </c>
      <c r="I574" s="78"/>
      <c r="J574" s="78"/>
      <c r="K574" s="78"/>
      <c r="L574" s="78"/>
      <c r="V574" s="78"/>
      <c r="W574" s="78"/>
      <c r="X574" s="78"/>
    </row>
    <row r="575" spans="1:24">
      <c r="A575" s="34">
        <v>573</v>
      </c>
      <c r="I575" s="78"/>
      <c r="J575" s="78"/>
      <c r="K575" s="78"/>
      <c r="L575" s="78"/>
      <c r="V575" s="78"/>
      <c r="W575" s="78"/>
      <c r="X575" s="78"/>
    </row>
    <row r="576" spans="1:24">
      <c r="A576" s="34">
        <v>574</v>
      </c>
      <c r="I576" s="78"/>
      <c r="J576" s="78"/>
      <c r="K576" s="78"/>
      <c r="L576" s="78"/>
      <c r="V576" s="78"/>
      <c r="W576" s="78"/>
      <c r="X576" s="78"/>
    </row>
    <row r="577" spans="1:24">
      <c r="A577" s="34">
        <v>575</v>
      </c>
      <c r="I577" s="78"/>
      <c r="J577" s="78"/>
      <c r="K577" s="78"/>
      <c r="L577" s="78"/>
      <c r="V577" s="78"/>
      <c r="W577" s="78"/>
      <c r="X577" s="78"/>
    </row>
    <row r="578" spans="1:24">
      <c r="A578" s="34">
        <v>576</v>
      </c>
      <c r="I578" s="78"/>
      <c r="J578" s="78"/>
      <c r="K578" s="78"/>
      <c r="L578" s="78"/>
      <c r="V578" s="78"/>
      <c r="W578" s="78"/>
      <c r="X578" s="78"/>
    </row>
    <row r="579" spans="1:24">
      <c r="A579" s="34">
        <v>577</v>
      </c>
      <c r="I579" s="78"/>
      <c r="J579" s="78"/>
      <c r="K579" s="78"/>
      <c r="L579" s="78"/>
      <c r="V579" s="78"/>
      <c r="W579" s="78"/>
      <c r="X579" s="78"/>
    </row>
    <row r="580" spans="1:24">
      <c r="A580" s="34">
        <v>578</v>
      </c>
      <c r="I580" s="78"/>
      <c r="J580" s="78"/>
      <c r="K580" s="78"/>
      <c r="L580" s="78"/>
      <c r="V580" s="78"/>
      <c r="W580" s="78"/>
      <c r="X580" s="78"/>
    </row>
    <row r="581" spans="1:24">
      <c r="A581" s="34">
        <v>579</v>
      </c>
      <c r="I581" s="78"/>
      <c r="J581" s="78"/>
      <c r="K581" s="78"/>
      <c r="L581" s="78"/>
      <c r="V581" s="78"/>
      <c r="W581" s="78"/>
      <c r="X581" s="78"/>
    </row>
    <row r="582" spans="1:24">
      <c r="A582" s="34">
        <v>580</v>
      </c>
      <c r="I582" s="78"/>
      <c r="J582" s="78"/>
      <c r="K582" s="78"/>
      <c r="L582" s="78"/>
      <c r="V582" s="78"/>
      <c r="W582" s="78"/>
      <c r="X582" s="78"/>
    </row>
    <row r="583" spans="1:24">
      <c r="A583" s="34">
        <v>581</v>
      </c>
      <c r="I583" s="78"/>
      <c r="J583" s="78"/>
      <c r="K583" s="78"/>
      <c r="L583" s="78"/>
      <c r="V583" s="78"/>
      <c r="W583" s="78"/>
      <c r="X583" s="78"/>
    </row>
    <row r="584" spans="1:24">
      <c r="A584" s="34">
        <v>582</v>
      </c>
      <c r="I584" s="78"/>
      <c r="J584" s="78"/>
      <c r="K584" s="78"/>
      <c r="L584" s="78"/>
      <c r="V584" s="78"/>
      <c r="W584" s="78"/>
      <c r="X584" s="78"/>
    </row>
    <row r="585" spans="1:24">
      <c r="A585" s="34">
        <v>583</v>
      </c>
      <c r="I585" s="78"/>
      <c r="J585" s="78"/>
      <c r="K585" s="78"/>
      <c r="L585" s="78"/>
      <c r="V585" s="78"/>
      <c r="W585" s="78"/>
      <c r="X585" s="78"/>
    </row>
    <row r="586" spans="1:24">
      <c r="A586" s="34">
        <v>584</v>
      </c>
      <c r="I586" s="78"/>
      <c r="J586" s="78"/>
      <c r="K586" s="78"/>
      <c r="L586" s="78"/>
      <c r="V586" s="78"/>
      <c r="W586" s="78"/>
      <c r="X586" s="78"/>
    </row>
    <row r="587" spans="1:24">
      <c r="A587" s="34">
        <v>585</v>
      </c>
      <c r="I587" s="78"/>
      <c r="J587" s="78"/>
      <c r="K587" s="78"/>
      <c r="L587" s="78"/>
      <c r="V587" s="78"/>
      <c r="W587" s="78"/>
      <c r="X587" s="78"/>
    </row>
    <row r="588" spans="1:24">
      <c r="A588" s="34">
        <v>586</v>
      </c>
      <c r="I588" s="78"/>
      <c r="J588" s="78"/>
      <c r="K588" s="78"/>
      <c r="L588" s="78"/>
      <c r="V588" s="78"/>
      <c r="W588" s="78"/>
      <c r="X588" s="78"/>
    </row>
    <row r="589" spans="1:24">
      <c r="A589" s="34">
        <v>587</v>
      </c>
      <c r="I589" s="78"/>
      <c r="J589" s="78"/>
      <c r="K589" s="78"/>
      <c r="L589" s="78"/>
      <c r="V589" s="78"/>
      <c r="W589" s="78"/>
      <c r="X589" s="78"/>
    </row>
    <row r="590" spans="1:24">
      <c r="A590" s="34">
        <v>588</v>
      </c>
      <c r="I590" s="78"/>
      <c r="J590" s="78"/>
      <c r="K590" s="78"/>
      <c r="L590" s="78"/>
      <c r="V590" s="78"/>
      <c r="W590" s="78"/>
      <c r="X590" s="78"/>
    </row>
    <row r="591" spans="1:24">
      <c r="A591" s="34">
        <v>589</v>
      </c>
      <c r="I591" s="78"/>
      <c r="J591" s="78"/>
      <c r="K591" s="78"/>
      <c r="L591" s="78"/>
      <c r="V591" s="78"/>
      <c r="W591" s="78"/>
      <c r="X591" s="78"/>
    </row>
    <row r="592" spans="1:24">
      <c r="A592" s="34">
        <v>590</v>
      </c>
      <c r="I592" s="78"/>
      <c r="J592" s="78"/>
      <c r="K592" s="78"/>
      <c r="L592" s="78"/>
      <c r="V592" s="78"/>
      <c r="W592" s="78"/>
      <c r="X592" s="78"/>
    </row>
    <row r="593" spans="1:24">
      <c r="A593" s="34">
        <v>591</v>
      </c>
      <c r="I593" s="78"/>
      <c r="J593" s="78"/>
      <c r="K593" s="78"/>
      <c r="L593" s="78"/>
      <c r="V593" s="78"/>
      <c r="W593" s="78"/>
      <c r="X593" s="78"/>
    </row>
    <row r="594" spans="1:24">
      <c r="A594" s="34">
        <v>592</v>
      </c>
      <c r="I594" s="78"/>
      <c r="J594" s="78"/>
      <c r="K594" s="78"/>
      <c r="L594" s="78"/>
      <c r="V594" s="78"/>
      <c r="W594" s="78"/>
      <c r="X594" s="78"/>
    </row>
    <row r="595" spans="1:24">
      <c r="A595" s="34">
        <v>593</v>
      </c>
      <c r="I595" s="78"/>
      <c r="J595" s="78"/>
      <c r="K595" s="78"/>
      <c r="L595" s="78"/>
      <c r="V595" s="78"/>
      <c r="W595" s="78"/>
      <c r="X595" s="78"/>
    </row>
    <row r="596" spans="1:24">
      <c r="A596" s="34">
        <v>594</v>
      </c>
      <c r="I596" s="78"/>
      <c r="J596" s="78"/>
      <c r="K596" s="78"/>
      <c r="L596" s="78"/>
      <c r="V596" s="78"/>
      <c r="W596" s="78"/>
      <c r="X596" s="78"/>
    </row>
    <row r="597" spans="1:24">
      <c r="A597" s="34">
        <v>595</v>
      </c>
      <c r="I597" s="78"/>
      <c r="J597" s="78"/>
      <c r="K597" s="78"/>
      <c r="L597" s="78"/>
      <c r="V597" s="78"/>
      <c r="W597" s="78"/>
      <c r="X597" s="78"/>
    </row>
    <row r="598" spans="1:24">
      <c r="A598" s="34">
        <v>596</v>
      </c>
      <c r="I598" s="78"/>
      <c r="J598" s="78"/>
      <c r="K598" s="78"/>
      <c r="L598" s="78"/>
      <c r="V598" s="78"/>
      <c r="W598" s="78"/>
      <c r="X598" s="78"/>
    </row>
    <row r="599" spans="1:24">
      <c r="A599" s="34">
        <v>597</v>
      </c>
      <c r="I599" s="78"/>
      <c r="J599" s="78"/>
      <c r="K599" s="78"/>
      <c r="L599" s="78"/>
      <c r="V599" s="78"/>
      <c r="W599" s="78"/>
      <c r="X599" s="78"/>
    </row>
    <row r="600" spans="1:24">
      <c r="A600" s="34">
        <v>598</v>
      </c>
      <c r="I600" s="78"/>
      <c r="J600" s="78"/>
      <c r="K600" s="78"/>
      <c r="L600" s="78"/>
      <c r="V600" s="78"/>
      <c r="W600" s="78"/>
      <c r="X600" s="78"/>
    </row>
    <row r="601" spans="1:24">
      <c r="A601" s="34">
        <v>599</v>
      </c>
      <c r="I601" s="78"/>
      <c r="J601" s="78"/>
      <c r="K601" s="78"/>
      <c r="L601" s="78"/>
      <c r="V601" s="78"/>
      <c r="W601" s="78"/>
      <c r="X601" s="78"/>
    </row>
    <row r="602" spans="1:24">
      <c r="A602" s="34">
        <v>600</v>
      </c>
      <c r="I602" s="78"/>
      <c r="J602" s="78"/>
      <c r="K602" s="78"/>
      <c r="L602" s="78"/>
      <c r="V602" s="78"/>
      <c r="W602" s="78"/>
      <c r="X602" s="78"/>
    </row>
    <row r="603" spans="1:24">
      <c r="A603" s="34">
        <v>601</v>
      </c>
      <c r="I603" s="78"/>
      <c r="J603" s="78"/>
      <c r="K603" s="78"/>
      <c r="L603" s="78"/>
      <c r="V603" s="78"/>
      <c r="W603" s="78"/>
      <c r="X603" s="78"/>
    </row>
    <row r="604" spans="1:24">
      <c r="A604" s="34">
        <v>602</v>
      </c>
      <c r="I604" s="78"/>
      <c r="J604" s="78"/>
      <c r="K604" s="78"/>
      <c r="L604" s="78"/>
      <c r="V604" s="78"/>
      <c r="W604" s="78"/>
      <c r="X604" s="78"/>
    </row>
    <row r="605" spans="1:24">
      <c r="A605" s="34">
        <v>603</v>
      </c>
      <c r="I605" s="78"/>
      <c r="J605" s="78"/>
      <c r="K605" s="78"/>
      <c r="L605" s="78"/>
      <c r="V605" s="78"/>
      <c r="W605" s="78"/>
      <c r="X605" s="78"/>
    </row>
    <row r="606" spans="1:24">
      <c r="A606" s="34">
        <v>604</v>
      </c>
      <c r="I606" s="78"/>
      <c r="J606" s="78"/>
      <c r="K606" s="78"/>
      <c r="L606" s="78"/>
      <c r="V606" s="78"/>
      <c r="W606" s="78"/>
      <c r="X606" s="78"/>
    </row>
    <row r="607" spans="1:24">
      <c r="A607" s="34">
        <v>605</v>
      </c>
      <c r="I607" s="78"/>
      <c r="J607" s="78"/>
      <c r="K607" s="78"/>
      <c r="L607" s="78"/>
      <c r="V607" s="78"/>
      <c r="W607" s="78"/>
      <c r="X607" s="78"/>
    </row>
    <row r="608" spans="1:24">
      <c r="A608" s="34">
        <v>606</v>
      </c>
      <c r="I608" s="78"/>
      <c r="J608" s="78"/>
      <c r="K608" s="78"/>
      <c r="L608" s="78"/>
      <c r="V608" s="78"/>
      <c r="W608" s="78"/>
      <c r="X608" s="78"/>
    </row>
    <row r="609" spans="1:24">
      <c r="A609" s="34">
        <v>607</v>
      </c>
      <c r="I609" s="78"/>
      <c r="J609" s="78"/>
      <c r="K609" s="78"/>
      <c r="L609" s="78"/>
      <c r="V609" s="78"/>
      <c r="W609" s="78"/>
      <c r="X609" s="78"/>
    </row>
    <row r="610" spans="1:24">
      <c r="A610" s="34">
        <v>608</v>
      </c>
      <c r="I610" s="78"/>
      <c r="J610" s="78"/>
      <c r="K610" s="78"/>
      <c r="L610" s="78"/>
      <c r="V610" s="78"/>
      <c r="W610" s="78"/>
      <c r="X610" s="78"/>
    </row>
    <row r="611" spans="1:24">
      <c r="A611" s="34">
        <v>609</v>
      </c>
      <c r="I611" s="78"/>
      <c r="J611" s="78"/>
      <c r="K611" s="78"/>
      <c r="L611" s="78"/>
      <c r="V611" s="78"/>
      <c r="W611" s="78"/>
      <c r="X611" s="78"/>
    </row>
    <row r="612" spans="1:24">
      <c r="A612" s="34">
        <v>610</v>
      </c>
      <c r="I612" s="78"/>
      <c r="J612" s="78"/>
      <c r="K612" s="78"/>
      <c r="L612" s="78"/>
      <c r="V612" s="78"/>
      <c r="W612" s="78"/>
      <c r="X612" s="78"/>
    </row>
    <row r="613" spans="1:24">
      <c r="A613" s="34">
        <v>611</v>
      </c>
      <c r="I613" s="78"/>
      <c r="J613" s="78"/>
      <c r="K613" s="78"/>
      <c r="L613" s="78"/>
      <c r="V613" s="78"/>
      <c r="W613" s="78"/>
      <c r="X613" s="78"/>
    </row>
    <row r="614" spans="1:24">
      <c r="A614" s="34">
        <v>612</v>
      </c>
      <c r="I614" s="78"/>
      <c r="J614" s="78"/>
      <c r="K614" s="78"/>
      <c r="L614" s="78"/>
      <c r="V614" s="78"/>
      <c r="W614" s="78"/>
      <c r="X614" s="78"/>
    </row>
    <row r="615" spans="1:24">
      <c r="A615" s="34">
        <v>613</v>
      </c>
      <c r="I615" s="78"/>
      <c r="J615" s="78"/>
      <c r="K615" s="78"/>
      <c r="L615" s="78"/>
      <c r="V615" s="78"/>
      <c r="W615" s="78"/>
      <c r="X615" s="78"/>
    </row>
    <row r="616" spans="1:24">
      <c r="A616" s="34">
        <v>614</v>
      </c>
      <c r="I616" s="78"/>
      <c r="J616" s="78"/>
      <c r="K616" s="78"/>
      <c r="L616" s="78"/>
      <c r="V616" s="78"/>
      <c r="W616" s="78"/>
      <c r="X616" s="78"/>
    </row>
    <row r="617" spans="1:24">
      <c r="A617" s="34">
        <v>615</v>
      </c>
      <c r="I617" s="78"/>
      <c r="J617" s="78"/>
      <c r="K617" s="78"/>
      <c r="L617" s="78"/>
      <c r="V617" s="78"/>
      <c r="W617" s="78"/>
      <c r="X617" s="78"/>
    </row>
    <row r="618" spans="1:24">
      <c r="A618" s="34">
        <v>616</v>
      </c>
      <c r="I618" s="78"/>
      <c r="J618" s="78"/>
      <c r="K618" s="78"/>
      <c r="L618" s="78"/>
      <c r="V618" s="78"/>
      <c r="W618" s="78"/>
      <c r="X618" s="78"/>
    </row>
    <row r="619" spans="1:24">
      <c r="A619" s="34">
        <v>617</v>
      </c>
      <c r="I619" s="78"/>
      <c r="J619" s="78"/>
      <c r="K619" s="78"/>
      <c r="L619" s="78"/>
      <c r="V619" s="78"/>
      <c r="W619" s="78"/>
      <c r="X619" s="78"/>
    </row>
    <row r="620" spans="1:24">
      <c r="A620" s="34">
        <v>618</v>
      </c>
      <c r="I620" s="78"/>
      <c r="J620" s="78"/>
      <c r="K620" s="78"/>
      <c r="L620" s="78"/>
      <c r="V620" s="78"/>
      <c r="W620" s="78"/>
      <c r="X620" s="78"/>
    </row>
    <row r="621" spans="1:24">
      <c r="A621" s="34">
        <v>619</v>
      </c>
      <c r="I621" s="78"/>
      <c r="J621" s="78"/>
      <c r="K621" s="78"/>
      <c r="L621" s="78"/>
      <c r="V621" s="78"/>
      <c r="W621" s="78"/>
      <c r="X621" s="78"/>
    </row>
    <row r="622" spans="1:24">
      <c r="A622" s="34">
        <v>620</v>
      </c>
      <c r="I622" s="78"/>
      <c r="J622" s="78"/>
      <c r="K622" s="78"/>
      <c r="L622" s="78"/>
      <c r="V622" s="78"/>
      <c r="W622" s="78"/>
      <c r="X622" s="78"/>
    </row>
    <row r="623" spans="1:24">
      <c r="A623" s="34">
        <v>621</v>
      </c>
      <c r="I623" s="78"/>
      <c r="J623" s="78"/>
      <c r="K623" s="78"/>
      <c r="L623" s="78"/>
      <c r="V623" s="78"/>
      <c r="W623" s="78"/>
      <c r="X623" s="78"/>
    </row>
    <row r="624" spans="1:24">
      <c r="A624" s="34">
        <v>622</v>
      </c>
      <c r="I624" s="78"/>
      <c r="J624" s="78"/>
      <c r="K624" s="78"/>
      <c r="L624" s="78"/>
      <c r="V624" s="78"/>
      <c r="W624" s="78"/>
      <c r="X624" s="78"/>
    </row>
    <row r="625" spans="1:24">
      <c r="A625" s="34">
        <v>623</v>
      </c>
      <c r="I625" s="78"/>
      <c r="J625" s="78"/>
      <c r="K625" s="78"/>
      <c r="L625" s="78"/>
      <c r="V625" s="78"/>
      <c r="W625" s="78"/>
      <c r="X625" s="78"/>
    </row>
    <row r="626" spans="1:24">
      <c r="A626" s="34">
        <v>624</v>
      </c>
      <c r="I626" s="78"/>
      <c r="J626" s="78"/>
      <c r="K626" s="78"/>
      <c r="L626" s="78"/>
      <c r="V626" s="78"/>
      <c r="W626" s="78"/>
      <c r="X626" s="78"/>
    </row>
    <row r="627" spans="1:24">
      <c r="A627" s="34">
        <v>625</v>
      </c>
      <c r="I627" s="78"/>
      <c r="J627" s="78"/>
      <c r="K627" s="78"/>
      <c r="L627" s="78"/>
      <c r="V627" s="78"/>
      <c r="W627" s="78"/>
      <c r="X627" s="78"/>
    </row>
    <row r="628" spans="1:24">
      <c r="A628" s="34">
        <v>626</v>
      </c>
      <c r="I628" s="78"/>
      <c r="J628" s="78"/>
      <c r="K628" s="78"/>
      <c r="L628" s="78"/>
      <c r="V628" s="78"/>
      <c r="W628" s="78"/>
      <c r="X628" s="78"/>
    </row>
    <row r="629" spans="1:24">
      <c r="A629" s="34">
        <v>627</v>
      </c>
      <c r="I629" s="78"/>
      <c r="J629" s="78"/>
      <c r="K629" s="78"/>
      <c r="L629" s="78"/>
      <c r="V629" s="78"/>
      <c r="W629" s="78"/>
      <c r="X629" s="78"/>
    </row>
    <row r="630" spans="1:24">
      <c r="A630" s="34">
        <v>628</v>
      </c>
      <c r="I630" s="78"/>
      <c r="J630" s="78"/>
      <c r="K630" s="78"/>
      <c r="L630" s="78"/>
      <c r="V630" s="78"/>
      <c r="W630" s="78"/>
      <c r="X630" s="78"/>
    </row>
    <row r="631" spans="1:24">
      <c r="A631" s="34">
        <v>629</v>
      </c>
      <c r="I631" s="78"/>
      <c r="J631" s="78"/>
      <c r="K631" s="78"/>
      <c r="L631" s="78"/>
      <c r="V631" s="78"/>
      <c r="W631" s="78"/>
      <c r="X631" s="78"/>
    </row>
    <row r="632" spans="1:24">
      <c r="A632" s="34">
        <v>630</v>
      </c>
      <c r="I632" s="78"/>
      <c r="J632" s="78"/>
      <c r="K632" s="78"/>
      <c r="L632" s="78"/>
      <c r="V632" s="78"/>
      <c r="W632" s="78"/>
      <c r="X632" s="78"/>
    </row>
    <row r="633" spans="1:24">
      <c r="A633" s="34">
        <v>631</v>
      </c>
      <c r="I633" s="78"/>
      <c r="J633" s="78"/>
      <c r="K633" s="78"/>
      <c r="L633" s="78"/>
      <c r="V633" s="78"/>
      <c r="W633" s="78"/>
      <c r="X633" s="78"/>
    </row>
    <row r="634" spans="1:24">
      <c r="A634" s="34">
        <v>632</v>
      </c>
      <c r="I634" s="78"/>
      <c r="J634" s="78"/>
      <c r="K634" s="78"/>
      <c r="L634" s="78"/>
      <c r="V634" s="78"/>
      <c r="W634" s="78"/>
      <c r="X634" s="78"/>
    </row>
    <row r="635" spans="1:24">
      <c r="A635" s="34">
        <v>633</v>
      </c>
      <c r="I635" s="78"/>
      <c r="J635" s="78"/>
      <c r="K635" s="78"/>
      <c r="L635" s="78"/>
      <c r="V635" s="78"/>
      <c r="W635" s="78"/>
      <c r="X635" s="78"/>
    </row>
    <row r="636" spans="1:24">
      <c r="A636" s="34">
        <v>634</v>
      </c>
      <c r="I636" s="78"/>
      <c r="J636" s="78"/>
      <c r="K636" s="78"/>
      <c r="L636" s="78"/>
      <c r="V636" s="78"/>
      <c r="W636" s="78"/>
      <c r="X636" s="78"/>
    </row>
    <row r="637" spans="1:24">
      <c r="A637" s="34">
        <v>635</v>
      </c>
      <c r="I637" s="78"/>
      <c r="J637" s="78"/>
      <c r="K637" s="78"/>
      <c r="L637" s="78"/>
      <c r="V637" s="78"/>
      <c r="W637" s="78"/>
      <c r="X637" s="78"/>
    </row>
    <row r="638" spans="1:24">
      <c r="A638" s="34">
        <v>636</v>
      </c>
      <c r="I638" s="78"/>
      <c r="J638" s="78"/>
      <c r="K638" s="78"/>
      <c r="L638" s="78"/>
      <c r="V638" s="78"/>
      <c r="W638" s="78"/>
      <c r="X638" s="78"/>
    </row>
    <row r="639" spans="1:24">
      <c r="A639" s="34">
        <v>637</v>
      </c>
      <c r="I639" s="78"/>
      <c r="J639" s="78"/>
      <c r="K639" s="78"/>
      <c r="L639" s="78"/>
      <c r="V639" s="78"/>
      <c r="W639" s="78"/>
      <c r="X639" s="78"/>
    </row>
    <row r="640" spans="1:24">
      <c r="A640" s="34">
        <v>638</v>
      </c>
      <c r="I640" s="78"/>
      <c r="J640" s="78"/>
      <c r="K640" s="78"/>
      <c r="L640" s="78"/>
      <c r="V640" s="78"/>
      <c r="W640" s="78"/>
      <c r="X640" s="78"/>
    </row>
    <row r="641" spans="1:24">
      <c r="A641" s="34">
        <v>639</v>
      </c>
      <c r="I641" s="78"/>
      <c r="J641" s="78"/>
      <c r="K641" s="78"/>
      <c r="L641" s="78"/>
      <c r="V641" s="78"/>
      <c r="W641" s="78"/>
      <c r="X641" s="78"/>
    </row>
    <row r="642" spans="1:24">
      <c r="A642" s="34">
        <v>640</v>
      </c>
      <c r="I642" s="78"/>
      <c r="J642" s="78"/>
      <c r="K642" s="78"/>
      <c r="L642" s="78"/>
      <c r="V642" s="78"/>
      <c r="W642" s="78"/>
      <c r="X642" s="78"/>
    </row>
    <row r="643" spans="1:24">
      <c r="A643" s="34">
        <v>641</v>
      </c>
      <c r="I643" s="78"/>
      <c r="J643" s="78"/>
      <c r="K643" s="78"/>
      <c r="L643" s="78"/>
      <c r="V643" s="78"/>
      <c r="W643" s="78"/>
      <c r="X643" s="78"/>
    </row>
    <row r="644" spans="1:24">
      <c r="A644" s="34">
        <v>642</v>
      </c>
      <c r="I644" s="78"/>
      <c r="J644" s="78"/>
      <c r="K644" s="78"/>
      <c r="L644" s="78"/>
      <c r="V644" s="78"/>
      <c r="W644" s="78"/>
      <c r="X644" s="78"/>
    </row>
    <row r="645" spans="1:24">
      <c r="A645" s="34">
        <v>643</v>
      </c>
      <c r="I645" s="78"/>
      <c r="J645" s="78"/>
      <c r="K645" s="78"/>
      <c r="L645" s="78"/>
      <c r="V645" s="78"/>
      <c r="W645" s="78"/>
      <c r="X645" s="78"/>
    </row>
    <row r="646" spans="1:24">
      <c r="A646" s="34">
        <v>644</v>
      </c>
      <c r="I646" s="78"/>
      <c r="J646" s="78"/>
      <c r="K646" s="78"/>
      <c r="L646" s="78"/>
      <c r="V646" s="78"/>
      <c r="W646" s="78"/>
      <c r="X646" s="78"/>
    </row>
    <row r="647" spans="1:24">
      <c r="A647" s="34">
        <v>645</v>
      </c>
      <c r="I647" s="78"/>
      <c r="J647" s="78"/>
      <c r="K647" s="78"/>
      <c r="L647" s="78"/>
      <c r="V647" s="78"/>
      <c r="W647" s="78"/>
      <c r="X647" s="78"/>
    </row>
    <row r="648" spans="1:24">
      <c r="A648" s="34">
        <v>646</v>
      </c>
      <c r="I648" s="78"/>
      <c r="J648" s="78"/>
      <c r="K648" s="78"/>
      <c r="L648" s="78"/>
      <c r="V648" s="78"/>
      <c r="W648" s="78"/>
      <c r="X648" s="78"/>
    </row>
    <row r="649" spans="1:24">
      <c r="A649" s="34">
        <v>647</v>
      </c>
      <c r="I649" s="78"/>
      <c r="J649" s="78"/>
      <c r="K649" s="78"/>
      <c r="L649" s="78"/>
      <c r="V649" s="78"/>
      <c r="W649" s="78"/>
      <c r="X649" s="78"/>
    </row>
    <row r="650" spans="1:24">
      <c r="A650" s="34">
        <v>648</v>
      </c>
      <c r="I650" s="78"/>
      <c r="J650" s="78"/>
      <c r="K650" s="78"/>
      <c r="L650" s="78"/>
      <c r="V650" s="78"/>
      <c r="W650" s="78"/>
      <c r="X650" s="78"/>
    </row>
    <row r="651" spans="1:24">
      <c r="A651" s="34">
        <v>649</v>
      </c>
      <c r="I651" s="78"/>
      <c r="J651" s="78"/>
      <c r="K651" s="78"/>
      <c r="L651" s="78"/>
      <c r="V651" s="78"/>
      <c r="W651" s="78"/>
      <c r="X651" s="78"/>
    </row>
    <row r="652" spans="1:24">
      <c r="A652" s="34">
        <v>650</v>
      </c>
      <c r="I652" s="78"/>
      <c r="J652" s="78"/>
      <c r="K652" s="78"/>
      <c r="L652" s="78"/>
      <c r="V652" s="78"/>
      <c r="W652" s="78"/>
      <c r="X652" s="78"/>
    </row>
    <row r="653" spans="1:24">
      <c r="A653" s="34">
        <v>651</v>
      </c>
      <c r="I653" s="78"/>
      <c r="J653" s="78"/>
      <c r="K653" s="78"/>
      <c r="L653" s="78"/>
      <c r="V653" s="78"/>
      <c r="W653" s="78"/>
      <c r="X653" s="78"/>
    </row>
    <row r="654" spans="1:24">
      <c r="A654" s="34">
        <v>652</v>
      </c>
      <c r="I654" s="78"/>
      <c r="J654" s="78"/>
      <c r="K654" s="78"/>
      <c r="L654" s="78"/>
      <c r="V654" s="78"/>
      <c r="W654" s="78"/>
      <c r="X654" s="78"/>
    </row>
    <row r="655" spans="1:24">
      <c r="A655" s="34">
        <v>653</v>
      </c>
      <c r="I655" s="78"/>
      <c r="J655" s="78"/>
      <c r="K655" s="78"/>
      <c r="L655" s="78"/>
      <c r="V655" s="78"/>
      <c r="W655" s="78"/>
      <c r="X655" s="78"/>
    </row>
    <row r="656" spans="1:24">
      <c r="A656" s="34">
        <v>654</v>
      </c>
      <c r="I656" s="78"/>
      <c r="J656" s="78"/>
      <c r="K656" s="78"/>
      <c r="L656" s="78"/>
      <c r="V656" s="78"/>
      <c r="W656" s="78"/>
      <c r="X656" s="78"/>
    </row>
    <row r="657" spans="1:24">
      <c r="A657" s="34">
        <v>655</v>
      </c>
      <c r="I657" s="78"/>
      <c r="J657" s="78"/>
      <c r="K657" s="78"/>
      <c r="L657" s="78"/>
      <c r="V657" s="78"/>
      <c r="W657" s="78"/>
      <c r="X657" s="78"/>
    </row>
    <row r="658" spans="1:24">
      <c r="A658" s="34">
        <v>656</v>
      </c>
      <c r="I658" s="78"/>
      <c r="J658" s="78"/>
      <c r="K658" s="78"/>
      <c r="L658" s="78"/>
      <c r="V658" s="78"/>
      <c r="W658" s="78"/>
      <c r="X658" s="78"/>
    </row>
    <row r="659" spans="1:24">
      <c r="A659" s="34">
        <v>657</v>
      </c>
      <c r="I659" s="78"/>
      <c r="J659" s="78"/>
      <c r="K659" s="78"/>
      <c r="L659" s="78"/>
      <c r="V659" s="78"/>
      <c r="W659" s="78"/>
      <c r="X659" s="78"/>
    </row>
    <row r="660" spans="1:24">
      <c r="A660" s="34">
        <v>658</v>
      </c>
      <c r="I660" s="78"/>
      <c r="J660" s="78"/>
      <c r="K660" s="78"/>
      <c r="L660" s="78"/>
      <c r="V660" s="78"/>
      <c r="W660" s="78"/>
      <c r="X660" s="78"/>
    </row>
    <row r="661" spans="1:24">
      <c r="A661" s="34">
        <v>659</v>
      </c>
      <c r="I661" s="78"/>
      <c r="J661" s="78"/>
      <c r="K661" s="78"/>
      <c r="L661" s="78"/>
      <c r="V661" s="78"/>
      <c r="W661" s="78"/>
      <c r="X661" s="78"/>
    </row>
    <row r="662" spans="1:24">
      <c r="A662" s="34">
        <v>660</v>
      </c>
      <c r="I662" s="78"/>
      <c r="J662" s="78"/>
      <c r="K662" s="78"/>
      <c r="L662" s="78"/>
      <c r="V662" s="78"/>
      <c r="W662" s="78"/>
      <c r="X662" s="78"/>
    </row>
    <row r="663" spans="1:24">
      <c r="A663" s="34">
        <v>661</v>
      </c>
      <c r="I663" s="78"/>
      <c r="J663" s="78"/>
      <c r="K663" s="78"/>
      <c r="L663" s="78"/>
      <c r="V663" s="78"/>
      <c r="W663" s="78"/>
      <c r="X663" s="78"/>
    </row>
    <row r="664" spans="1:24">
      <c r="A664" s="34">
        <v>662</v>
      </c>
      <c r="I664" s="78"/>
      <c r="J664" s="78"/>
      <c r="K664" s="78"/>
      <c r="L664" s="78"/>
      <c r="V664" s="78"/>
      <c r="W664" s="78"/>
      <c r="X664" s="78"/>
    </row>
    <row r="665" spans="1:24">
      <c r="A665" s="34">
        <v>663</v>
      </c>
      <c r="I665" s="78"/>
      <c r="J665" s="78"/>
      <c r="K665" s="78"/>
      <c r="L665" s="78"/>
      <c r="V665" s="78"/>
      <c r="W665" s="78"/>
      <c r="X665" s="78"/>
    </row>
    <row r="666" spans="1:24">
      <c r="A666" s="34">
        <v>664</v>
      </c>
      <c r="I666" s="78"/>
      <c r="J666" s="78"/>
      <c r="K666" s="78"/>
      <c r="L666" s="78"/>
      <c r="V666" s="78"/>
      <c r="W666" s="78"/>
      <c r="X666" s="78"/>
    </row>
    <row r="667" spans="1:24">
      <c r="A667" s="34">
        <v>665</v>
      </c>
      <c r="I667" s="78"/>
      <c r="J667" s="78"/>
      <c r="K667" s="78"/>
      <c r="L667" s="78"/>
      <c r="V667" s="78"/>
      <c r="W667" s="78"/>
      <c r="X667" s="78"/>
    </row>
    <row r="668" spans="1:24">
      <c r="A668" s="34">
        <v>666</v>
      </c>
      <c r="I668" s="78"/>
      <c r="J668" s="78"/>
      <c r="K668" s="78"/>
      <c r="L668" s="78"/>
      <c r="V668" s="78"/>
      <c r="W668" s="78"/>
      <c r="X668" s="78"/>
    </row>
    <row r="669" spans="1:24">
      <c r="A669" s="34">
        <v>667</v>
      </c>
      <c r="I669" s="78"/>
      <c r="J669" s="78"/>
      <c r="K669" s="78"/>
      <c r="L669" s="78"/>
      <c r="V669" s="78"/>
      <c r="W669" s="78"/>
      <c r="X669" s="78"/>
    </row>
    <row r="670" spans="1:24">
      <c r="A670" s="34">
        <v>668</v>
      </c>
      <c r="I670" s="78"/>
      <c r="J670" s="78"/>
      <c r="K670" s="78"/>
      <c r="L670" s="78"/>
      <c r="V670" s="78"/>
      <c r="W670" s="78"/>
      <c r="X670" s="78"/>
    </row>
    <row r="671" spans="1:24">
      <c r="A671" s="34">
        <v>669</v>
      </c>
      <c r="I671" s="78"/>
      <c r="J671" s="78"/>
      <c r="K671" s="78"/>
      <c r="L671" s="78"/>
      <c r="V671" s="78"/>
      <c r="W671" s="78"/>
      <c r="X671" s="78"/>
    </row>
    <row r="672" spans="1:24">
      <c r="A672" s="34">
        <v>670</v>
      </c>
      <c r="I672" s="78"/>
      <c r="J672" s="78"/>
      <c r="K672" s="78"/>
      <c r="L672" s="78"/>
      <c r="V672" s="78"/>
      <c r="W672" s="78"/>
      <c r="X672" s="78"/>
    </row>
    <row r="673" spans="1:24">
      <c r="A673" s="34">
        <v>671</v>
      </c>
      <c r="I673" s="78"/>
      <c r="J673" s="78"/>
      <c r="K673" s="78"/>
      <c r="L673" s="78"/>
      <c r="V673" s="78"/>
      <c r="W673" s="78"/>
      <c r="X673" s="78"/>
    </row>
    <row r="674" spans="1:24">
      <c r="A674" s="34">
        <v>672</v>
      </c>
      <c r="I674" s="78"/>
      <c r="J674" s="78"/>
      <c r="K674" s="78"/>
      <c r="L674" s="78"/>
      <c r="V674" s="78"/>
      <c r="W674" s="78"/>
      <c r="X674" s="78"/>
    </row>
    <row r="675" spans="1:24">
      <c r="A675" s="34">
        <v>673</v>
      </c>
      <c r="I675" s="78"/>
      <c r="J675" s="78"/>
      <c r="K675" s="78"/>
      <c r="L675" s="78"/>
      <c r="V675" s="78"/>
      <c r="W675" s="78"/>
      <c r="X675" s="78"/>
    </row>
    <row r="676" spans="1:24">
      <c r="A676" s="34">
        <v>674</v>
      </c>
      <c r="I676" s="78"/>
      <c r="J676" s="78"/>
      <c r="K676" s="78"/>
      <c r="L676" s="78"/>
      <c r="V676" s="78"/>
      <c r="W676" s="78"/>
      <c r="X676" s="78"/>
    </row>
    <row r="677" spans="1:24">
      <c r="A677" s="34">
        <v>675</v>
      </c>
      <c r="I677" s="78"/>
      <c r="J677" s="78"/>
      <c r="K677" s="78"/>
      <c r="L677" s="78"/>
      <c r="V677" s="78"/>
      <c r="W677" s="78"/>
      <c r="X677" s="78"/>
    </row>
    <row r="678" spans="1:24">
      <c r="A678" s="34">
        <v>676</v>
      </c>
      <c r="I678" s="78"/>
      <c r="J678" s="78"/>
      <c r="K678" s="78"/>
      <c r="L678" s="78"/>
      <c r="V678" s="78"/>
      <c r="W678" s="78"/>
      <c r="X678" s="78"/>
    </row>
    <row r="679" spans="1:24">
      <c r="A679" s="34">
        <v>677</v>
      </c>
      <c r="I679" s="78"/>
      <c r="J679" s="78"/>
      <c r="K679" s="78"/>
      <c r="L679" s="78"/>
      <c r="V679" s="78"/>
      <c r="W679" s="78"/>
      <c r="X679" s="78"/>
    </row>
    <row r="680" spans="1:24">
      <c r="A680" s="34">
        <v>678</v>
      </c>
      <c r="I680" s="78"/>
      <c r="J680" s="78"/>
      <c r="K680" s="78"/>
      <c r="L680" s="78"/>
      <c r="V680" s="78"/>
      <c r="W680" s="78"/>
      <c r="X680" s="78"/>
    </row>
    <row r="681" spans="1:24">
      <c r="A681" s="34">
        <v>679</v>
      </c>
      <c r="I681" s="78"/>
      <c r="J681" s="78"/>
      <c r="K681" s="78"/>
      <c r="L681" s="78"/>
      <c r="V681" s="78"/>
      <c r="W681" s="78"/>
      <c r="X681" s="78"/>
    </row>
    <row r="682" spans="1:24">
      <c r="A682" s="34">
        <v>680</v>
      </c>
      <c r="I682" s="78"/>
      <c r="J682" s="78"/>
      <c r="K682" s="78"/>
      <c r="L682" s="78"/>
      <c r="V682" s="78"/>
      <c r="W682" s="78"/>
      <c r="X682" s="78"/>
    </row>
    <row r="683" spans="1:24">
      <c r="A683" s="34">
        <v>681</v>
      </c>
      <c r="I683" s="78"/>
      <c r="J683" s="78"/>
      <c r="K683" s="78"/>
      <c r="L683" s="78"/>
      <c r="V683" s="78"/>
      <c r="W683" s="78"/>
      <c r="X683" s="78"/>
    </row>
    <row r="684" spans="1:24">
      <c r="A684" s="34">
        <v>682</v>
      </c>
      <c r="I684" s="78"/>
      <c r="J684" s="78"/>
      <c r="K684" s="78"/>
      <c r="L684" s="78"/>
      <c r="V684" s="78"/>
      <c r="W684" s="78"/>
      <c r="X684" s="78"/>
    </row>
    <row r="685" spans="1:24">
      <c r="A685" s="34">
        <v>683</v>
      </c>
      <c r="I685" s="78"/>
      <c r="J685" s="78"/>
      <c r="K685" s="78"/>
      <c r="L685" s="78"/>
      <c r="V685" s="78"/>
      <c r="W685" s="78"/>
      <c r="X685" s="78"/>
    </row>
    <row r="686" spans="1:24">
      <c r="A686" s="34">
        <v>684</v>
      </c>
      <c r="I686" s="78"/>
      <c r="J686" s="78"/>
      <c r="K686" s="78"/>
      <c r="L686" s="78"/>
      <c r="V686" s="78"/>
      <c r="W686" s="78"/>
      <c r="X686" s="78"/>
    </row>
    <row r="687" spans="1:24">
      <c r="A687" s="34">
        <v>685</v>
      </c>
      <c r="I687" s="78"/>
      <c r="J687" s="78"/>
      <c r="K687" s="78"/>
      <c r="L687" s="78"/>
      <c r="V687" s="78"/>
      <c r="W687" s="78"/>
      <c r="X687" s="78"/>
    </row>
    <row r="688" spans="1:24">
      <c r="A688" s="34">
        <v>686</v>
      </c>
      <c r="I688" s="78"/>
      <c r="J688" s="78"/>
      <c r="K688" s="78"/>
      <c r="L688" s="78"/>
      <c r="V688" s="78"/>
      <c r="W688" s="78"/>
      <c r="X688" s="78"/>
    </row>
    <row r="689" spans="1:24">
      <c r="A689" s="34">
        <v>687</v>
      </c>
      <c r="I689" s="78"/>
      <c r="J689" s="78"/>
      <c r="K689" s="78"/>
      <c r="L689" s="78"/>
      <c r="V689" s="78"/>
      <c r="W689" s="78"/>
      <c r="X689" s="78"/>
    </row>
    <row r="690" spans="1:24">
      <c r="A690" s="34">
        <v>688</v>
      </c>
      <c r="I690" s="78"/>
      <c r="J690" s="78"/>
      <c r="K690" s="78"/>
      <c r="L690" s="78"/>
      <c r="V690" s="78"/>
      <c r="W690" s="78"/>
      <c r="X690" s="78"/>
    </row>
    <row r="691" spans="1:24">
      <c r="A691" s="34">
        <v>689</v>
      </c>
      <c r="I691" s="78"/>
      <c r="J691" s="78"/>
      <c r="K691" s="78"/>
      <c r="L691" s="78"/>
      <c r="V691" s="78"/>
      <c r="W691" s="78"/>
      <c r="X691" s="78"/>
    </row>
    <row r="692" spans="1:24">
      <c r="A692" s="34">
        <v>690</v>
      </c>
      <c r="I692" s="78"/>
      <c r="J692" s="78"/>
      <c r="K692" s="78"/>
      <c r="L692" s="78"/>
      <c r="V692" s="78"/>
      <c r="W692" s="78"/>
      <c r="X692" s="78"/>
    </row>
    <row r="693" spans="1:24">
      <c r="A693" s="34">
        <v>691</v>
      </c>
      <c r="I693" s="78"/>
      <c r="J693" s="78"/>
      <c r="K693" s="78"/>
      <c r="L693" s="78"/>
      <c r="V693" s="78"/>
      <c r="W693" s="78"/>
      <c r="X693" s="78"/>
    </row>
    <row r="694" spans="1:24">
      <c r="A694" s="34">
        <v>692</v>
      </c>
      <c r="I694" s="78"/>
      <c r="J694" s="78"/>
      <c r="K694" s="78"/>
      <c r="L694" s="78"/>
      <c r="V694" s="78"/>
      <c r="W694" s="78"/>
      <c r="X694" s="78"/>
    </row>
    <row r="695" spans="1:24">
      <c r="A695" s="34">
        <v>693</v>
      </c>
      <c r="I695" s="78"/>
      <c r="J695" s="78"/>
      <c r="K695" s="78"/>
      <c r="L695" s="78"/>
      <c r="V695" s="78"/>
      <c r="W695" s="78"/>
      <c r="X695" s="78"/>
    </row>
    <row r="696" spans="1:24">
      <c r="A696" s="34">
        <v>694</v>
      </c>
      <c r="I696" s="78"/>
      <c r="J696" s="78"/>
      <c r="K696" s="78"/>
      <c r="L696" s="78"/>
      <c r="V696" s="78"/>
      <c r="W696" s="78"/>
      <c r="X696" s="78"/>
    </row>
    <row r="697" spans="1:24">
      <c r="A697" s="34">
        <v>695</v>
      </c>
      <c r="I697" s="78"/>
      <c r="J697" s="78"/>
      <c r="K697" s="78"/>
      <c r="L697" s="78"/>
      <c r="V697" s="78"/>
      <c r="W697" s="78"/>
      <c r="X697" s="78"/>
    </row>
    <row r="698" spans="1:24">
      <c r="A698" s="34">
        <v>696</v>
      </c>
      <c r="I698" s="78"/>
      <c r="J698" s="78"/>
      <c r="K698" s="78"/>
      <c r="L698" s="78"/>
      <c r="V698" s="78"/>
      <c r="W698" s="78"/>
      <c r="X698" s="78"/>
    </row>
    <row r="699" spans="1:24">
      <c r="A699" s="34">
        <v>697</v>
      </c>
      <c r="I699" s="78"/>
      <c r="J699" s="78"/>
      <c r="K699" s="78"/>
      <c r="L699" s="78"/>
      <c r="V699" s="78"/>
      <c r="W699" s="78"/>
      <c r="X699" s="78"/>
    </row>
    <row r="700" spans="1:24">
      <c r="A700" s="34">
        <v>698</v>
      </c>
      <c r="I700" s="78"/>
      <c r="J700" s="78"/>
      <c r="K700" s="78"/>
      <c r="L700" s="78"/>
      <c r="V700" s="78"/>
      <c r="W700" s="78"/>
      <c r="X700" s="78"/>
    </row>
    <row r="701" spans="1:24">
      <c r="A701" s="34">
        <v>699</v>
      </c>
      <c r="I701" s="78"/>
      <c r="J701" s="78"/>
      <c r="K701" s="78"/>
      <c r="L701" s="78"/>
      <c r="V701" s="78"/>
      <c r="W701" s="78"/>
      <c r="X701" s="78"/>
    </row>
    <row r="702" spans="1:24">
      <c r="A702" s="34">
        <v>700</v>
      </c>
      <c r="I702" s="78"/>
      <c r="J702" s="78"/>
      <c r="K702" s="78"/>
      <c r="L702" s="78"/>
      <c r="V702" s="78"/>
      <c r="W702" s="78"/>
      <c r="X702" s="78"/>
    </row>
    <row r="703" spans="1:24">
      <c r="A703" s="34">
        <v>701</v>
      </c>
      <c r="I703" s="78"/>
      <c r="J703" s="78"/>
      <c r="K703" s="78"/>
      <c r="L703" s="78"/>
      <c r="V703" s="78"/>
      <c r="W703" s="78"/>
      <c r="X703" s="78"/>
    </row>
    <row r="704" spans="1:24">
      <c r="A704" s="34">
        <v>702</v>
      </c>
      <c r="I704" s="78"/>
      <c r="J704" s="78"/>
      <c r="K704" s="78"/>
      <c r="L704" s="78"/>
      <c r="V704" s="78"/>
      <c r="W704" s="78"/>
      <c r="X704" s="78"/>
    </row>
    <row r="705" spans="1:24">
      <c r="A705" s="34">
        <v>703</v>
      </c>
      <c r="I705" s="78"/>
      <c r="J705" s="78"/>
      <c r="K705" s="78"/>
      <c r="L705" s="78"/>
      <c r="V705" s="78"/>
      <c r="W705" s="78"/>
      <c r="X705" s="78"/>
    </row>
    <row r="706" spans="1:24">
      <c r="A706" s="34">
        <v>704</v>
      </c>
      <c r="I706" s="78"/>
      <c r="J706" s="78"/>
      <c r="K706" s="78"/>
      <c r="L706" s="78"/>
      <c r="V706" s="78"/>
      <c r="W706" s="78"/>
      <c r="X706" s="78"/>
    </row>
    <row r="707" spans="1:24">
      <c r="A707" s="34">
        <v>705</v>
      </c>
      <c r="I707" s="78"/>
      <c r="J707" s="78"/>
      <c r="K707" s="78"/>
      <c r="L707" s="78"/>
      <c r="V707" s="78"/>
      <c r="W707" s="78"/>
      <c r="X707" s="78"/>
    </row>
    <row r="708" spans="1:24">
      <c r="A708" s="34">
        <v>706</v>
      </c>
      <c r="I708" s="78"/>
      <c r="J708" s="78"/>
      <c r="K708" s="78"/>
      <c r="L708" s="78"/>
      <c r="V708" s="78"/>
      <c r="W708" s="78"/>
      <c r="X708" s="78"/>
    </row>
    <row r="709" spans="1:24">
      <c r="A709" s="34">
        <v>707</v>
      </c>
      <c r="I709" s="78"/>
      <c r="J709" s="78"/>
      <c r="K709" s="78"/>
      <c r="L709" s="78"/>
      <c r="V709" s="78"/>
      <c r="W709" s="78"/>
      <c r="X709" s="78"/>
    </row>
    <row r="710" spans="1:24">
      <c r="A710" s="34">
        <v>708</v>
      </c>
      <c r="I710" s="78"/>
      <c r="J710" s="78"/>
      <c r="K710" s="78"/>
      <c r="L710" s="78"/>
      <c r="V710" s="78"/>
      <c r="W710" s="78"/>
      <c r="X710" s="78"/>
    </row>
    <row r="711" spans="1:24">
      <c r="A711" s="34">
        <v>709</v>
      </c>
      <c r="I711" s="78"/>
      <c r="J711" s="78"/>
      <c r="K711" s="78"/>
      <c r="L711" s="78"/>
      <c r="V711" s="78"/>
      <c r="W711" s="78"/>
      <c r="X711" s="78"/>
    </row>
    <row r="712" spans="1:24">
      <c r="A712" s="34">
        <v>710</v>
      </c>
      <c r="I712" s="78"/>
      <c r="J712" s="78"/>
      <c r="K712" s="78"/>
      <c r="L712" s="78"/>
      <c r="V712" s="78"/>
      <c r="W712" s="78"/>
      <c r="X712" s="78"/>
    </row>
    <row r="713" spans="1:24">
      <c r="A713" s="34">
        <v>711</v>
      </c>
      <c r="I713" s="78"/>
      <c r="J713" s="78"/>
      <c r="K713" s="78"/>
      <c r="L713" s="78"/>
      <c r="V713" s="78"/>
      <c r="W713" s="78"/>
      <c r="X713" s="78"/>
    </row>
    <row r="714" spans="1:24">
      <c r="A714" s="34">
        <v>712</v>
      </c>
      <c r="I714" s="78"/>
      <c r="J714" s="78"/>
      <c r="K714" s="78"/>
      <c r="L714" s="78"/>
      <c r="V714" s="78"/>
      <c r="W714" s="78"/>
      <c r="X714" s="78"/>
    </row>
    <row r="715" spans="1:24">
      <c r="A715" s="34">
        <v>713</v>
      </c>
      <c r="I715" s="78"/>
      <c r="J715" s="78"/>
      <c r="K715" s="78"/>
      <c r="L715" s="78"/>
      <c r="V715" s="78"/>
      <c r="W715" s="78"/>
      <c r="X715" s="78"/>
    </row>
    <row r="716" spans="1:24">
      <c r="A716" s="34">
        <v>714</v>
      </c>
      <c r="I716" s="78"/>
      <c r="J716" s="78"/>
      <c r="K716" s="78"/>
      <c r="L716" s="78"/>
      <c r="V716" s="78"/>
      <c r="W716" s="78"/>
      <c r="X716" s="78"/>
    </row>
    <row r="717" spans="1:24">
      <c r="A717" s="34">
        <v>715</v>
      </c>
      <c r="I717" s="78"/>
      <c r="J717" s="78"/>
      <c r="K717" s="78"/>
      <c r="L717" s="78"/>
      <c r="V717" s="78"/>
      <c r="W717" s="78"/>
      <c r="X717" s="78"/>
    </row>
    <row r="718" spans="1:24">
      <c r="A718" s="34">
        <v>716</v>
      </c>
      <c r="I718" s="78"/>
      <c r="J718" s="78"/>
      <c r="K718" s="78"/>
      <c r="L718" s="78"/>
      <c r="V718" s="78"/>
      <c r="W718" s="78"/>
      <c r="X718" s="78"/>
    </row>
    <row r="719" spans="1:24">
      <c r="A719" s="34">
        <v>717</v>
      </c>
      <c r="I719" s="78"/>
      <c r="J719" s="78"/>
      <c r="K719" s="78"/>
      <c r="L719" s="78"/>
      <c r="V719" s="78"/>
      <c r="W719" s="78"/>
      <c r="X719" s="78"/>
    </row>
    <row r="720" spans="1:24">
      <c r="A720" s="34">
        <v>718</v>
      </c>
      <c r="I720" s="78"/>
      <c r="J720" s="78"/>
      <c r="K720" s="78"/>
      <c r="L720" s="78"/>
      <c r="V720" s="78"/>
      <c r="W720" s="78"/>
      <c r="X720" s="78"/>
    </row>
    <row r="721" spans="1:24">
      <c r="A721" s="34">
        <v>719</v>
      </c>
      <c r="I721" s="78"/>
      <c r="J721" s="78"/>
      <c r="K721" s="78"/>
      <c r="L721" s="78"/>
      <c r="V721" s="78"/>
      <c r="W721" s="78"/>
      <c r="X721" s="78"/>
    </row>
    <row r="722" spans="1:24">
      <c r="A722" s="34">
        <v>720</v>
      </c>
      <c r="I722" s="78"/>
      <c r="J722" s="78"/>
      <c r="K722" s="78"/>
      <c r="L722" s="78"/>
      <c r="V722" s="78"/>
      <c r="W722" s="78"/>
      <c r="X722" s="78"/>
    </row>
    <row r="723" spans="1:24">
      <c r="A723" s="34">
        <v>721</v>
      </c>
      <c r="I723" s="78"/>
      <c r="J723" s="78"/>
      <c r="K723" s="78"/>
      <c r="L723" s="78"/>
      <c r="V723" s="78"/>
      <c r="W723" s="78"/>
      <c r="X723" s="78"/>
    </row>
    <row r="724" spans="1:24">
      <c r="A724" s="34">
        <v>722</v>
      </c>
      <c r="I724" s="78"/>
      <c r="J724" s="78"/>
      <c r="K724" s="78"/>
      <c r="L724" s="78"/>
      <c r="V724" s="78"/>
      <c r="W724" s="78"/>
      <c r="X724" s="78"/>
    </row>
    <row r="725" spans="1:24">
      <c r="A725" s="34">
        <v>723</v>
      </c>
      <c r="I725" s="78"/>
      <c r="J725" s="78"/>
      <c r="K725" s="78"/>
      <c r="L725" s="78"/>
      <c r="V725" s="78"/>
      <c r="W725" s="78"/>
      <c r="X725" s="78"/>
    </row>
    <row r="726" spans="1:24">
      <c r="A726" s="34">
        <v>724</v>
      </c>
      <c r="I726" s="78"/>
      <c r="J726" s="78"/>
      <c r="K726" s="78"/>
      <c r="L726" s="78"/>
      <c r="V726" s="78"/>
      <c r="W726" s="78"/>
      <c r="X726" s="78"/>
    </row>
    <row r="727" spans="1:24">
      <c r="A727" s="34">
        <v>725</v>
      </c>
      <c r="I727" s="78"/>
      <c r="J727" s="78"/>
      <c r="K727" s="78"/>
      <c r="L727" s="78"/>
      <c r="V727" s="78"/>
      <c r="W727" s="78"/>
      <c r="X727" s="78"/>
    </row>
    <row r="728" spans="1:24">
      <c r="A728" s="34">
        <v>726</v>
      </c>
      <c r="I728" s="78"/>
      <c r="J728" s="78"/>
      <c r="K728" s="78"/>
      <c r="L728" s="78"/>
      <c r="V728" s="78"/>
      <c r="W728" s="78"/>
      <c r="X728" s="78"/>
    </row>
    <row r="729" spans="1:24">
      <c r="A729" s="34">
        <v>727</v>
      </c>
      <c r="I729" s="78"/>
      <c r="J729" s="78"/>
      <c r="K729" s="78"/>
      <c r="L729" s="78"/>
      <c r="V729" s="78"/>
      <c r="W729" s="78"/>
      <c r="X729" s="78"/>
    </row>
    <row r="730" spans="1:24">
      <c r="A730" s="34">
        <v>728</v>
      </c>
      <c r="I730" s="78"/>
      <c r="J730" s="78"/>
      <c r="K730" s="78"/>
      <c r="L730" s="78"/>
      <c r="V730" s="78"/>
      <c r="W730" s="78"/>
      <c r="X730" s="78"/>
    </row>
    <row r="731" spans="1:24">
      <c r="A731" s="34">
        <v>729</v>
      </c>
      <c r="I731" s="78"/>
      <c r="J731" s="78"/>
      <c r="K731" s="78"/>
      <c r="L731" s="78"/>
      <c r="V731" s="78"/>
      <c r="W731" s="78"/>
      <c r="X731" s="78"/>
    </row>
    <row r="732" spans="1:24">
      <c r="A732" s="34">
        <v>730</v>
      </c>
      <c r="I732" s="78"/>
      <c r="J732" s="78"/>
      <c r="K732" s="78"/>
      <c r="L732" s="78"/>
      <c r="V732" s="78"/>
      <c r="W732" s="78"/>
      <c r="X732" s="78"/>
    </row>
    <row r="733" spans="1:24">
      <c r="A733" s="34">
        <v>731</v>
      </c>
      <c r="I733" s="78"/>
      <c r="J733" s="78"/>
      <c r="K733" s="78"/>
      <c r="L733" s="78"/>
      <c r="V733" s="78"/>
      <c r="W733" s="78"/>
      <c r="X733" s="78"/>
    </row>
    <row r="734" spans="1:24">
      <c r="A734" s="34">
        <v>732</v>
      </c>
      <c r="I734" s="78"/>
      <c r="J734" s="78"/>
      <c r="K734" s="78"/>
      <c r="L734" s="78"/>
      <c r="V734" s="78"/>
      <c r="W734" s="78"/>
      <c r="X734" s="78"/>
    </row>
    <row r="735" spans="1:24">
      <c r="A735" s="34">
        <v>733</v>
      </c>
      <c r="I735" s="78"/>
      <c r="J735" s="78"/>
      <c r="K735" s="78"/>
      <c r="L735" s="78"/>
      <c r="V735" s="78"/>
      <c r="W735" s="78"/>
      <c r="X735" s="78"/>
    </row>
    <row r="736" spans="1:24">
      <c r="A736" s="34">
        <v>734</v>
      </c>
      <c r="I736" s="78"/>
      <c r="J736" s="78"/>
      <c r="K736" s="78"/>
      <c r="L736" s="78"/>
      <c r="V736" s="78"/>
      <c r="W736" s="78"/>
      <c r="X736" s="78"/>
    </row>
    <row r="737" spans="1:24">
      <c r="A737" s="34">
        <v>735</v>
      </c>
      <c r="I737" s="78"/>
      <c r="J737" s="78"/>
      <c r="K737" s="78"/>
      <c r="L737" s="78"/>
      <c r="V737" s="78"/>
      <c r="W737" s="78"/>
      <c r="X737" s="78"/>
    </row>
    <row r="738" spans="1:24">
      <c r="A738" s="34">
        <v>736</v>
      </c>
      <c r="I738" s="78"/>
      <c r="J738" s="78"/>
      <c r="K738" s="78"/>
      <c r="L738" s="78"/>
      <c r="V738" s="78"/>
      <c r="W738" s="78"/>
      <c r="X738" s="78"/>
    </row>
    <row r="739" spans="1:24">
      <c r="A739" s="34">
        <v>737</v>
      </c>
      <c r="I739" s="78"/>
      <c r="J739" s="78"/>
      <c r="K739" s="78"/>
      <c r="L739" s="78"/>
      <c r="V739" s="78"/>
      <c r="W739" s="78"/>
      <c r="X739" s="78"/>
    </row>
    <row r="740" spans="1:24">
      <c r="A740" s="34">
        <v>738</v>
      </c>
      <c r="I740" s="78"/>
      <c r="J740" s="78"/>
      <c r="K740" s="78"/>
      <c r="L740" s="78"/>
      <c r="V740" s="78"/>
      <c r="W740" s="78"/>
      <c r="X740" s="78"/>
    </row>
    <row r="741" spans="1:24">
      <c r="A741" s="34">
        <v>739</v>
      </c>
      <c r="I741" s="78"/>
      <c r="J741" s="78"/>
      <c r="K741" s="78"/>
      <c r="L741" s="78"/>
      <c r="V741" s="78"/>
      <c r="W741" s="78"/>
      <c r="X741" s="78"/>
    </row>
    <row r="742" spans="1:24">
      <c r="A742" s="34">
        <v>740</v>
      </c>
      <c r="I742" s="78"/>
      <c r="J742" s="78"/>
      <c r="K742" s="78"/>
      <c r="L742" s="78"/>
      <c r="V742" s="78"/>
      <c r="W742" s="78"/>
      <c r="X742" s="78"/>
    </row>
    <row r="743" spans="1:24">
      <c r="A743" s="34">
        <v>741</v>
      </c>
      <c r="I743" s="78"/>
      <c r="J743" s="78"/>
      <c r="K743" s="78"/>
      <c r="L743" s="78"/>
      <c r="V743" s="78"/>
      <c r="W743" s="78"/>
      <c r="X743" s="78"/>
    </row>
    <row r="744" spans="1:24">
      <c r="A744" s="34">
        <v>742</v>
      </c>
      <c r="I744" s="78"/>
      <c r="J744" s="78"/>
      <c r="K744" s="78"/>
      <c r="L744" s="78"/>
      <c r="V744" s="78"/>
      <c r="W744" s="78"/>
      <c r="X744" s="78"/>
    </row>
    <row r="745" spans="1:24">
      <c r="A745" s="34">
        <v>743</v>
      </c>
      <c r="I745" s="78"/>
      <c r="J745" s="78"/>
      <c r="K745" s="78"/>
      <c r="L745" s="78"/>
      <c r="V745" s="78"/>
      <c r="W745" s="78"/>
      <c r="X745" s="78"/>
    </row>
    <row r="746" spans="1:24">
      <c r="A746" s="34">
        <v>744</v>
      </c>
      <c r="I746" s="78"/>
      <c r="J746" s="78"/>
      <c r="K746" s="78"/>
      <c r="L746" s="78"/>
      <c r="V746" s="78"/>
      <c r="W746" s="78"/>
      <c r="X746" s="78"/>
    </row>
    <row r="747" spans="1:24">
      <c r="A747" s="34">
        <v>745</v>
      </c>
      <c r="I747" s="78"/>
      <c r="J747" s="78"/>
      <c r="K747" s="78"/>
      <c r="L747" s="78"/>
      <c r="V747" s="78"/>
      <c r="W747" s="78"/>
      <c r="X747" s="78"/>
    </row>
    <row r="748" spans="1:24">
      <c r="A748" s="34">
        <v>746</v>
      </c>
      <c r="I748" s="78"/>
      <c r="J748" s="78"/>
      <c r="K748" s="78"/>
      <c r="L748" s="78"/>
      <c r="V748" s="78"/>
      <c r="W748" s="78"/>
      <c r="X748" s="78"/>
    </row>
    <row r="749" spans="1:24">
      <c r="A749" s="34">
        <v>747</v>
      </c>
      <c r="I749" s="78"/>
      <c r="J749" s="78"/>
      <c r="K749" s="78"/>
      <c r="L749" s="78"/>
      <c r="V749" s="78"/>
      <c r="W749" s="78"/>
      <c r="X749" s="78"/>
    </row>
    <row r="750" spans="1:24">
      <c r="A750" s="34">
        <v>748</v>
      </c>
      <c r="I750" s="78"/>
      <c r="J750" s="78"/>
      <c r="K750" s="78"/>
      <c r="L750" s="78"/>
      <c r="V750" s="78"/>
      <c r="W750" s="78"/>
      <c r="X750" s="78"/>
    </row>
    <row r="751" spans="1:24">
      <c r="A751" s="34">
        <v>749</v>
      </c>
      <c r="I751" s="78"/>
      <c r="J751" s="78"/>
      <c r="K751" s="78"/>
      <c r="L751" s="78"/>
      <c r="V751" s="78"/>
      <c r="W751" s="78"/>
      <c r="X751" s="78"/>
    </row>
    <row r="752" spans="1:24">
      <c r="A752" s="34">
        <v>750</v>
      </c>
      <c r="I752" s="78"/>
      <c r="J752" s="78"/>
      <c r="K752" s="78"/>
      <c r="L752" s="78"/>
      <c r="V752" s="78"/>
      <c r="W752" s="78"/>
      <c r="X752" s="78"/>
    </row>
    <row r="753" spans="1:24">
      <c r="A753" s="34">
        <v>751</v>
      </c>
      <c r="I753" s="78"/>
      <c r="J753" s="78"/>
      <c r="K753" s="78"/>
      <c r="L753" s="78"/>
      <c r="V753" s="78"/>
      <c r="W753" s="78"/>
      <c r="X753" s="78"/>
    </row>
    <row r="754" spans="1:24">
      <c r="A754" s="34">
        <v>752</v>
      </c>
      <c r="I754" s="78"/>
      <c r="J754" s="78"/>
      <c r="K754" s="78"/>
      <c r="L754" s="78"/>
      <c r="V754" s="78"/>
      <c r="W754" s="78"/>
      <c r="X754" s="78"/>
    </row>
    <row r="755" spans="1:24">
      <c r="A755" s="34">
        <v>753</v>
      </c>
      <c r="I755" s="78"/>
      <c r="J755" s="78"/>
      <c r="K755" s="78"/>
      <c r="L755" s="78"/>
      <c r="V755" s="78"/>
      <c r="W755" s="78"/>
      <c r="X755" s="78"/>
    </row>
    <row r="756" spans="1:24">
      <c r="A756" s="34">
        <v>754</v>
      </c>
      <c r="I756" s="78"/>
      <c r="J756" s="78"/>
      <c r="K756" s="78"/>
      <c r="L756" s="78"/>
      <c r="V756" s="78"/>
      <c r="W756" s="78"/>
      <c r="X756" s="78"/>
    </row>
    <row r="757" spans="1:24">
      <c r="A757" s="34">
        <v>755</v>
      </c>
      <c r="I757" s="78"/>
      <c r="J757" s="78"/>
      <c r="K757" s="78"/>
      <c r="L757" s="78"/>
      <c r="V757" s="78"/>
      <c r="W757" s="78"/>
      <c r="X757" s="78"/>
    </row>
    <row r="758" spans="1:24">
      <c r="A758" s="34">
        <v>756</v>
      </c>
      <c r="I758" s="78"/>
      <c r="J758" s="78"/>
      <c r="K758" s="78"/>
      <c r="L758" s="78"/>
      <c r="V758" s="78"/>
      <c r="W758" s="78"/>
      <c r="X758" s="78"/>
    </row>
    <row r="759" spans="1:24">
      <c r="A759" s="34">
        <v>757</v>
      </c>
      <c r="I759" s="78"/>
      <c r="J759" s="78"/>
      <c r="K759" s="78"/>
      <c r="L759" s="78"/>
      <c r="V759" s="78"/>
      <c r="W759" s="78"/>
      <c r="X759" s="78"/>
    </row>
    <row r="760" spans="1:24">
      <c r="A760" s="34">
        <v>758</v>
      </c>
      <c r="I760" s="78"/>
      <c r="J760" s="78"/>
      <c r="K760" s="78"/>
      <c r="L760" s="78"/>
      <c r="V760" s="78"/>
      <c r="W760" s="78"/>
      <c r="X760" s="78"/>
    </row>
    <row r="761" spans="1:24">
      <c r="A761" s="34">
        <v>759</v>
      </c>
      <c r="I761" s="78"/>
      <c r="J761" s="78"/>
      <c r="K761" s="78"/>
      <c r="L761" s="78"/>
      <c r="V761" s="78"/>
      <c r="W761" s="78"/>
      <c r="X761" s="78"/>
    </row>
    <row r="762" spans="1:24">
      <c r="A762" s="34">
        <v>760</v>
      </c>
      <c r="I762" s="78"/>
      <c r="J762" s="78"/>
      <c r="K762" s="78"/>
      <c r="L762" s="78"/>
      <c r="V762" s="78"/>
      <c r="W762" s="78"/>
      <c r="X762" s="78"/>
    </row>
    <row r="763" spans="1:24">
      <c r="A763" s="34">
        <v>761</v>
      </c>
      <c r="I763" s="78"/>
      <c r="J763" s="78"/>
      <c r="K763" s="78"/>
      <c r="L763" s="78"/>
      <c r="V763" s="78"/>
      <c r="W763" s="78"/>
      <c r="X763" s="78"/>
    </row>
    <row r="764" spans="1:24">
      <c r="A764" s="34">
        <v>762</v>
      </c>
      <c r="I764" s="78"/>
      <c r="J764" s="78"/>
      <c r="K764" s="78"/>
      <c r="L764" s="78"/>
      <c r="V764" s="78"/>
      <c r="W764" s="78"/>
      <c r="X764" s="78"/>
    </row>
    <row r="765" spans="1:24">
      <c r="A765" s="34">
        <v>763</v>
      </c>
      <c r="I765" s="78"/>
      <c r="J765" s="78"/>
      <c r="K765" s="78"/>
      <c r="L765" s="78"/>
      <c r="V765" s="78"/>
      <c r="W765" s="78"/>
      <c r="X765" s="78"/>
    </row>
    <row r="766" spans="1:24">
      <c r="A766" s="34">
        <v>764</v>
      </c>
      <c r="I766" s="78"/>
      <c r="J766" s="78"/>
      <c r="K766" s="78"/>
      <c r="L766" s="78"/>
      <c r="V766" s="78"/>
      <c r="W766" s="78"/>
      <c r="X766" s="78"/>
    </row>
    <row r="767" spans="1:24">
      <c r="A767" s="34">
        <v>765</v>
      </c>
      <c r="I767" s="78"/>
      <c r="J767" s="78"/>
      <c r="K767" s="78"/>
      <c r="L767" s="78"/>
      <c r="V767" s="78"/>
      <c r="W767" s="78"/>
      <c r="X767" s="78"/>
    </row>
    <row r="768" spans="1:24">
      <c r="A768" s="34">
        <v>766</v>
      </c>
      <c r="I768" s="78"/>
      <c r="J768" s="78"/>
      <c r="K768" s="78"/>
      <c r="L768" s="78"/>
      <c r="V768" s="78"/>
      <c r="W768" s="78"/>
      <c r="X768" s="78"/>
    </row>
    <row r="769" spans="1:24">
      <c r="A769" s="34">
        <v>767</v>
      </c>
      <c r="I769" s="78"/>
      <c r="J769" s="78"/>
      <c r="K769" s="78"/>
      <c r="L769" s="78"/>
      <c r="V769" s="78"/>
      <c r="W769" s="78"/>
      <c r="X769" s="78"/>
    </row>
    <row r="770" spans="1:24">
      <c r="A770" s="34">
        <v>768</v>
      </c>
      <c r="I770" s="78"/>
      <c r="J770" s="78"/>
      <c r="K770" s="78"/>
      <c r="L770" s="78"/>
      <c r="V770" s="78"/>
      <c r="W770" s="78"/>
      <c r="X770" s="78"/>
    </row>
    <row r="771" spans="1:24">
      <c r="A771" s="34">
        <v>769</v>
      </c>
      <c r="I771" s="78"/>
      <c r="J771" s="78"/>
      <c r="K771" s="78"/>
      <c r="L771" s="78"/>
      <c r="V771" s="78"/>
      <c r="W771" s="78"/>
      <c r="X771" s="78"/>
    </row>
    <row r="772" spans="1:24">
      <c r="A772" s="34">
        <v>770</v>
      </c>
      <c r="I772" s="78"/>
      <c r="J772" s="78"/>
      <c r="K772" s="78"/>
      <c r="L772" s="78"/>
      <c r="V772" s="78"/>
      <c r="W772" s="78"/>
      <c r="X772" s="78"/>
    </row>
    <row r="773" spans="1:24">
      <c r="A773" s="34">
        <v>771</v>
      </c>
      <c r="I773" s="78"/>
      <c r="J773" s="78"/>
      <c r="K773" s="78"/>
      <c r="L773" s="78"/>
      <c r="V773" s="78"/>
      <c r="W773" s="78"/>
      <c r="X773" s="78"/>
    </row>
    <row r="774" spans="1:24">
      <c r="A774" s="34">
        <v>772</v>
      </c>
      <c r="I774" s="78"/>
      <c r="J774" s="78"/>
      <c r="K774" s="78"/>
      <c r="L774" s="78"/>
      <c r="V774" s="78"/>
      <c r="W774" s="78"/>
      <c r="X774" s="78"/>
    </row>
    <row r="775" spans="1:24">
      <c r="A775" s="34">
        <v>773</v>
      </c>
      <c r="I775" s="78"/>
      <c r="J775" s="78"/>
      <c r="K775" s="78"/>
      <c r="L775" s="78"/>
      <c r="V775" s="78"/>
      <c r="W775" s="78"/>
      <c r="X775" s="78"/>
    </row>
    <row r="776" spans="1:24">
      <c r="A776" s="34">
        <v>774</v>
      </c>
      <c r="I776" s="78"/>
      <c r="J776" s="78"/>
      <c r="K776" s="78"/>
      <c r="L776" s="78"/>
      <c r="V776" s="78"/>
      <c r="W776" s="78"/>
      <c r="X776" s="78"/>
    </row>
    <row r="777" spans="1:24">
      <c r="A777" s="34">
        <v>775</v>
      </c>
      <c r="I777" s="78"/>
      <c r="J777" s="78"/>
      <c r="K777" s="78"/>
      <c r="L777" s="78"/>
      <c r="V777" s="78"/>
      <c r="W777" s="78"/>
      <c r="X777" s="78"/>
    </row>
    <row r="778" spans="1:24">
      <c r="A778" s="34">
        <v>776</v>
      </c>
      <c r="I778" s="78"/>
      <c r="J778" s="78"/>
      <c r="K778" s="78"/>
      <c r="L778" s="78"/>
      <c r="V778" s="78"/>
      <c r="W778" s="78"/>
      <c r="X778" s="78"/>
    </row>
    <row r="779" spans="1:24">
      <c r="A779" s="34">
        <v>777</v>
      </c>
      <c r="I779" s="78"/>
      <c r="J779" s="78"/>
      <c r="K779" s="78"/>
      <c r="L779" s="78"/>
      <c r="V779" s="78"/>
      <c r="W779" s="78"/>
      <c r="X779" s="78"/>
    </row>
    <row r="780" spans="1:24">
      <c r="A780" s="34">
        <v>778</v>
      </c>
      <c r="I780" s="78"/>
      <c r="J780" s="78"/>
      <c r="K780" s="78"/>
      <c r="L780" s="78"/>
      <c r="V780" s="78"/>
      <c r="W780" s="78"/>
      <c r="X780" s="78"/>
    </row>
    <row r="781" spans="1:24">
      <c r="A781" s="34">
        <v>779</v>
      </c>
      <c r="I781" s="78"/>
      <c r="J781" s="78"/>
      <c r="K781" s="78"/>
      <c r="L781" s="78"/>
      <c r="V781" s="78"/>
      <c r="W781" s="78"/>
      <c r="X781" s="78"/>
    </row>
    <row r="782" spans="1:24">
      <c r="A782" s="34">
        <v>780</v>
      </c>
      <c r="I782" s="78"/>
      <c r="J782" s="78"/>
      <c r="K782" s="78"/>
      <c r="L782" s="78"/>
      <c r="V782" s="78"/>
      <c r="W782" s="78"/>
      <c r="X782" s="78"/>
    </row>
    <row r="783" spans="1:24">
      <c r="A783" s="34">
        <v>781</v>
      </c>
      <c r="I783" s="78"/>
      <c r="J783" s="78"/>
      <c r="K783" s="78"/>
      <c r="L783" s="78"/>
      <c r="V783" s="78"/>
      <c r="W783" s="78"/>
      <c r="X783" s="78"/>
    </row>
    <row r="784" spans="1:24">
      <c r="A784" s="34">
        <v>782</v>
      </c>
      <c r="I784" s="78"/>
      <c r="J784" s="78"/>
      <c r="K784" s="78"/>
      <c r="L784" s="78"/>
      <c r="V784" s="78"/>
      <c r="W784" s="78"/>
      <c r="X784" s="78"/>
    </row>
    <row r="785" spans="1:24">
      <c r="A785" s="34">
        <v>783</v>
      </c>
      <c r="I785" s="78"/>
      <c r="J785" s="78"/>
      <c r="K785" s="78"/>
      <c r="L785" s="78"/>
      <c r="V785" s="78"/>
      <c r="W785" s="78"/>
      <c r="X785" s="78"/>
    </row>
    <row r="786" spans="1:24">
      <c r="A786" s="34">
        <v>784</v>
      </c>
      <c r="I786" s="78"/>
      <c r="J786" s="78"/>
      <c r="K786" s="78"/>
      <c r="L786" s="78"/>
      <c r="V786" s="78"/>
      <c r="W786" s="78"/>
      <c r="X786" s="78"/>
    </row>
    <row r="787" spans="1:24">
      <c r="A787" s="34">
        <v>785</v>
      </c>
      <c r="I787" s="78"/>
      <c r="J787" s="78"/>
      <c r="K787" s="78"/>
      <c r="L787" s="78"/>
      <c r="V787" s="78"/>
      <c r="W787" s="78"/>
      <c r="X787" s="78"/>
    </row>
    <row r="788" spans="1:24">
      <c r="A788" s="34">
        <v>786</v>
      </c>
      <c r="I788" s="78"/>
      <c r="J788" s="78"/>
      <c r="K788" s="78"/>
      <c r="L788" s="78"/>
      <c r="V788" s="78"/>
      <c r="W788" s="78"/>
      <c r="X788" s="78"/>
    </row>
    <row r="789" spans="1:24">
      <c r="A789" s="34">
        <v>787</v>
      </c>
      <c r="I789" s="78"/>
      <c r="J789" s="78"/>
      <c r="K789" s="78"/>
      <c r="L789" s="78"/>
      <c r="V789" s="78"/>
      <c r="W789" s="78"/>
      <c r="X789" s="78"/>
    </row>
    <row r="790" spans="1:24">
      <c r="A790" s="34">
        <v>788</v>
      </c>
      <c r="I790" s="78"/>
      <c r="J790" s="78"/>
      <c r="K790" s="78"/>
      <c r="L790" s="78"/>
      <c r="V790" s="78"/>
      <c r="W790" s="78"/>
      <c r="X790" s="78"/>
    </row>
    <row r="791" spans="1:24">
      <c r="A791" s="34">
        <v>789</v>
      </c>
      <c r="I791" s="78"/>
      <c r="J791" s="78"/>
      <c r="K791" s="78"/>
      <c r="L791" s="78"/>
      <c r="V791" s="78"/>
      <c r="W791" s="78"/>
      <c r="X791" s="78"/>
    </row>
    <row r="792" spans="1:24">
      <c r="A792" s="34">
        <v>790</v>
      </c>
      <c r="I792" s="78"/>
      <c r="J792" s="78"/>
      <c r="K792" s="78"/>
      <c r="L792" s="78"/>
      <c r="V792" s="78"/>
      <c r="W792" s="78"/>
      <c r="X792" s="78"/>
    </row>
    <row r="793" spans="1:24">
      <c r="A793" s="34">
        <v>791</v>
      </c>
      <c r="I793" s="78"/>
      <c r="J793" s="78"/>
      <c r="K793" s="78"/>
      <c r="L793" s="78"/>
      <c r="V793" s="78"/>
      <c r="W793" s="78"/>
      <c r="X793" s="78"/>
    </row>
    <row r="794" spans="1:24">
      <c r="A794" s="34">
        <v>792</v>
      </c>
      <c r="I794" s="78"/>
      <c r="J794" s="78"/>
      <c r="K794" s="78"/>
      <c r="L794" s="78"/>
      <c r="V794" s="78"/>
      <c r="W794" s="78"/>
      <c r="X794" s="78"/>
    </row>
    <row r="795" spans="1:24">
      <c r="A795" s="34">
        <v>793</v>
      </c>
      <c r="I795" s="78"/>
      <c r="J795" s="78"/>
      <c r="K795" s="78"/>
      <c r="L795" s="78"/>
      <c r="V795" s="78"/>
      <c r="W795" s="78"/>
      <c r="X795" s="78"/>
    </row>
    <row r="796" spans="1:24">
      <c r="A796" s="34">
        <v>794</v>
      </c>
      <c r="I796" s="78"/>
      <c r="J796" s="78"/>
      <c r="K796" s="78"/>
      <c r="L796" s="78"/>
      <c r="V796" s="78"/>
      <c r="W796" s="78"/>
      <c r="X796" s="78"/>
    </row>
    <row r="797" spans="1:24">
      <c r="A797" s="34">
        <v>795</v>
      </c>
      <c r="I797" s="78"/>
      <c r="J797" s="78"/>
      <c r="K797" s="78"/>
      <c r="L797" s="78"/>
      <c r="V797" s="78"/>
      <c r="W797" s="78"/>
      <c r="X797" s="78"/>
    </row>
    <row r="798" spans="1:24">
      <c r="A798" s="34">
        <v>796</v>
      </c>
      <c r="I798" s="78"/>
      <c r="J798" s="78"/>
      <c r="K798" s="78"/>
      <c r="L798" s="78"/>
      <c r="V798" s="78"/>
      <c r="W798" s="78"/>
      <c r="X798" s="78"/>
    </row>
    <row r="799" spans="1:24">
      <c r="A799" s="34">
        <v>797</v>
      </c>
      <c r="I799" s="78"/>
      <c r="J799" s="78"/>
      <c r="K799" s="78"/>
      <c r="L799" s="78"/>
      <c r="V799" s="78"/>
      <c r="W799" s="78"/>
      <c r="X799" s="78"/>
    </row>
    <row r="800" spans="1:24">
      <c r="A800" s="34">
        <v>798</v>
      </c>
      <c r="I800" s="78"/>
      <c r="J800" s="78"/>
      <c r="K800" s="78"/>
      <c r="L800" s="78"/>
      <c r="V800" s="78"/>
      <c r="W800" s="78"/>
      <c r="X800" s="78"/>
    </row>
    <row r="801" spans="1:24">
      <c r="A801" s="34">
        <v>799</v>
      </c>
      <c r="I801" s="78"/>
      <c r="J801" s="78"/>
      <c r="K801" s="78"/>
      <c r="L801" s="78"/>
      <c r="V801" s="78"/>
      <c r="W801" s="78"/>
      <c r="X801" s="78"/>
    </row>
    <row r="802" spans="1:24">
      <c r="A802" s="34">
        <v>800</v>
      </c>
      <c r="I802" s="78"/>
      <c r="J802" s="78"/>
      <c r="K802" s="78"/>
      <c r="L802" s="78"/>
      <c r="V802" s="78"/>
      <c r="W802" s="78"/>
      <c r="X802" s="78"/>
    </row>
    <row r="803" spans="1:24">
      <c r="A803" s="34">
        <v>801</v>
      </c>
      <c r="I803" s="78"/>
      <c r="J803" s="78"/>
      <c r="K803" s="78"/>
      <c r="L803" s="78"/>
      <c r="V803" s="78"/>
      <c r="W803" s="78"/>
      <c r="X803" s="78"/>
    </row>
    <row r="804" spans="1:24">
      <c r="A804" s="34">
        <v>802</v>
      </c>
      <c r="I804" s="78"/>
      <c r="J804" s="78"/>
      <c r="K804" s="78"/>
      <c r="L804" s="78"/>
      <c r="V804" s="78"/>
      <c r="W804" s="78"/>
      <c r="X804" s="78"/>
    </row>
    <row r="805" spans="1:24">
      <c r="A805" s="34">
        <v>803</v>
      </c>
      <c r="I805" s="78"/>
      <c r="J805" s="78"/>
      <c r="K805" s="78"/>
      <c r="L805" s="78"/>
      <c r="V805" s="78"/>
      <c r="W805" s="78"/>
      <c r="X805" s="78"/>
    </row>
    <row r="806" spans="1:24">
      <c r="A806" s="34">
        <v>804</v>
      </c>
      <c r="I806" s="78"/>
      <c r="J806" s="78"/>
      <c r="K806" s="78"/>
      <c r="L806" s="78"/>
      <c r="V806" s="78"/>
      <c r="W806" s="78"/>
      <c r="X806" s="78"/>
    </row>
    <row r="807" spans="1:24">
      <c r="A807" s="34">
        <v>805</v>
      </c>
      <c r="I807" s="78"/>
      <c r="J807" s="78"/>
      <c r="K807" s="78"/>
      <c r="L807" s="78"/>
      <c r="V807" s="78"/>
      <c r="W807" s="78"/>
      <c r="X807" s="78"/>
    </row>
    <row r="808" spans="1:24">
      <c r="A808" s="34">
        <v>806</v>
      </c>
      <c r="I808" s="78"/>
      <c r="J808" s="78"/>
      <c r="K808" s="78"/>
      <c r="L808" s="78"/>
      <c r="V808" s="78"/>
      <c r="W808" s="78"/>
      <c r="X808" s="78"/>
    </row>
    <row r="809" spans="1:24">
      <c r="A809" s="34">
        <v>807</v>
      </c>
      <c r="I809" s="78"/>
      <c r="J809" s="78"/>
      <c r="K809" s="78"/>
      <c r="L809" s="78"/>
      <c r="V809" s="78"/>
      <c r="W809" s="78"/>
      <c r="X809" s="78"/>
    </row>
    <row r="810" spans="1:24">
      <c r="A810" s="34">
        <v>808</v>
      </c>
      <c r="I810" s="78"/>
      <c r="J810" s="78"/>
      <c r="K810" s="78"/>
      <c r="L810" s="78"/>
      <c r="V810" s="78"/>
      <c r="W810" s="78"/>
      <c r="X810" s="78"/>
    </row>
    <row r="811" spans="1:24">
      <c r="A811" s="34">
        <v>809</v>
      </c>
      <c r="I811" s="78"/>
      <c r="J811" s="78"/>
      <c r="K811" s="78"/>
      <c r="L811" s="78"/>
      <c r="V811" s="78"/>
      <c r="W811" s="78"/>
      <c r="X811" s="78"/>
    </row>
    <row r="812" spans="1:24">
      <c r="A812" s="34">
        <v>810</v>
      </c>
      <c r="I812" s="78"/>
      <c r="J812" s="78"/>
      <c r="K812" s="78"/>
      <c r="L812" s="78"/>
      <c r="V812" s="78"/>
      <c r="W812" s="78"/>
      <c r="X812" s="78"/>
    </row>
    <row r="813" spans="1:24">
      <c r="A813" s="34">
        <v>811</v>
      </c>
      <c r="I813" s="78"/>
      <c r="J813" s="78"/>
      <c r="K813" s="78"/>
      <c r="L813" s="78"/>
      <c r="V813" s="78"/>
      <c r="W813" s="78"/>
      <c r="X813" s="78"/>
    </row>
    <row r="814" spans="1:24">
      <c r="A814" s="34">
        <v>812</v>
      </c>
      <c r="I814" s="78"/>
      <c r="J814" s="78"/>
      <c r="K814" s="78"/>
      <c r="L814" s="78"/>
      <c r="V814" s="78"/>
      <c r="W814" s="78"/>
      <c r="X814" s="78"/>
    </row>
    <row r="815" spans="1:24">
      <c r="A815" s="34">
        <v>813</v>
      </c>
      <c r="I815" s="78"/>
      <c r="J815" s="78"/>
      <c r="K815" s="78"/>
      <c r="L815" s="78"/>
      <c r="V815" s="78"/>
      <c r="W815" s="78"/>
      <c r="X815" s="78"/>
    </row>
    <row r="816" spans="1:24">
      <c r="A816" s="34">
        <v>814</v>
      </c>
      <c r="I816" s="78"/>
      <c r="J816" s="78"/>
      <c r="K816" s="78"/>
      <c r="L816" s="78"/>
      <c r="V816" s="78"/>
      <c r="W816" s="78"/>
      <c r="X816" s="78"/>
    </row>
    <row r="817" spans="1:24">
      <c r="A817" s="34">
        <v>815</v>
      </c>
      <c r="I817" s="78"/>
      <c r="J817" s="78"/>
      <c r="K817" s="78"/>
      <c r="L817" s="78"/>
      <c r="V817" s="78"/>
      <c r="W817" s="78"/>
      <c r="X817" s="78"/>
    </row>
    <row r="818" spans="1:24">
      <c r="A818" s="34">
        <v>816</v>
      </c>
      <c r="I818" s="78"/>
      <c r="J818" s="78"/>
      <c r="K818" s="78"/>
      <c r="L818" s="78"/>
      <c r="V818" s="78"/>
      <c r="W818" s="78"/>
      <c r="X818" s="78"/>
    </row>
    <row r="819" spans="1:24">
      <c r="A819" s="34">
        <v>817</v>
      </c>
      <c r="I819" s="78"/>
      <c r="J819" s="78"/>
      <c r="K819" s="78"/>
      <c r="L819" s="78"/>
      <c r="V819" s="78"/>
      <c r="W819" s="78"/>
      <c r="X819" s="78"/>
    </row>
    <row r="820" spans="1:24">
      <c r="A820" s="34">
        <v>818</v>
      </c>
      <c r="I820" s="78"/>
      <c r="J820" s="78"/>
      <c r="K820" s="78"/>
      <c r="L820" s="78"/>
      <c r="V820" s="78"/>
      <c r="W820" s="78"/>
      <c r="X820" s="78"/>
    </row>
    <row r="821" spans="1:24">
      <c r="A821" s="34">
        <v>819</v>
      </c>
      <c r="I821" s="78"/>
      <c r="J821" s="78"/>
      <c r="K821" s="78"/>
      <c r="L821" s="78"/>
      <c r="V821" s="78"/>
      <c r="W821" s="78"/>
      <c r="X821" s="78"/>
    </row>
    <row r="822" spans="1:24">
      <c r="A822" s="34">
        <v>820</v>
      </c>
      <c r="I822" s="78"/>
      <c r="J822" s="78"/>
      <c r="K822" s="78"/>
      <c r="L822" s="78"/>
      <c r="V822" s="78"/>
      <c r="W822" s="78"/>
      <c r="X822" s="78"/>
    </row>
    <row r="823" spans="1:24">
      <c r="A823" s="34">
        <v>821</v>
      </c>
      <c r="I823" s="78"/>
      <c r="J823" s="78"/>
      <c r="K823" s="78"/>
      <c r="L823" s="78"/>
      <c r="V823" s="78"/>
      <c r="W823" s="78"/>
      <c r="X823" s="78"/>
    </row>
    <row r="824" spans="1:24">
      <c r="A824" s="34">
        <v>822</v>
      </c>
      <c r="I824" s="78"/>
      <c r="J824" s="78"/>
      <c r="K824" s="78"/>
      <c r="L824" s="78"/>
      <c r="V824" s="78"/>
      <c r="W824" s="78"/>
      <c r="X824" s="78"/>
    </row>
    <row r="825" spans="1:24">
      <c r="A825" s="34">
        <v>823</v>
      </c>
      <c r="I825" s="78"/>
      <c r="J825" s="78"/>
      <c r="K825" s="78"/>
      <c r="L825" s="78"/>
      <c r="V825" s="78"/>
      <c r="W825" s="78"/>
      <c r="X825" s="78"/>
    </row>
    <row r="826" spans="1:24">
      <c r="A826" s="34">
        <v>824</v>
      </c>
      <c r="I826" s="78"/>
      <c r="J826" s="78"/>
      <c r="K826" s="78"/>
      <c r="L826" s="78"/>
      <c r="V826" s="78"/>
      <c r="W826" s="78"/>
      <c r="X826" s="78"/>
    </row>
    <row r="827" spans="1:24">
      <c r="A827" s="34">
        <v>825</v>
      </c>
      <c r="I827" s="78"/>
      <c r="J827" s="78"/>
      <c r="K827" s="78"/>
      <c r="L827" s="78"/>
      <c r="V827" s="78"/>
      <c r="W827" s="78"/>
      <c r="X827" s="78"/>
    </row>
    <row r="828" spans="1:24">
      <c r="A828" s="34">
        <v>826</v>
      </c>
      <c r="I828" s="78"/>
      <c r="J828" s="78"/>
      <c r="K828" s="78"/>
      <c r="L828" s="78"/>
      <c r="V828" s="78"/>
      <c r="W828" s="78"/>
      <c r="X828" s="78"/>
    </row>
    <row r="829" spans="1:24">
      <c r="A829" s="34">
        <v>827</v>
      </c>
      <c r="I829" s="78"/>
      <c r="J829" s="78"/>
      <c r="K829" s="78"/>
      <c r="L829" s="78"/>
      <c r="V829" s="78"/>
      <c r="W829" s="78"/>
      <c r="X829" s="78"/>
    </row>
    <row r="830" spans="1:24">
      <c r="A830" s="34">
        <v>828</v>
      </c>
      <c r="I830" s="78"/>
      <c r="J830" s="78"/>
      <c r="K830" s="78"/>
      <c r="L830" s="78"/>
      <c r="V830" s="78"/>
      <c r="W830" s="78"/>
      <c r="X830" s="78"/>
    </row>
    <row r="831" spans="1:24">
      <c r="A831" s="34">
        <v>829</v>
      </c>
      <c r="I831" s="78"/>
      <c r="J831" s="78"/>
      <c r="K831" s="78"/>
      <c r="L831" s="78"/>
      <c r="V831" s="78"/>
      <c r="W831" s="78"/>
      <c r="X831" s="78"/>
    </row>
    <row r="832" spans="1:24">
      <c r="A832" s="34">
        <v>830</v>
      </c>
      <c r="I832" s="78"/>
      <c r="J832" s="78"/>
      <c r="K832" s="78"/>
      <c r="L832" s="78"/>
      <c r="V832" s="78"/>
      <c r="W832" s="78"/>
      <c r="X832" s="78"/>
    </row>
    <row r="833" spans="1:24">
      <c r="A833" s="34">
        <v>831</v>
      </c>
      <c r="I833" s="78"/>
      <c r="J833" s="78"/>
      <c r="K833" s="78"/>
      <c r="L833" s="78"/>
      <c r="V833" s="78"/>
      <c r="W833" s="78"/>
      <c r="X833" s="78"/>
    </row>
    <row r="834" spans="1:24">
      <c r="A834" s="34">
        <v>832</v>
      </c>
      <c r="I834" s="78"/>
      <c r="J834" s="78"/>
      <c r="K834" s="78"/>
      <c r="L834" s="78"/>
      <c r="V834" s="78"/>
      <c r="W834" s="78"/>
      <c r="X834" s="78"/>
    </row>
    <row r="835" spans="1:24">
      <c r="A835" s="34">
        <v>833</v>
      </c>
      <c r="I835" s="78"/>
      <c r="J835" s="78"/>
      <c r="K835" s="78"/>
      <c r="L835" s="78"/>
      <c r="V835" s="78"/>
      <c r="W835" s="78"/>
      <c r="X835" s="78"/>
    </row>
    <row r="836" spans="1:24">
      <c r="A836" s="34">
        <v>834</v>
      </c>
      <c r="I836" s="78"/>
      <c r="J836" s="78"/>
      <c r="K836" s="78"/>
      <c r="L836" s="78"/>
      <c r="V836" s="78"/>
      <c r="W836" s="78"/>
      <c r="X836" s="78"/>
    </row>
    <row r="837" spans="1:24">
      <c r="A837" s="34">
        <v>835</v>
      </c>
      <c r="I837" s="78"/>
      <c r="J837" s="78"/>
      <c r="K837" s="78"/>
      <c r="L837" s="78"/>
      <c r="V837" s="78"/>
      <c r="W837" s="78"/>
      <c r="X837" s="78"/>
    </row>
    <row r="838" spans="1:24">
      <c r="A838" s="34">
        <v>836</v>
      </c>
      <c r="I838" s="78"/>
      <c r="J838" s="78"/>
      <c r="K838" s="78"/>
      <c r="L838" s="78"/>
      <c r="V838" s="78"/>
      <c r="W838" s="78"/>
      <c r="X838" s="78"/>
    </row>
    <row r="839" spans="1:24">
      <c r="A839" s="34">
        <v>837</v>
      </c>
      <c r="I839" s="78"/>
      <c r="J839" s="78"/>
      <c r="K839" s="78"/>
      <c r="L839" s="78"/>
      <c r="V839" s="78"/>
      <c r="W839" s="78"/>
      <c r="X839" s="78"/>
    </row>
    <row r="840" spans="1:24">
      <c r="A840" s="34">
        <v>838</v>
      </c>
      <c r="I840" s="78"/>
      <c r="J840" s="78"/>
      <c r="K840" s="78"/>
      <c r="L840" s="78"/>
      <c r="V840" s="78"/>
      <c r="W840" s="78"/>
      <c r="X840" s="78"/>
    </row>
    <row r="841" spans="1:24">
      <c r="A841" s="34">
        <v>839</v>
      </c>
      <c r="I841" s="78"/>
      <c r="J841" s="78"/>
      <c r="K841" s="78"/>
      <c r="L841" s="78"/>
      <c r="V841" s="78"/>
      <c r="W841" s="78"/>
      <c r="X841" s="78"/>
    </row>
    <row r="842" spans="1:24">
      <c r="A842" s="34">
        <v>840</v>
      </c>
      <c r="I842" s="78"/>
      <c r="J842" s="78"/>
      <c r="K842" s="78"/>
      <c r="L842" s="78"/>
      <c r="V842" s="78"/>
      <c r="W842" s="78"/>
      <c r="X842" s="78"/>
    </row>
    <row r="843" spans="1:24">
      <c r="A843" s="34">
        <v>841</v>
      </c>
      <c r="I843" s="78"/>
      <c r="J843" s="78"/>
      <c r="K843" s="78"/>
      <c r="L843" s="78"/>
      <c r="V843" s="78"/>
      <c r="W843" s="78"/>
      <c r="X843" s="78"/>
    </row>
    <row r="844" spans="1:24">
      <c r="A844" s="34">
        <v>842</v>
      </c>
      <c r="I844" s="78"/>
      <c r="J844" s="78"/>
      <c r="K844" s="78"/>
      <c r="L844" s="78"/>
      <c r="V844" s="78"/>
      <c r="W844" s="78"/>
      <c r="X844" s="78"/>
    </row>
    <row r="845" spans="1:24">
      <c r="A845" s="34">
        <v>843</v>
      </c>
      <c r="I845" s="78"/>
      <c r="J845" s="78"/>
      <c r="K845" s="78"/>
      <c r="L845" s="78"/>
      <c r="V845" s="78"/>
      <c r="W845" s="78"/>
      <c r="X845" s="78"/>
    </row>
    <row r="846" spans="1:24">
      <c r="A846" s="34">
        <v>844</v>
      </c>
      <c r="I846" s="78"/>
      <c r="J846" s="78"/>
      <c r="K846" s="78"/>
      <c r="L846" s="78"/>
      <c r="V846" s="78"/>
      <c r="W846" s="78"/>
      <c r="X846" s="78"/>
    </row>
    <row r="847" spans="1:24">
      <c r="A847" s="34">
        <v>845</v>
      </c>
      <c r="I847" s="78"/>
      <c r="J847" s="78"/>
      <c r="K847" s="78"/>
      <c r="L847" s="78"/>
      <c r="V847" s="78"/>
      <c r="W847" s="78"/>
      <c r="X847" s="78"/>
    </row>
    <row r="848" spans="1:24">
      <c r="A848" s="34">
        <v>846</v>
      </c>
      <c r="I848" s="78"/>
      <c r="J848" s="78"/>
      <c r="K848" s="78"/>
      <c r="L848" s="78"/>
      <c r="V848" s="78"/>
      <c r="W848" s="78"/>
      <c r="X848" s="78"/>
    </row>
    <row r="849" spans="1:24">
      <c r="A849" s="34">
        <v>847</v>
      </c>
      <c r="I849" s="78"/>
      <c r="J849" s="78"/>
      <c r="K849" s="78"/>
      <c r="L849" s="78"/>
      <c r="V849" s="78"/>
      <c r="W849" s="78"/>
      <c r="X849" s="78"/>
    </row>
    <row r="850" spans="1:24">
      <c r="A850" s="34">
        <v>848</v>
      </c>
      <c r="I850" s="78"/>
      <c r="J850" s="78"/>
      <c r="K850" s="78"/>
      <c r="L850" s="78"/>
      <c r="V850" s="78"/>
      <c r="W850" s="78"/>
      <c r="X850" s="78"/>
    </row>
    <row r="851" spans="1:24">
      <c r="A851" s="34">
        <v>849</v>
      </c>
      <c r="I851" s="78"/>
      <c r="J851" s="78"/>
      <c r="K851" s="78"/>
      <c r="L851" s="78"/>
      <c r="V851" s="78"/>
      <c r="W851" s="78"/>
      <c r="X851" s="78"/>
    </row>
    <row r="852" spans="1:24">
      <c r="A852" s="34">
        <v>850</v>
      </c>
      <c r="I852" s="78"/>
      <c r="J852" s="78"/>
      <c r="K852" s="78"/>
      <c r="L852" s="78"/>
      <c r="V852" s="78"/>
      <c r="W852" s="78"/>
      <c r="X852" s="78"/>
    </row>
    <row r="853" spans="1:24">
      <c r="A853" s="34">
        <v>851</v>
      </c>
      <c r="I853" s="78"/>
      <c r="J853" s="78"/>
      <c r="K853" s="78"/>
      <c r="L853" s="78"/>
      <c r="V853" s="78"/>
      <c r="W853" s="78"/>
      <c r="X853" s="78"/>
    </row>
    <row r="854" spans="1:24">
      <c r="A854" s="34">
        <v>852</v>
      </c>
      <c r="I854" s="78"/>
      <c r="J854" s="78"/>
      <c r="K854" s="78"/>
      <c r="L854" s="78"/>
      <c r="V854" s="78"/>
      <c r="W854" s="78"/>
      <c r="X854" s="78"/>
    </row>
    <row r="855" spans="1:24">
      <c r="A855" s="34">
        <v>853</v>
      </c>
      <c r="I855" s="78"/>
      <c r="J855" s="78"/>
      <c r="K855" s="78"/>
      <c r="L855" s="78"/>
      <c r="V855" s="78"/>
      <c r="W855" s="78"/>
      <c r="X855" s="78"/>
    </row>
    <row r="856" spans="1:24">
      <c r="A856" s="34">
        <v>854</v>
      </c>
      <c r="I856" s="78"/>
      <c r="J856" s="78"/>
      <c r="K856" s="78"/>
      <c r="L856" s="78"/>
      <c r="V856" s="78"/>
      <c r="W856" s="78"/>
      <c r="X856" s="78"/>
    </row>
    <row r="857" spans="1:24">
      <c r="A857" s="34">
        <v>855</v>
      </c>
      <c r="I857" s="78"/>
      <c r="J857" s="78"/>
      <c r="K857" s="78"/>
      <c r="L857" s="78"/>
      <c r="V857" s="78"/>
      <c r="W857" s="78"/>
      <c r="X857" s="78"/>
    </row>
    <row r="858" spans="1:24">
      <c r="A858" s="34">
        <v>856</v>
      </c>
      <c r="I858" s="78"/>
      <c r="J858" s="78"/>
      <c r="K858" s="78"/>
      <c r="L858" s="78"/>
      <c r="V858" s="78"/>
      <c r="W858" s="78"/>
      <c r="X858" s="78"/>
    </row>
    <row r="859" spans="1:24">
      <c r="A859" s="34">
        <v>857</v>
      </c>
      <c r="I859" s="78"/>
      <c r="J859" s="78"/>
      <c r="K859" s="78"/>
      <c r="L859" s="78"/>
      <c r="V859" s="78"/>
      <c r="W859" s="78"/>
      <c r="X859" s="78"/>
    </row>
    <row r="860" spans="1:24">
      <c r="A860" s="34">
        <v>858</v>
      </c>
      <c r="I860" s="78"/>
      <c r="J860" s="78"/>
      <c r="K860" s="78"/>
      <c r="L860" s="78"/>
      <c r="V860" s="78"/>
      <c r="W860" s="78"/>
      <c r="X860" s="78"/>
    </row>
    <row r="861" spans="1:24">
      <c r="A861" s="34">
        <v>859</v>
      </c>
      <c r="I861" s="78"/>
      <c r="J861" s="78"/>
      <c r="K861" s="78"/>
      <c r="L861" s="78"/>
      <c r="V861" s="78"/>
      <c r="W861" s="78"/>
      <c r="X861" s="78"/>
    </row>
    <row r="862" spans="1:24">
      <c r="A862" s="34">
        <v>860</v>
      </c>
      <c r="I862" s="78"/>
      <c r="J862" s="78"/>
      <c r="K862" s="78"/>
      <c r="L862" s="78"/>
      <c r="V862" s="78"/>
      <c r="W862" s="78"/>
      <c r="X862" s="78"/>
    </row>
    <row r="863" spans="1:24">
      <c r="A863" s="34">
        <v>861</v>
      </c>
      <c r="I863" s="78"/>
      <c r="J863" s="78"/>
      <c r="K863" s="78"/>
      <c r="L863" s="78"/>
      <c r="V863" s="78"/>
      <c r="W863" s="78"/>
      <c r="X863" s="78"/>
    </row>
    <row r="864" spans="1:24">
      <c r="A864" s="34">
        <v>862</v>
      </c>
      <c r="I864" s="78"/>
      <c r="J864" s="78"/>
      <c r="K864" s="78"/>
      <c r="L864" s="78"/>
      <c r="V864" s="78"/>
      <c r="W864" s="78"/>
      <c r="X864" s="78"/>
    </row>
    <row r="865" spans="1:24">
      <c r="A865" s="34">
        <v>863</v>
      </c>
      <c r="I865" s="78"/>
      <c r="J865" s="78"/>
      <c r="K865" s="78"/>
      <c r="L865" s="78"/>
      <c r="V865" s="78"/>
      <c r="W865" s="78"/>
      <c r="X865" s="78"/>
    </row>
    <row r="866" spans="1:24">
      <c r="A866" s="34">
        <v>864</v>
      </c>
      <c r="I866" s="78"/>
      <c r="J866" s="78"/>
      <c r="K866" s="78"/>
      <c r="L866" s="78"/>
      <c r="V866" s="78"/>
      <c r="W866" s="78"/>
      <c r="X866" s="78"/>
    </row>
    <row r="867" spans="1:24">
      <c r="A867" s="34">
        <v>865</v>
      </c>
      <c r="I867" s="78"/>
      <c r="J867" s="78"/>
      <c r="K867" s="78"/>
      <c r="L867" s="78"/>
      <c r="V867" s="78"/>
      <c r="W867" s="78"/>
      <c r="X867" s="78"/>
    </row>
    <row r="868" spans="1:24">
      <c r="A868" s="34">
        <v>866</v>
      </c>
      <c r="I868" s="78"/>
      <c r="J868" s="78"/>
      <c r="K868" s="78"/>
      <c r="L868" s="78"/>
      <c r="V868" s="78"/>
      <c r="W868" s="78"/>
      <c r="X868" s="78"/>
    </row>
    <row r="869" spans="1:24">
      <c r="A869" s="34">
        <v>867</v>
      </c>
      <c r="I869" s="78"/>
      <c r="J869" s="78"/>
      <c r="K869" s="78"/>
      <c r="L869" s="78"/>
      <c r="V869" s="78"/>
      <c r="W869" s="78"/>
      <c r="X869" s="78"/>
    </row>
    <row r="870" spans="1:24">
      <c r="A870" s="34">
        <v>868</v>
      </c>
      <c r="I870" s="78"/>
      <c r="J870" s="78"/>
      <c r="K870" s="78"/>
      <c r="L870" s="78"/>
      <c r="V870" s="78"/>
      <c r="W870" s="78"/>
      <c r="X870" s="78"/>
    </row>
    <row r="871" spans="1:24">
      <c r="A871" s="34">
        <v>869</v>
      </c>
      <c r="I871" s="78"/>
      <c r="J871" s="78"/>
      <c r="K871" s="78"/>
      <c r="L871" s="78"/>
      <c r="V871" s="78"/>
      <c r="W871" s="78"/>
      <c r="X871" s="78"/>
    </row>
    <row r="872" spans="1:24">
      <c r="A872" s="34">
        <v>870</v>
      </c>
      <c r="I872" s="78"/>
      <c r="J872" s="78"/>
      <c r="K872" s="78"/>
      <c r="L872" s="78"/>
      <c r="V872" s="78"/>
      <c r="W872" s="78"/>
      <c r="X872" s="78"/>
    </row>
    <row r="873" spans="1:24">
      <c r="A873" s="34">
        <v>871</v>
      </c>
      <c r="I873" s="78"/>
      <c r="J873" s="78"/>
      <c r="K873" s="78"/>
      <c r="L873" s="78"/>
      <c r="V873" s="78"/>
      <c r="W873" s="78"/>
      <c r="X873" s="78"/>
    </row>
    <row r="874" spans="1:24">
      <c r="A874" s="34">
        <v>872</v>
      </c>
      <c r="I874" s="78"/>
      <c r="J874" s="78"/>
      <c r="K874" s="78"/>
      <c r="L874" s="78"/>
      <c r="V874" s="78"/>
      <c r="W874" s="78"/>
      <c r="X874" s="78"/>
    </row>
    <row r="875" spans="1:24">
      <c r="A875" s="34">
        <v>873</v>
      </c>
      <c r="I875" s="78"/>
      <c r="J875" s="78"/>
      <c r="K875" s="78"/>
      <c r="L875" s="78"/>
      <c r="V875" s="78"/>
      <c r="W875" s="78"/>
      <c r="X875" s="78"/>
    </row>
    <row r="876" spans="1:24">
      <c r="A876" s="34">
        <v>874</v>
      </c>
      <c r="I876" s="78"/>
      <c r="J876" s="78"/>
      <c r="K876" s="78"/>
      <c r="L876" s="78"/>
      <c r="V876" s="78"/>
      <c r="W876" s="78"/>
      <c r="X876" s="78"/>
    </row>
    <row r="877" spans="1:24">
      <c r="A877" s="34">
        <v>875</v>
      </c>
      <c r="I877" s="78"/>
      <c r="J877" s="78"/>
      <c r="K877" s="78"/>
      <c r="L877" s="78"/>
      <c r="V877" s="78"/>
      <c r="W877" s="78"/>
      <c r="X877" s="78"/>
    </row>
    <row r="878" spans="1:24">
      <c r="A878" s="34">
        <v>876</v>
      </c>
      <c r="I878" s="78"/>
      <c r="J878" s="78"/>
      <c r="K878" s="78"/>
      <c r="L878" s="78"/>
      <c r="V878" s="78"/>
      <c r="W878" s="78"/>
      <c r="X878" s="78"/>
    </row>
    <row r="879" spans="1:24">
      <c r="A879" s="34">
        <v>877</v>
      </c>
      <c r="I879" s="78"/>
      <c r="J879" s="78"/>
      <c r="K879" s="78"/>
      <c r="L879" s="78"/>
      <c r="V879" s="78"/>
      <c r="W879" s="78"/>
      <c r="X879" s="78"/>
    </row>
    <row r="880" spans="1:24">
      <c r="A880" s="34">
        <v>878</v>
      </c>
      <c r="I880" s="78"/>
      <c r="J880" s="78"/>
      <c r="K880" s="78"/>
      <c r="L880" s="78"/>
      <c r="V880" s="78"/>
      <c r="W880" s="78"/>
      <c r="X880" s="78"/>
    </row>
    <row r="881" spans="1:24">
      <c r="A881" s="34">
        <v>879</v>
      </c>
      <c r="I881" s="78"/>
      <c r="J881" s="78"/>
      <c r="K881" s="78"/>
      <c r="L881" s="78"/>
      <c r="V881" s="78"/>
      <c r="W881" s="78"/>
      <c r="X881" s="78"/>
    </row>
    <row r="882" spans="1:24">
      <c r="A882" s="34">
        <v>880</v>
      </c>
      <c r="I882" s="78"/>
      <c r="J882" s="78"/>
      <c r="K882" s="78"/>
      <c r="L882" s="78"/>
      <c r="V882" s="78"/>
      <c r="W882" s="78"/>
      <c r="X882" s="78"/>
    </row>
    <row r="883" spans="1:24">
      <c r="A883" s="34">
        <v>881</v>
      </c>
      <c r="I883" s="78"/>
      <c r="J883" s="78"/>
      <c r="K883" s="78"/>
      <c r="L883" s="78"/>
      <c r="V883" s="78"/>
      <c r="W883" s="78"/>
      <c r="X883" s="78"/>
    </row>
    <row r="884" spans="1:24">
      <c r="A884" s="34">
        <v>882</v>
      </c>
      <c r="I884" s="78"/>
      <c r="J884" s="78"/>
      <c r="K884" s="78"/>
      <c r="L884" s="78"/>
      <c r="V884" s="78"/>
      <c r="W884" s="78"/>
      <c r="X884" s="78"/>
    </row>
    <row r="885" spans="1:24">
      <c r="A885" s="34">
        <v>883</v>
      </c>
      <c r="I885" s="78"/>
      <c r="J885" s="78"/>
      <c r="K885" s="78"/>
      <c r="L885" s="78"/>
      <c r="V885" s="78"/>
      <c r="W885" s="78"/>
      <c r="X885" s="78"/>
    </row>
    <row r="886" spans="1:24">
      <c r="A886" s="34">
        <v>884</v>
      </c>
      <c r="I886" s="78"/>
      <c r="J886" s="78"/>
      <c r="K886" s="78"/>
      <c r="L886" s="78"/>
      <c r="V886" s="78"/>
      <c r="W886" s="78"/>
      <c r="X886" s="78"/>
    </row>
    <row r="887" spans="1:24">
      <c r="A887" s="34">
        <v>885</v>
      </c>
      <c r="I887" s="78"/>
      <c r="J887" s="78"/>
      <c r="K887" s="78"/>
      <c r="L887" s="78"/>
      <c r="V887" s="78"/>
      <c r="W887" s="78"/>
      <c r="X887" s="78"/>
    </row>
    <row r="888" spans="1:24">
      <c r="A888" s="34">
        <v>886</v>
      </c>
      <c r="I888" s="78"/>
      <c r="J888" s="78"/>
      <c r="K888" s="78"/>
      <c r="L888" s="78"/>
      <c r="V888" s="78"/>
      <c r="W888" s="78"/>
      <c r="X888" s="78"/>
    </row>
    <row r="889" spans="1:24">
      <c r="A889" s="34">
        <v>887</v>
      </c>
      <c r="I889" s="78"/>
      <c r="J889" s="78"/>
      <c r="K889" s="78"/>
      <c r="L889" s="78"/>
      <c r="V889" s="78"/>
      <c r="W889" s="78"/>
      <c r="X889" s="78"/>
    </row>
    <row r="890" spans="1:24">
      <c r="A890" s="34">
        <v>888</v>
      </c>
      <c r="I890" s="78"/>
      <c r="J890" s="78"/>
      <c r="K890" s="78"/>
      <c r="L890" s="78"/>
      <c r="V890" s="78"/>
      <c r="W890" s="78"/>
      <c r="X890" s="78"/>
    </row>
    <row r="891" spans="1:24">
      <c r="A891" s="34">
        <v>889</v>
      </c>
      <c r="I891" s="78"/>
      <c r="J891" s="78"/>
      <c r="K891" s="78"/>
      <c r="L891" s="78"/>
      <c r="V891" s="78"/>
      <c r="W891" s="78"/>
      <c r="X891" s="78"/>
    </row>
    <row r="892" spans="1:24">
      <c r="A892" s="34">
        <v>890</v>
      </c>
      <c r="I892" s="78"/>
      <c r="J892" s="78"/>
      <c r="K892" s="78"/>
      <c r="L892" s="78"/>
      <c r="V892" s="78"/>
      <c r="W892" s="78"/>
      <c r="X892" s="78"/>
    </row>
    <row r="893" spans="1:24">
      <c r="A893" s="34">
        <v>891</v>
      </c>
      <c r="I893" s="78"/>
      <c r="J893" s="78"/>
      <c r="K893" s="78"/>
      <c r="L893" s="78"/>
      <c r="V893" s="78"/>
      <c r="W893" s="78"/>
      <c r="X893" s="78"/>
    </row>
    <row r="894" spans="1:24">
      <c r="A894" s="34">
        <v>892</v>
      </c>
      <c r="I894" s="78"/>
      <c r="J894" s="78"/>
      <c r="K894" s="78"/>
      <c r="L894" s="78"/>
      <c r="V894" s="78"/>
      <c r="W894" s="78"/>
      <c r="X894" s="78"/>
    </row>
    <row r="895" spans="1:24">
      <c r="A895" s="34">
        <v>893</v>
      </c>
      <c r="I895" s="78"/>
      <c r="J895" s="78"/>
      <c r="K895" s="78"/>
      <c r="L895" s="78"/>
      <c r="V895" s="78"/>
      <c r="W895" s="78"/>
      <c r="X895" s="78"/>
    </row>
    <row r="896" spans="1:24">
      <c r="A896" s="34">
        <v>894</v>
      </c>
      <c r="I896" s="78"/>
      <c r="J896" s="78"/>
      <c r="K896" s="78"/>
      <c r="L896" s="78"/>
      <c r="V896" s="78"/>
      <c r="W896" s="78"/>
      <c r="X896" s="78"/>
    </row>
    <row r="897" spans="1:24">
      <c r="A897" s="34">
        <v>895</v>
      </c>
      <c r="I897" s="78"/>
      <c r="J897" s="78"/>
      <c r="K897" s="78"/>
      <c r="L897" s="78"/>
      <c r="V897" s="78"/>
      <c r="W897" s="78"/>
      <c r="X897" s="78"/>
    </row>
    <row r="898" spans="1:24">
      <c r="A898" s="34">
        <v>896</v>
      </c>
      <c r="I898" s="78"/>
      <c r="J898" s="78"/>
      <c r="K898" s="78"/>
      <c r="L898" s="78"/>
      <c r="V898" s="78"/>
      <c r="W898" s="78"/>
      <c r="X898" s="78"/>
    </row>
    <row r="899" spans="1:24">
      <c r="A899" s="34">
        <v>897</v>
      </c>
      <c r="I899" s="78"/>
      <c r="J899" s="78"/>
      <c r="K899" s="78"/>
      <c r="L899" s="78"/>
      <c r="V899" s="78"/>
      <c r="W899" s="78"/>
      <c r="X899" s="78"/>
    </row>
    <row r="900" spans="1:24">
      <c r="A900" s="34">
        <v>898</v>
      </c>
      <c r="I900" s="78"/>
      <c r="J900" s="78"/>
      <c r="K900" s="78"/>
      <c r="L900" s="78"/>
      <c r="V900" s="78"/>
      <c r="W900" s="78"/>
      <c r="X900" s="78"/>
    </row>
    <row r="901" spans="1:24">
      <c r="A901" s="34">
        <v>899</v>
      </c>
      <c r="I901" s="78"/>
      <c r="J901" s="78"/>
      <c r="K901" s="78"/>
      <c r="L901" s="78"/>
      <c r="V901" s="78"/>
      <c r="W901" s="78"/>
      <c r="X901" s="78"/>
    </row>
    <row r="902" spans="1:24">
      <c r="A902" s="34">
        <v>900</v>
      </c>
      <c r="I902" s="78"/>
      <c r="J902" s="78"/>
      <c r="K902" s="78"/>
      <c r="L902" s="78"/>
      <c r="V902" s="78"/>
      <c r="W902" s="78"/>
      <c r="X902" s="78"/>
    </row>
    <row r="903" spans="1:24">
      <c r="A903" s="34">
        <v>901</v>
      </c>
      <c r="I903" s="78"/>
      <c r="J903" s="78"/>
      <c r="K903" s="78"/>
      <c r="L903" s="78"/>
      <c r="V903" s="78"/>
      <c r="W903" s="78"/>
      <c r="X903" s="78"/>
    </row>
    <row r="904" spans="1:24">
      <c r="A904" s="34">
        <v>902</v>
      </c>
      <c r="I904" s="78"/>
      <c r="J904" s="78"/>
      <c r="K904" s="78"/>
      <c r="L904" s="78"/>
      <c r="V904" s="78"/>
      <c r="W904" s="78"/>
      <c r="X904" s="78"/>
    </row>
    <row r="905" spans="1:24">
      <c r="A905" s="34">
        <v>903</v>
      </c>
      <c r="I905" s="78"/>
      <c r="J905" s="78"/>
      <c r="K905" s="78"/>
      <c r="L905" s="78"/>
      <c r="V905" s="78"/>
      <c r="W905" s="78"/>
      <c r="X905" s="78"/>
    </row>
    <row r="906" spans="1:24">
      <c r="A906" s="34">
        <v>904</v>
      </c>
      <c r="I906" s="78"/>
      <c r="J906" s="78"/>
      <c r="K906" s="78"/>
      <c r="L906" s="78"/>
      <c r="V906" s="78"/>
      <c r="W906" s="78"/>
      <c r="X906" s="78"/>
    </row>
    <row r="907" spans="1:24">
      <c r="A907" s="34">
        <v>905</v>
      </c>
      <c r="I907" s="78"/>
      <c r="J907" s="78"/>
      <c r="K907" s="78"/>
      <c r="L907" s="78"/>
      <c r="V907" s="78"/>
      <c r="W907" s="78"/>
      <c r="X907" s="78"/>
    </row>
    <row r="908" spans="1:24">
      <c r="A908" s="34">
        <v>906</v>
      </c>
      <c r="I908" s="78"/>
      <c r="J908" s="78"/>
      <c r="K908" s="78"/>
      <c r="L908" s="78"/>
      <c r="V908" s="78"/>
      <c r="W908" s="78"/>
      <c r="X908" s="78"/>
    </row>
    <row r="909" spans="1:24">
      <c r="A909" s="34">
        <v>907</v>
      </c>
      <c r="I909" s="78"/>
      <c r="J909" s="78"/>
      <c r="K909" s="78"/>
      <c r="L909" s="78"/>
      <c r="V909" s="78"/>
      <c r="W909" s="78"/>
      <c r="X909" s="78"/>
    </row>
    <row r="910" spans="1:24">
      <c r="A910" s="34">
        <v>908</v>
      </c>
      <c r="I910" s="78"/>
      <c r="J910" s="78"/>
      <c r="K910" s="78"/>
      <c r="L910" s="78"/>
      <c r="V910" s="78"/>
      <c r="W910" s="78"/>
      <c r="X910" s="78"/>
    </row>
    <row r="911" spans="1:24">
      <c r="A911" s="34">
        <v>909</v>
      </c>
      <c r="I911" s="78"/>
      <c r="J911" s="78"/>
      <c r="K911" s="78"/>
      <c r="L911" s="78"/>
      <c r="V911" s="78"/>
      <c r="W911" s="78"/>
      <c r="X911" s="78"/>
    </row>
    <row r="912" spans="1:24">
      <c r="A912" s="34">
        <v>910</v>
      </c>
      <c r="I912" s="78"/>
      <c r="J912" s="78"/>
      <c r="K912" s="78"/>
      <c r="L912" s="78"/>
      <c r="V912" s="78"/>
      <c r="W912" s="78"/>
      <c r="X912" s="78"/>
    </row>
    <row r="913" spans="1:24">
      <c r="A913" s="34">
        <v>911</v>
      </c>
      <c r="I913" s="78"/>
      <c r="J913" s="78"/>
      <c r="K913" s="78"/>
      <c r="L913" s="78"/>
      <c r="V913" s="78"/>
      <c r="W913" s="78"/>
      <c r="X913" s="78"/>
    </row>
    <row r="914" spans="1:24">
      <c r="A914" s="34">
        <v>912</v>
      </c>
      <c r="I914" s="78"/>
      <c r="J914" s="78"/>
      <c r="K914" s="78"/>
      <c r="L914" s="78"/>
      <c r="V914" s="78"/>
      <c r="W914" s="78"/>
      <c r="X914" s="78"/>
    </row>
    <row r="915" spans="1:24">
      <c r="A915" s="34">
        <v>913</v>
      </c>
      <c r="I915" s="78"/>
      <c r="J915" s="78"/>
      <c r="K915" s="78"/>
      <c r="L915" s="78"/>
      <c r="V915" s="78"/>
      <c r="W915" s="78"/>
      <c r="X915" s="78"/>
    </row>
    <row r="916" spans="1:24">
      <c r="A916" s="34">
        <v>914</v>
      </c>
      <c r="I916" s="78"/>
      <c r="J916" s="78"/>
      <c r="K916" s="78"/>
      <c r="L916" s="78"/>
      <c r="V916" s="78"/>
      <c r="W916" s="78"/>
      <c r="X916" s="78"/>
    </row>
    <row r="917" spans="1:24">
      <c r="A917" s="34">
        <v>915</v>
      </c>
      <c r="I917" s="78"/>
      <c r="J917" s="78"/>
      <c r="K917" s="78"/>
      <c r="L917" s="78"/>
      <c r="V917" s="78"/>
      <c r="W917" s="78"/>
      <c r="X917" s="78"/>
    </row>
    <row r="918" spans="1:24">
      <c r="A918" s="34">
        <v>916</v>
      </c>
      <c r="I918" s="78"/>
      <c r="J918" s="78"/>
      <c r="K918" s="78"/>
      <c r="L918" s="78"/>
      <c r="V918" s="78"/>
      <c r="W918" s="78"/>
      <c r="X918" s="78"/>
    </row>
    <row r="919" spans="1:24">
      <c r="A919" s="34">
        <v>917</v>
      </c>
      <c r="I919" s="78"/>
      <c r="J919" s="78"/>
      <c r="K919" s="78"/>
      <c r="L919" s="78"/>
      <c r="V919" s="78"/>
      <c r="W919" s="78"/>
      <c r="X919" s="78"/>
    </row>
    <row r="920" spans="1:24">
      <c r="A920" s="34">
        <v>918</v>
      </c>
      <c r="I920" s="78"/>
      <c r="J920" s="78"/>
      <c r="K920" s="78"/>
      <c r="L920" s="78"/>
      <c r="V920" s="78"/>
      <c r="W920" s="78"/>
      <c r="X920" s="78"/>
    </row>
    <row r="921" spans="1:24">
      <c r="A921" s="34">
        <v>919</v>
      </c>
      <c r="I921" s="78"/>
      <c r="J921" s="78"/>
      <c r="K921" s="78"/>
      <c r="L921" s="78"/>
      <c r="V921" s="78"/>
      <c r="W921" s="78"/>
      <c r="X921" s="78"/>
    </row>
    <row r="922" spans="1:24">
      <c r="A922" s="34">
        <v>920</v>
      </c>
      <c r="I922" s="78"/>
      <c r="J922" s="78"/>
      <c r="K922" s="78"/>
      <c r="L922" s="78"/>
      <c r="V922" s="78"/>
      <c r="W922" s="78"/>
      <c r="X922" s="78"/>
    </row>
    <row r="923" spans="1:24">
      <c r="A923" s="34">
        <v>921</v>
      </c>
      <c r="I923" s="78"/>
      <c r="J923" s="78"/>
      <c r="K923" s="78"/>
      <c r="L923" s="78"/>
      <c r="V923" s="78"/>
      <c r="W923" s="78"/>
      <c r="X923" s="78"/>
    </row>
    <row r="924" spans="1:24">
      <c r="A924" s="34">
        <v>922</v>
      </c>
      <c r="I924" s="78"/>
      <c r="J924" s="78"/>
      <c r="K924" s="78"/>
      <c r="L924" s="78"/>
      <c r="V924" s="78"/>
      <c r="W924" s="78"/>
      <c r="X924" s="78"/>
    </row>
    <row r="925" spans="1:24">
      <c r="A925" s="34">
        <v>923</v>
      </c>
      <c r="I925" s="78"/>
      <c r="J925" s="78"/>
      <c r="K925" s="78"/>
      <c r="L925" s="78"/>
      <c r="V925" s="78"/>
      <c r="W925" s="78"/>
      <c r="X925" s="78"/>
    </row>
    <row r="926" spans="1:24">
      <c r="A926" s="34">
        <v>924</v>
      </c>
      <c r="I926" s="78"/>
      <c r="J926" s="78"/>
      <c r="K926" s="78"/>
      <c r="L926" s="78"/>
      <c r="V926" s="78"/>
      <c r="W926" s="78"/>
      <c r="X926" s="78"/>
    </row>
    <row r="927" spans="1:24">
      <c r="A927" s="34">
        <v>925</v>
      </c>
      <c r="I927" s="78"/>
      <c r="J927" s="78"/>
      <c r="K927" s="78"/>
      <c r="L927" s="78"/>
      <c r="V927" s="78"/>
      <c r="W927" s="78"/>
      <c r="X927" s="78"/>
    </row>
    <row r="928" spans="1:24">
      <c r="A928" s="34">
        <v>926</v>
      </c>
      <c r="I928" s="78"/>
      <c r="J928" s="78"/>
      <c r="K928" s="78"/>
      <c r="L928" s="78"/>
      <c r="V928" s="78"/>
      <c r="W928" s="78"/>
      <c r="X928" s="78"/>
    </row>
    <row r="929" spans="1:24">
      <c r="A929" s="34">
        <v>927</v>
      </c>
      <c r="I929" s="78"/>
      <c r="J929" s="78"/>
      <c r="K929" s="78"/>
      <c r="L929" s="78"/>
      <c r="V929" s="78"/>
      <c r="W929" s="78"/>
      <c r="X929" s="78"/>
    </row>
    <row r="930" spans="1:24">
      <c r="A930" s="34">
        <v>928</v>
      </c>
      <c r="I930" s="78"/>
      <c r="J930" s="78"/>
      <c r="K930" s="78"/>
      <c r="L930" s="78"/>
      <c r="V930" s="78"/>
      <c r="W930" s="78"/>
      <c r="X930" s="78"/>
    </row>
    <row r="931" spans="1:24">
      <c r="A931" s="34">
        <v>929</v>
      </c>
      <c r="I931" s="78"/>
      <c r="J931" s="78"/>
      <c r="K931" s="78"/>
      <c r="L931" s="78"/>
      <c r="V931" s="78"/>
      <c r="W931" s="78"/>
      <c r="X931" s="78"/>
    </row>
    <row r="932" spans="1:24">
      <c r="A932" s="34">
        <v>930</v>
      </c>
      <c r="I932" s="78"/>
      <c r="J932" s="78"/>
      <c r="K932" s="78"/>
      <c r="L932" s="78"/>
      <c r="V932" s="78"/>
      <c r="W932" s="78"/>
      <c r="X932" s="78"/>
    </row>
    <row r="933" spans="1:24">
      <c r="A933" s="34">
        <v>931</v>
      </c>
      <c r="I933" s="78"/>
      <c r="J933" s="78"/>
      <c r="K933" s="78"/>
      <c r="L933" s="78"/>
      <c r="V933" s="78"/>
      <c r="W933" s="78"/>
      <c r="X933" s="78"/>
    </row>
    <row r="934" spans="1:24">
      <c r="A934" s="34">
        <v>932</v>
      </c>
      <c r="I934" s="78"/>
      <c r="J934" s="78"/>
      <c r="K934" s="78"/>
      <c r="L934" s="78"/>
      <c r="V934" s="78"/>
      <c r="W934" s="78"/>
      <c r="X934" s="78"/>
    </row>
    <row r="935" spans="1:24">
      <c r="A935" s="34">
        <v>933</v>
      </c>
      <c r="I935" s="78"/>
      <c r="J935" s="78"/>
      <c r="K935" s="78"/>
      <c r="L935" s="78"/>
      <c r="V935" s="78"/>
      <c r="W935" s="78"/>
      <c r="X935" s="78"/>
    </row>
    <row r="936" spans="1:24">
      <c r="A936" s="34">
        <v>934</v>
      </c>
      <c r="I936" s="78"/>
      <c r="J936" s="78"/>
      <c r="K936" s="78"/>
      <c r="L936" s="78"/>
      <c r="V936" s="78"/>
      <c r="W936" s="78"/>
      <c r="X936" s="78"/>
    </row>
    <row r="937" spans="1:24">
      <c r="A937" s="34">
        <v>935</v>
      </c>
      <c r="I937" s="78"/>
      <c r="J937" s="78"/>
      <c r="K937" s="78"/>
      <c r="L937" s="78"/>
      <c r="V937" s="78"/>
      <c r="W937" s="78"/>
      <c r="X937" s="78"/>
    </row>
    <row r="938" spans="1:24">
      <c r="A938" s="34">
        <v>936</v>
      </c>
      <c r="I938" s="78"/>
      <c r="J938" s="78"/>
      <c r="K938" s="78"/>
      <c r="L938" s="78"/>
      <c r="V938" s="78"/>
      <c r="W938" s="78"/>
      <c r="X938" s="78"/>
    </row>
    <row r="939" spans="1:24">
      <c r="A939" s="34">
        <v>937</v>
      </c>
      <c r="I939" s="78"/>
      <c r="J939" s="78"/>
      <c r="K939" s="78"/>
      <c r="L939" s="78"/>
      <c r="V939" s="78"/>
      <c r="W939" s="78"/>
      <c r="X939" s="78"/>
    </row>
    <row r="940" spans="1:24">
      <c r="A940" s="34">
        <v>938</v>
      </c>
      <c r="I940" s="78"/>
      <c r="J940" s="78"/>
      <c r="K940" s="78"/>
      <c r="L940" s="78"/>
      <c r="V940" s="78"/>
      <c r="W940" s="78"/>
      <c r="X940" s="78"/>
    </row>
    <row r="941" spans="1:24">
      <c r="A941" s="34">
        <v>939</v>
      </c>
      <c r="I941" s="78"/>
      <c r="J941" s="78"/>
      <c r="K941" s="78"/>
      <c r="L941" s="78"/>
      <c r="V941" s="78"/>
      <c r="W941" s="78"/>
      <c r="X941" s="78"/>
    </row>
    <row r="942" spans="1:24">
      <c r="A942" s="34">
        <v>940</v>
      </c>
      <c r="I942" s="78"/>
      <c r="J942" s="78"/>
      <c r="K942" s="78"/>
      <c r="L942" s="78"/>
      <c r="V942" s="78"/>
      <c r="W942" s="78"/>
      <c r="X942" s="78"/>
    </row>
    <row r="943" spans="1:24">
      <c r="A943" s="34">
        <v>941</v>
      </c>
      <c r="I943" s="78"/>
      <c r="J943" s="78"/>
      <c r="K943" s="78"/>
      <c r="L943" s="78"/>
      <c r="V943" s="78"/>
      <c r="W943" s="78"/>
      <c r="X943" s="78"/>
    </row>
    <row r="944" spans="1:24">
      <c r="A944" s="34">
        <v>942</v>
      </c>
      <c r="I944" s="78"/>
      <c r="J944" s="78"/>
      <c r="K944" s="78"/>
      <c r="L944" s="78"/>
      <c r="V944" s="78"/>
      <c r="W944" s="78"/>
      <c r="X944" s="78"/>
    </row>
    <row r="945" spans="1:24">
      <c r="A945" s="34">
        <v>943</v>
      </c>
      <c r="I945" s="78"/>
      <c r="J945" s="78"/>
      <c r="K945" s="78"/>
      <c r="L945" s="78"/>
      <c r="V945" s="78"/>
      <c r="W945" s="78"/>
      <c r="X945" s="78"/>
    </row>
    <row r="946" spans="1:24">
      <c r="A946" s="34">
        <v>944</v>
      </c>
      <c r="I946" s="78"/>
      <c r="J946" s="78"/>
      <c r="K946" s="78"/>
      <c r="L946" s="78"/>
      <c r="V946" s="78"/>
      <c r="W946" s="78"/>
      <c r="X946" s="78"/>
    </row>
    <row r="947" spans="1:24">
      <c r="A947" s="34">
        <v>945</v>
      </c>
      <c r="I947" s="78"/>
      <c r="J947" s="78"/>
      <c r="K947" s="78"/>
      <c r="L947" s="78"/>
      <c r="V947" s="78"/>
      <c r="W947" s="78"/>
      <c r="X947" s="78"/>
    </row>
    <row r="948" spans="1:24">
      <c r="A948" s="34">
        <v>946</v>
      </c>
      <c r="I948" s="78"/>
      <c r="J948" s="78"/>
      <c r="K948" s="78"/>
      <c r="L948" s="78"/>
      <c r="V948" s="78"/>
      <c r="W948" s="78"/>
      <c r="X948" s="78"/>
    </row>
    <row r="949" spans="1:24">
      <c r="A949" s="34">
        <v>947</v>
      </c>
      <c r="I949" s="78"/>
      <c r="J949" s="78"/>
      <c r="K949" s="78"/>
      <c r="L949" s="78"/>
      <c r="V949" s="78"/>
      <c r="W949" s="78"/>
      <c r="X949" s="78"/>
    </row>
    <row r="950" spans="1:24">
      <c r="A950" s="34">
        <v>948</v>
      </c>
      <c r="I950" s="78"/>
      <c r="J950" s="78"/>
      <c r="K950" s="78"/>
      <c r="L950" s="78"/>
      <c r="V950" s="78"/>
      <c r="W950" s="78"/>
      <c r="X950" s="78"/>
    </row>
    <row r="951" spans="1:24">
      <c r="A951" s="34">
        <v>949</v>
      </c>
      <c r="I951" s="78"/>
      <c r="J951" s="78"/>
      <c r="K951" s="78"/>
      <c r="L951" s="78"/>
      <c r="V951" s="78"/>
      <c r="W951" s="78"/>
      <c r="X951" s="78"/>
    </row>
    <row r="952" spans="1:24">
      <c r="A952" s="34">
        <v>950</v>
      </c>
      <c r="I952" s="78"/>
      <c r="J952" s="78"/>
      <c r="K952" s="78"/>
      <c r="L952" s="78"/>
      <c r="V952" s="78"/>
      <c r="W952" s="78"/>
      <c r="X952" s="78"/>
    </row>
    <row r="953" spans="1:24">
      <c r="A953" s="34">
        <v>951</v>
      </c>
      <c r="I953" s="78"/>
      <c r="J953" s="78"/>
      <c r="K953" s="78"/>
      <c r="L953" s="78"/>
      <c r="V953" s="78"/>
      <c r="W953" s="78"/>
      <c r="X953" s="78"/>
    </row>
    <row r="954" spans="1:24">
      <c r="A954" s="34">
        <v>952</v>
      </c>
      <c r="I954" s="78"/>
      <c r="J954" s="78"/>
      <c r="K954" s="78"/>
      <c r="L954" s="78"/>
      <c r="V954" s="78"/>
      <c r="W954" s="78"/>
      <c r="X954" s="78"/>
    </row>
    <row r="955" spans="1:24">
      <c r="A955" s="34">
        <v>953</v>
      </c>
      <c r="I955" s="78"/>
      <c r="J955" s="78"/>
      <c r="K955" s="78"/>
      <c r="L955" s="78"/>
      <c r="V955" s="78"/>
      <c r="W955" s="78"/>
      <c r="X955" s="78"/>
    </row>
    <row r="956" spans="1:24">
      <c r="A956" s="34">
        <v>954</v>
      </c>
      <c r="I956" s="78"/>
      <c r="J956" s="78"/>
      <c r="K956" s="78"/>
      <c r="L956" s="78"/>
      <c r="V956" s="78"/>
      <c r="W956" s="78"/>
      <c r="X956" s="78"/>
    </row>
    <row r="957" spans="1:24">
      <c r="A957" s="34">
        <v>955</v>
      </c>
      <c r="I957" s="78"/>
      <c r="J957" s="78"/>
      <c r="K957" s="78"/>
      <c r="L957" s="78"/>
      <c r="V957" s="78"/>
      <c r="W957" s="78"/>
      <c r="X957" s="78"/>
    </row>
    <row r="958" spans="1:24">
      <c r="A958" s="34">
        <v>956</v>
      </c>
      <c r="I958" s="78"/>
      <c r="J958" s="78"/>
      <c r="K958" s="78"/>
      <c r="L958" s="78"/>
      <c r="V958" s="78"/>
      <c r="W958" s="78"/>
      <c r="X958" s="78"/>
    </row>
    <row r="959" spans="1:24">
      <c r="A959" s="34">
        <v>957</v>
      </c>
      <c r="I959" s="78"/>
      <c r="J959" s="78"/>
      <c r="K959" s="78"/>
      <c r="L959" s="78"/>
      <c r="V959" s="78"/>
      <c r="W959" s="78"/>
      <c r="X959" s="78"/>
    </row>
    <row r="960" spans="1:24">
      <c r="A960" s="34">
        <v>958</v>
      </c>
      <c r="I960" s="78"/>
      <c r="J960" s="78"/>
      <c r="K960" s="78"/>
      <c r="L960" s="78"/>
      <c r="V960" s="78"/>
      <c r="W960" s="78"/>
      <c r="X960" s="78"/>
    </row>
    <row r="961" spans="1:24">
      <c r="A961" s="34">
        <v>959</v>
      </c>
      <c r="I961" s="78"/>
      <c r="J961" s="78"/>
      <c r="K961" s="78"/>
      <c r="L961" s="78"/>
      <c r="V961" s="78"/>
      <c r="W961" s="78"/>
      <c r="X961" s="78"/>
    </row>
    <row r="962" spans="1:24">
      <c r="A962" s="34">
        <v>960</v>
      </c>
      <c r="I962" s="78"/>
      <c r="J962" s="78"/>
      <c r="K962" s="78"/>
      <c r="L962" s="78"/>
      <c r="V962" s="78"/>
      <c r="W962" s="78"/>
      <c r="X962" s="78"/>
    </row>
    <row r="963" spans="1:24">
      <c r="A963" s="34">
        <v>961</v>
      </c>
      <c r="I963" s="78"/>
      <c r="J963" s="78"/>
      <c r="K963" s="78"/>
      <c r="L963" s="78"/>
      <c r="V963" s="78"/>
      <c r="W963" s="78"/>
      <c r="X963" s="78"/>
    </row>
    <row r="964" spans="1:24">
      <c r="A964" s="34">
        <v>962</v>
      </c>
      <c r="I964" s="78"/>
      <c r="J964" s="78"/>
      <c r="K964" s="78"/>
      <c r="L964" s="78"/>
      <c r="V964" s="78"/>
      <c r="W964" s="78"/>
      <c r="X964" s="78"/>
    </row>
    <row r="965" spans="1:24">
      <c r="A965" s="34">
        <v>963</v>
      </c>
      <c r="I965" s="78"/>
      <c r="J965" s="78"/>
      <c r="K965" s="78"/>
      <c r="L965" s="78"/>
      <c r="V965" s="78"/>
      <c r="W965" s="78"/>
      <c r="X965" s="78"/>
    </row>
    <row r="966" spans="1:24">
      <c r="A966" s="34">
        <v>964</v>
      </c>
      <c r="I966" s="78"/>
      <c r="J966" s="78"/>
      <c r="K966" s="78"/>
      <c r="L966" s="78"/>
      <c r="V966" s="78"/>
      <c r="W966" s="78"/>
      <c r="X966" s="78"/>
    </row>
    <row r="967" spans="1:24">
      <c r="A967" s="34">
        <v>965</v>
      </c>
      <c r="I967" s="78"/>
      <c r="J967" s="78"/>
      <c r="K967" s="78"/>
      <c r="L967" s="78"/>
      <c r="V967" s="78"/>
      <c r="W967" s="78"/>
      <c r="X967" s="78"/>
    </row>
    <row r="968" spans="1:24">
      <c r="A968" s="34">
        <v>966</v>
      </c>
      <c r="I968" s="78"/>
      <c r="J968" s="78"/>
      <c r="K968" s="78"/>
      <c r="L968" s="78"/>
      <c r="V968" s="78"/>
      <c r="W968" s="78"/>
      <c r="X968" s="78"/>
    </row>
    <row r="969" spans="1:24">
      <c r="A969" s="34">
        <v>967</v>
      </c>
      <c r="I969" s="78"/>
      <c r="J969" s="78"/>
      <c r="K969" s="78"/>
      <c r="L969" s="78"/>
      <c r="V969" s="78"/>
      <c r="W969" s="78"/>
      <c r="X969" s="78"/>
    </row>
    <row r="970" spans="1:24">
      <c r="A970" s="34">
        <v>968</v>
      </c>
      <c r="I970" s="78"/>
      <c r="J970" s="78"/>
      <c r="K970" s="78"/>
      <c r="L970" s="78"/>
      <c r="V970" s="78"/>
      <c r="W970" s="78"/>
      <c r="X970" s="78"/>
    </row>
    <row r="971" spans="1:24">
      <c r="A971" s="34">
        <v>969</v>
      </c>
      <c r="I971" s="78"/>
      <c r="J971" s="78"/>
      <c r="K971" s="78"/>
      <c r="L971" s="78"/>
      <c r="V971" s="78"/>
      <c r="W971" s="78"/>
      <c r="X971" s="78"/>
    </row>
    <row r="972" spans="1:24">
      <c r="A972" s="34">
        <v>970</v>
      </c>
      <c r="I972" s="78"/>
      <c r="J972" s="78"/>
      <c r="K972" s="78"/>
      <c r="L972" s="78"/>
      <c r="V972" s="78"/>
      <c r="W972" s="78"/>
      <c r="X972" s="78"/>
    </row>
    <row r="973" spans="1:24">
      <c r="A973" s="34">
        <v>971</v>
      </c>
      <c r="I973" s="78"/>
      <c r="J973" s="78"/>
      <c r="K973" s="78"/>
      <c r="L973" s="78"/>
      <c r="V973" s="78"/>
      <c r="W973" s="78"/>
      <c r="X973" s="78"/>
    </row>
    <row r="974" spans="1:24">
      <c r="A974" s="34">
        <v>972</v>
      </c>
      <c r="I974" s="78"/>
      <c r="J974" s="78"/>
      <c r="K974" s="78"/>
      <c r="L974" s="78"/>
      <c r="V974" s="78"/>
      <c r="W974" s="78"/>
      <c r="X974" s="78"/>
    </row>
    <row r="975" spans="1:24">
      <c r="A975" s="34">
        <v>973</v>
      </c>
      <c r="I975" s="78"/>
      <c r="J975" s="78"/>
      <c r="K975" s="78"/>
      <c r="L975" s="78"/>
      <c r="V975" s="78"/>
      <c r="W975" s="78"/>
      <c r="X975" s="78"/>
    </row>
    <row r="976" spans="1:24">
      <c r="A976" s="34">
        <v>974</v>
      </c>
      <c r="I976" s="78"/>
      <c r="J976" s="78"/>
      <c r="K976" s="78"/>
      <c r="L976" s="78"/>
      <c r="V976" s="78"/>
      <c r="W976" s="78"/>
      <c r="X976" s="78"/>
    </row>
    <row r="977" spans="1:24">
      <c r="A977" s="34">
        <v>975</v>
      </c>
      <c r="I977" s="78"/>
      <c r="J977" s="78"/>
      <c r="K977" s="78"/>
      <c r="L977" s="78"/>
      <c r="V977" s="78"/>
      <c r="W977" s="78"/>
      <c r="X977" s="78"/>
    </row>
    <row r="978" spans="1:24">
      <c r="A978" s="34">
        <v>976</v>
      </c>
      <c r="I978" s="78"/>
      <c r="J978" s="78"/>
      <c r="K978" s="78"/>
      <c r="L978" s="78"/>
      <c r="V978" s="78"/>
      <c r="W978" s="78"/>
      <c r="X978" s="78"/>
    </row>
    <row r="979" spans="1:24">
      <c r="A979" s="34">
        <v>977</v>
      </c>
      <c r="I979" s="78"/>
      <c r="J979" s="78"/>
      <c r="K979" s="78"/>
      <c r="L979" s="78"/>
      <c r="V979" s="78"/>
      <c r="W979" s="78"/>
      <c r="X979" s="78"/>
    </row>
    <row r="980" spans="1:24">
      <c r="A980" s="34">
        <v>978</v>
      </c>
      <c r="I980" s="78"/>
      <c r="J980" s="78"/>
      <c r="K980" s="78"/>
      <c r="L980" s="78"/>
      <c r="V980" s="78"/>
      <c r="W980" s="78"/>
      <c r="X980" s="78"/>
    </row>
    <row r="981" spans="1:24">
      <c r="A981" s="34">
        <v>979</v>
      </c>
      <c r="I981" s="78"/>
      <c r="J981" s="78"/>
      <c r="K981" s="78"/>
      <c r="L981" s="78"/>
      <c r="V981" s="78"/>
      <c r="W981" s="78"/>
      <c r="X981" s="78"/>
    </row>
    <row r="982" spans="1:24">
      <c r="A982" s="34">
        <v>980</v>
      </c>
      <c r="I982" s="78"/>
      <c r="J982" s="78"/>
      <c r="K982" s="78"/>
      <c r="L982" s="78"/>
      <c r="V982" s="78"/>
      <c r="W982" s="78"/>
      <c r="X982" s="78"/>
    </row>
    <row r="983" spans="1:24">
      <c r="A983" s="34">
        <v>981</v>
      </c>
      <c r="I983" s="78"/>
      <c r="J983" s="78"/>
      <c r="K983" s="78"/>
      <c r="L983" s="78"/>
      <c r="V983" s="78"/>
      <c r="W983" s="78"/>
      <c r="X983" s="78"/>
    </row>
    <row r="984" spans="1:24">
      <c r="A984" s="34">
        <v>982</v>
      </c>
      <c r="I984" s="78"/>
      <c r="J984" s="78"/>
      <c r="K984" s="78"/>
      <c r="L984" s="78"/>
      <c r="V984" s="78"/>
      <c r="W984" s="78"/>
      <c r="X984" s="78"/>
    </row>
    <row r="985" spans="1:24">
      <c r="A985" s="34">
        <v>983</v>
      </c>
      <c r="I985" s="78"/>
      <c r="J985" s="78"/>
      <c r="K985" s="78"/>
      <c r="L985" s="78"/>
      <c r="V985" s="78"/>
      <c r="W985" s="78"/>
      <c r="X985" s="78"/>
    </row>
    <row r="986" spans="1:24">
      <c r="A986" s="34">
        <v>984</v>
      </c>
      <c r="I986" s="78"/>
      <c r="J986" s="78"/>
      <c r="K986" s="78"/>
      <c r="L986" s="78"/>
      <c r="V986" s="78"/>
      <c r="W986" s="78"/>
      <c r="X986" s="78"/>
    </row>
    <row r="987" spans="1:24">
      <c r="A987" s="34">
        <v>985</v>
      </c>
      <c r="I987" s="78"/>
      <c r="J987" s="78"/>
      <c r="K987" s="78"/>
      <c r="L987" s="78"/>
      <c r="V987" s="78"/>
      <c r="W987" s="78"/>
      <c r="X987" s="78"/>
    </row>
    <row r="988" spans="1:24">
      <c r="A988" s="34">
        <v>986</v>
      </c>
      <c r="I988" s="78"/>
      <c r="J988" s="78"/>
      <c r="K988" s="78"/>
      <c r="L988" s="78"/>
      <c r="V988" s="78"/>
      <c r="W988" s="78"/>
      <c r="X988" s="78"/>
    </row>
    <row r="989" spans="1:24">
      <c r="A989" s="34">
        <v>987</v>
      </c>
      <c r="I989" s="78"/>
      <c r="J989" s="78"/>
      <c r="K989" s="78"/>
      <c r="L989" s="78"/>
      <c r="V989" s="78"/>
      <c r="W989" s="78"/>
      <c r="X989" s="78"/>
    </row>
    <row r="990" spans="1:24">
      <c r="A990" s="34">
        <v>988</v>
      </c>
      <c r="I990" s="78"/>
      <c r="J990" s="78"/>
      <c r="K990" s="78"/>
      <c r="L990" s="78"/>
      <c r="V990" s="78"/>
      <c r="W990" s="78"/>
      <c r="X990" s="78"/>
    </row>
    <row r="991" spans="1:24">
      <c r="A991" s="34">
        <v>989</v>
      </c>
      <c r="I991" s="78"/>
      <c r="J991" s="78"/>
      <c r="K991" s="78"/>
      <c r="L991" s="78"/>
      <c r="V991" s="78"/>
      <c r="W991" s="78"/>
      <c r="X991" s="78"/>
    </row>
    <row r="992" spans="1:24">
      <c r="A992" s="34">
        <v>990</v>
      </c>
      <c r="I992" s="78"/>
      <c r="J992" s="78"/>
      <c r="K992" s="78"/>
      <c r="L992" s="78"/>
      <c r="V992" s="78"/>
      <c r="W992" s="78"/>
      <c r="X992" s="78"/>
    </row>
    <row r="993" spans="1:24">
      <c r="A993" s="34">
        <v>991</v>
      </c>
      <c r="I993" s="78"/>
      <c r="J993" s="78"/>
      <c r="K993" s="78"/>
      <c r="L993" s="78"/>
      <c r="V993" s="78"/>
      <c r="W993" s="78"/>
      <c r="X993" s="78"/>
    </row>
    <row r="994" spans="1:24">
      <c r="A994" s="34">
        <v>992</v>
      </c>
      <c r="I994" s="78"/>
      <c r="J994" s="78"/>
      <c r="K994" s="78"/>
      <c r="L994" s="78"/>
      <c r="V994" s="78"/>
      <c r="W994" s="78"/>
      <c r="X994" s="78"/>
    </row>
    <row r="995" spans="1:24">
      <c r="A995" s="34">
        <v>993</v>
      </c>
      <c r="I995" s="78"/>
      <c r="J995" s="78"/>
      <c r="K995" s="78"/>
      <c r="L995" s="78"/>
      <c r="V995" s="78"/>
      <c r="W995" s="78"/>
      <c r="X995" s="78"/>
    </row>
    <row r="996" spans="1:24">
      <c r="A996" s="34">
        <v>994</v>
      </c>
      <c r="I996" s="78"/>
      <c r="J996" s="78"/>
      <c r="K996" s="78"/>
      <c r="L996" s="78"/>
      <c r="V996" s="78"/>
      <c r="W996" s="78"/>
      <c r="X996" s="78"/>
    </row>
    <row r="997" spans="1:24">
      <c r="A997" s="34">
        <v>995</v>
      </c>
      <c r="I997" s="78"/>
      <c r="J997" s="78"/>
      <c r="K997" s="78"/>
      <c r="L997" s="78"/>
      <c r="V997" s="78"/>
      <c r="W997" s="78"/>
      <c r="X997" s="78"/>
    </row>
    <row r="998" spans="1:24">
      <c r="A998" s="34">
        <v>996</v>
      </c>
      <c r="I998" s="78"/>
      <c r="J998" s="78"/>
      <c r="K998" s="78"/>
      <c r="L998" s="78"/>
      <c r="V998" s="78"/>
      <c r="W998" s="78"/>
      <c r="X998" s="78"/>
    </row>
    <row r="999" spans="1:24">
      <c r="A999" s="34">
        <v>997</v>
      </c>
      <c r="I999" s="78"/>
      <c r="J999" s="78"/>
      <c r="K999" s="78"/>
      <c r="L999" s="78"/>
      <c r="V999" s="78"/>
      <c r="W999" s="78"/>
      <c r="X999" s="78"/>
    </row>
    <row r="1000" spans="1:24">
      <c r="A1000" s="34">
        <v>998</v>
      </c>
      <c r="I1000" s="78"/>
      <c r="J1000" s="78"/>
      <c r="K1000" s="78"/>
      <c r="L1000" s="78"/>
      <c r="V1000" s="78"/>
      <c r="W1000" s="78"/>
      <c r="X1000" s="78"/>
    </row>
    <row r="1001" spans="1:24">
      <c r="A1001" s="34">
        <v>999</v>
      </c>
      <c r="I1001" s="78"/>
      <c r="J1001" s="78"/>
      <c r="K1001" s="78"/>
      <c r="L1001" s="78"/>
      <c r="V1001" s="78"/>
      <c r="W1001" s="78"/>
      <c r="X1001" s="78"/>
    </row>
    <row r="1002" spans="1:24">
      <c r="A1002" s="34">
        <v>1000</v>
      </c>
      <c r="I1002" s="78"/>
      <c r="J1002" s="78"/>
      <c r="K1002" s="78"/>
      <c r="L1002" s="78"/>
      <c r="V1002" s="78"/>
      <c r="W1002" s="78"/>
      <c r="X1002" s="78"/>
    </row>
    <row r="1003" spans="1:24">
      <c r="A1003" s="34">
        <v>1001</v>
      </c>
      <c r="I1003" s="78"/>
      <c r="J1003" s="78"/>
      <c r="K1003" s="78"/>
      <c r="L1003" s="78"/>
      <c r="V1003" s="78"/>
      <c r="W1003" s="78"/>
      <c r="X1003" s="78"/>
    </row>
    <row r="1004" spans="1:24">
      <c r="A1004" s="34">
        <v>1002</v>
      </c>
      <c r="I1004" s="78"/>
      <c r="J1004" s="78"/>
      <c r="K1004" s="78"/>
      <c r="L1004" s="78"/>
      <c r="V1004" s="78"/>
      <c r="W1004" s="78"/>
      <c r="X1004" s="78"/>
    </row>
    <row r="1005" spans="1:24">
      <c r="A1005" s="34">
        <v>1003</v>
      </c>
      <c r="I1005" s="78"/>
      <c r="J1005" s="78"/>
      <c r="K1005" s="78"/>
      <c r="L1005" s="78"/>
      <c r="V1005" s="78"/>
      <c r="W1005" s="78"/>
      <c r="X1005" s="78"/>
    </row>
    <row r="1006" spans="1:24">
      <c r="A1006" s="34">
        <v>1004</v>
      </c>
      <c r="I1006" s="78"/>
      <c r="J1006" s="78"/>
      <c r="K1006" s="78"/>
      <c r="L1006" s="78"/>
      <c r="V1006" s="78"/>
      <c r="W1006" s="78"/>
      <c r="X1006" s="78"/>
    </row>
    <row r="1007" spans="1:24">
      <c r="A1007" s="34">
        <v>1005</v>
      </c>
      <c r="I1007" s="78"/>
      <c r="J1007" s="78"/>
      <c r="K1007" s="78"/>
      <c r="L1007" s="78"/>
      <c r="V1007" s="78"/>
      <c r="W1007" s="78"/>
      <c r="X1007" s="78"/>
    </row>
    <row r="1008" spans="1:24">
      <c r="A1008" s="34">
        <v>1006</v>
      </c>
      <c r="I1008" s="78"/>
      <c r="J1008" s="78"/>
      <c r="K1008" s="78"/>
      <c r="L1008" s="78"/>
      <c r="V1008" s="78"/>
      <c r="W1008" s="78"/>
      <c r="X1008" s="78"/>
    </row>
    <row r="1009" spans="1:24">
      <c r="A1009" s="34">
        <v>1007</v>
      </c>
      <c r="I1009" s="78"/>
      <c r="J1009" s="78"/>
      <c r="K1009" s="78"/>
      <c r="L1009" s="78"/>
      <c r="V1009" s="78"/>
      <c r="W1009" s="78"/>
      <c r="X1009" s="78"/>
    </row>
    <row r="1010" spans="1:24">
      <c r="A1010" s="34">
        <v>1008</v>
      </c>
      <c r="I1010" s="78"/>
      <c r="J1010" s="78"/>
      <c r="K1010" s="78"/>
      <c r="L1010" s="78"/>
      <c r="V1010" s="78"/>
      <c r="W1010" s="78"/>
      <c r="X1010" s="78"/>
    </row>
    <row r="1011" spans="1:24">
      <c r="A1011" s="34">
        <v>1009</v>
      </c>
      <c r="I1011" s="78"/>
      <c r="J1011" s="78"/>
      <c r="K1011" s="78"/>
      <c r="L1011" s="78"/>
      <c r="V1011" s="78"/>
      <c r="W1011" s="78"/>
      <c r="X1011" s="78"/>
    </row>
    <row r="1012" spans="1:24">
      <c r="A1012" s="34">
        <v>1010</v>
      </c>
      <c r="I1012" s="78"/>
      <c r="J1012" s="78"/>
      <c r="K1012" s="78"/>
      <c r="L1012" s="78"/>
      <c r="V1012" s="78"/>
      <c r="W1012" s="78"/>
      <c r="X1012" s="78"/>
    </row>
    <row r="1013" spans="1:24">
      <c r="A1013" s="34">
        <v>1011</v>
      </c>
      <c r="I1013" s="78"/>
      <c r="J1013" s="78"/>
      <c r="K1013" s="78"/>
      <c r="L1013" s="78"/>
      <c r="V1013" s="78"/>
      <c r="W1013" s="78"/>
      <c r="X1013" s="78"/>
    </row>
    <row r="1014" spans="1:24">
      <c r="A1014" s="34">
        <v>1012</v>
      </c>
      <c r="I1014" s="78"/>
      <c r="J1014" s="78"/>
      <c r="K1014" s="78"/>
      <c r="L1014" s="78"/>
      <c r="V1014" s="78"/>
      <c r="W1014" s="78"/>
      <c r="X1014" s="78"/>
    </row>
    <row r="1015" spans="1:24">
      <c r="A1015" s="34">
        <v>1013</v>
      </c>
      <c r="I1015" s="78"/>
      <c r="J1015" s="78"/>
      <c r="K1015" s="78"/>
      <c r="L1015" s="78"/>
      <c r="V1015" s="78"/>
      <c r="W1015" s="78"/>
      <c r="X1015" s="78"/>
    </row>
    <row r="1016" spans="1:24">
      <c r="A1016" s="34">
        <v>1014</v>
      </c>
      <c r="I1016" s="78"/>
      <c r="J1016" s="78"/>
      <c r="K1016" s="78"/>
      <c r="L1016" s="78"/>
      <c r="V1016" s="78"/>
      <c r="W1016" s="78"/>
      <c r="X1016" s="78"/>
    </row>
    <row r="1017" spans="1:24">
      <c r="A1017" s="34">
        <v>1015</v>
      </c>
      <c r="I1017" s="78"/>
      <c r="J1017" s="78"/>
      <c r="K1017" s="78"/>
      <c r="L1017" s="78"/>
      <c r="V1017" s="78"/>
      <c r="W1017" s="78"/>
      <c r="X1017" s="78"/>
    </row>
    <row r="1018" spans="1:24">
      <c r="A1018" s="34">
        <v>1016</v>
      </c>
      <c r="I1018" s="78"/>
      <c r="J1018" s="78"/>
      <c r="K1018" s="78"/>
      <c r="L1018" s="78"/>
      <c r="V1018" s="78"/>
      <c r="W1018" s="78"/>
      <c r="X1018" s="78"/>
    </row>
    <row r="1019" spans="1:24">
      <c r="A1019" s="34">
        <v>1017</v>
      </c>
      <c r="I1019" s="78"/>
      <c r="J1019" s="78"/>
      <c r="K1019" s="78"/>
      <c r="L1019" s="78"/>
      <c r="V1019" s="78"/>
      <c r="W1019" s="78"/>
      <c r="X1019" s="78"/>
    </row>
    <row r="1020" spans="1:24">
      <c r="A1020" s="34">
        <v>1018</v>
      </c>
      <c r="I1020" s="78"/>
      <c r="J1020" s="78"/>
      <c r="K1020" s="78"/>
      <c r="L1020" s="78"/>
      <c r="V1020" s="78"/>
      <c r="W1020" s="78"/>
      <c r="X1020" s="78"/>
    </row>
    <row r="1021" spans="1:24">
      <c r="A1021" s="34">
        <v>1019</v>
      </c>
      <c r="I1021" s="78"/>
      <c r="J1021" s="78"/>
      <c r="K1021" s="78"/>
      <c r="L1021" s="78"/>
      <c r="V1021" s="78"/>
      <c r="W1021" s="78"/>
      <c r="X1021" s="78"/>
    </row>
    <row r="1022" spans="1:24">
      <c r="A1022" s="34">
        <v>1020</v>
      </c>
      <c r="I1022" s="78"/>
      <c r="J1022" s="78"/>
      <c r="K1022" s="78"/>
      <c r="L1022" s="78"/>
      <c r="V1022" s="78"/>
      <c r="W1022" s="78"/>
      <c r="X1022" s="78"/>
    </row>
    <row r="1023" spans="1:24">
      <c r="A1023" s="34">
        <v>1021</v>
      </c>
      <c r="I1023" s="78"/>
      <c r="J1023" s="78"/>
      <c r="K1023" s="78"/>
      <c r="L1023" s="78"/>
      <c r="V1023" s="78"/>
      <c r="W1023" s="78"/>
      <c r="X1023" s="78"/>
    </row>
    <row r="1024" spans="1:24">
      <c r="A1024" s="34">
        <v>1022</v>
      </c>
      <c r="I1024" s="78"/>
      <c r="J1024" s="78"/>
      <c r="K1024" s="78"/>
      <c r="L1024" s="78"/>
      <c r="V1024" s="78"/>
      <c r="W1024" s="78"/>
      <c r="X1024" s="78"/>
    </row>
    <row r="1025" spans="1:24">
      <c r="A1025" s="34">
        <v>1023</v>
      </c>
      <c r="I1025" s="78"/>
      <c r="J1025" s="78"/>
      <c r="K1025" s="78"/>
      <c r="L1025" s="78"/>
      <c r="V1025" s="78"/>
      <c r="W1025" s="78"/>
      <c r="X1025" s="78"/>
    </row>
    <row r="1026" spans="1:24">
      <c r="A1026" s="34">
        <v>1024</v>
      </c>
      <c r="I1026" s="78"/>
      <c r="J1026" s="78"/>
      <c r="K1026" s="78"/>
      <c r="L1026" s="78"/>
      <c r="V1026" s="78"/>
      <c r="W1026" s="78"/>
      <c r="X1026" s="78"/>
    </row>
    <row r="1027" spans="1:24">
      <c r="A1027" s="34">
        <v>1025</v>
      </c>
      <c r="I1027" s="78"/>
      <c r="J1027" s="78"/>
      <c r="K1027" s="78"/>
      <c r="L1027" s="78"/>
      <c r="V1027" s="78"/>
      <c r="W1027" s="78"/>
      <c r="X1027" s="78"/>
    </row>
    <row r="1028" spans="1:24">
      <c r="A1028" s="34">
        <v>1026</v>
      </c>
      <c r="I1028" s="78"/>
      <c r="J1028" s="78"/>
      <c r="K1028" s="78"/>
      <c r="L1028" s="78"/>
      <c r="V1028" s="78"/>
      <c r="W1028" s="78"/>
      <c r="X1028" s="78"/>
    </row>
    <row r="1029" spans="1:24">
      <c r="A1029" s="34">
        <v>1027</v>
      </c>
      <c r="I1029" s="78"/>
      <c r="J1029" s="78"/>
      <c r="K1029" s="78"/>
      <c r="L1029" s="78"/>
      <c r="V1029" s="78"/>
      <c r="W1029" s="78"/>
      <c r="X1029" s="78"/>
    </row>
    <row r="1030" spans="1:24">
      <c r="A1030" s="34">
        <v>1028</v>
      </c>
      <c r="I1030" s="78"/>
      <c r="J1030" s="78"/>
      <c r="K1030" s="78"/>
      <c r="L1030" s="78"/>
      <c r="V1030" s="78"/>
      <c r="W1030" s="78"/>
      <c r="X1030" s="78"/>
    </row>
    <row r="1031" spans="1:24">
      <c r="A1031" s="34">
        <v>1029</v>
      </c>
      <c r="I1031" s="78"/>
      <c r="J1031" s="78"/>
      <c r="K1031" s="78"/>
      <c r="L1031" s="78"/>
      <c r="V1031" s="78"/>
      <c r="W1031" s="78"/>
      <c r="X1031" s="78"/>
    </row>
    <row r="1032" spans="1:24">
      <c r="A1032" s="34">
        <v>1030</v>
      </c>
      <c r="I1032" s="78"/>
      <c r="J1032" s="78"/>
      <c r="K1032" s="78"/>
      <c r="L1032" s="78"/>
      <c r="V1032" s="78"/>
      <c r="W1032" s="78"/>
      <c r="X1032" s="78"/>
    </row>
    <row r="1033" spans="1:24">
      <c r="A1033" s="34">
        <v>1031</v>
      </c>
      <c r="I1033" s="78"/>
      <c r="J1033" s="78"/>
      <c r="K1033" s="78"/>
      <c r="L1033" s="78"/>
      <c r="V1033" s="78"/>
      <c r="W1033" s="78"/>
      <c r="X1033" s="78"/>
    </row>
    <row r="1034" spans="1:24">
      <c r="A1034" s="34">
        <v>1032</v>
      </c>
      <c r="I1034" s="78"/>
      <c r="J1034" s="78"/>
      <c r="K1034" s="78"/>
      <c r="L1034" s="78"/>
      <c r="V1034" s="78"/>
      <c r="W1034" s="78"/>
      <c r="X1034" s="78"/>
    </row>
    <row r="1035" spans="1:24">
      <c r="A1035" s="34">
        <v>1033</v>
      </c>
      <c r="I1035" s="78"/>
      <c r="J1035" s="78"/>
      <c r="K1035" s="78"/>
      <c r="L1035" s="78"/>
      <c r="V1035" s="78"/>
      <c r="W1035" s="78"/>
      <c r="X1035" s="78"/>
    </row>
    <row r="1036" spans="1:24">
      <c r="A1036" s="34">
        <v>1034</v>
      </c>
      <c r="I1036" s="78"/>
      <c r="J1036" s="78"/>
      <c r="K1036" s="78"/>
      <c r="L1036" s="78"/>
      <c r="V1036" s="78"/>
      <c r="W1036" s="78"/>
      <c r="X1036" s="78"/>
    </row>
    <row r="1037" spans="1:24">
      <c r="A1037" s="34">
        <v>1035</v>
      </c>
      <c r="I1037" s="78"/>
      <c r="J1037" s="78"/>
      <c r="K1037" s="78"/>
      <c r="L1037" s="78"/>
      <c r="V1037" s="78"/>
      <c r="W1037" s="78"/>
      <c r="X1037" s="78"/>
    </row>
    <row r="1038" spans="1:24">
      <c r="A1038" s="34">
        <v>1036</v>
      </c>
      <c r="I1038" s="78"/>
      <c r="J1038" s="78"/>
      <c r="K1038" s="78"/>
      <c r="L1038" s="78"/>
      <c r="V1038" s="78"/>
      <c r="W1038" s="78"/>
      <c r="X1038" s="78"/>
    </row>
    <row r="1039" spans="1:24">
      <c r="A1039" s="34">
        <v>1037</v>
      </c>
      <c r="I1039" s="78"/>
      <c r="J1039" s="78"/>
      <c r="K1039" s="78"/>
      <c r="L1039" s="78"/>
      <c r="V1039" s="78"/>
      <c r="W1039" s="78"/>
      <c r="X1039" s="78"/>
    </row>
    <row r="1040" spans="1:24">
      <c r="A1040" s="34">
        <v>1038</v>
      </c>
      <c r="I1040" s="78"/>
      <c r="J1040" s="78"/>
      <c r="K1040" s="78"/>
      <c r="L1040" s="78"/>
      <c r="V1040" s="78"/>
      <c r="W1040" s="78"/>
      <c r="X1040" s="78"/>
    </row>
    <row r="1041" spans="1:24">
      <c r="A1041" s="34">
        <v>1039</v>
      </c>
      <c r="I1041" s="78"/>
      <c r="J1041" s="78"/>
      <c r="K1041" s="78"/>
      <c r="L1041" s="78"/>
      <c r="V1041" s="78"/>
      <c r="W1041" s="78"/>
      <c r="X1041" s="78"/>
    </row>
    <row r="1042" spans="1:24">
      <c r="A1042" s="34">
        <v>1040</v>
      </c>
      <c r="I1042" s="78"/>
      <c r="J1042" s="78"/>
      <c r="K1042" s="78"/>
      <c r="L1042" s="78"/>
      <c r="V1042" s="78"/>
      <c r="W1042" s="78"/>
      <c r="X1042" s="78"/>
    </row>
    <row r="1043" spans="1:24">
      <c r="A1043" s="34">
        <v>1041</v>
      </c>
      <c r="I1043" s="78"/>
      <c r="J1043" s="78"/>
      <c r="K1043" s="78"/>
      <c r="L1043" s="78"/>
      <c r="V1043" s="78"/>
      <c r="W1043" s="78"/>
      <c r="X1043" s="78"/>
    </row>
    <row r="1044" spans="1:24">
      <c r="A1044" s="34">
        <v>1042</v>
      </c>
      <c r="I1044" s="78"/>
      <c r="J1044" s="78"/>
      <c r="K1044" s="78"/>
      <c r="L1044" s="78"/>
      <c r="V1044" s="78"/>
      <c r="W1044" s="78"/>
      <c r="X1044" s="78"/>
    </row>
    <row r="1045" spans="1:24">
      <c r="A1045" s="34">
        <v>1043</v>
      </c>
      <c r="I1045" s="78"/>
      <c r="J1045" s="78"/>
      <c r="K1045" s="78"/>
      <c r="L1045" s="78"/>
      <c r="V1045" s="78"/>
      <c r="W1045" s="78"/>
      <c r="X1045" s="78"/>
    </row>
    <row r="1046" spans="1:24">
      <c r="A1046" s="34">
        <v>1044</v>
      </c>
      <c r="I1046" s="78"/>
      <c r="J1046" s="78"/>
      <c r="K1046" s="78"/>
      <c r="L1046" s="78"/>
      <c r="V1046" s="78"/>
      <c r="W1046" s="78"/>
      <c r="X1046" s="78"/>
    </row>
    <row r="1047" spans="1:24">
      <c r="A1047" s="34">
        <v>1045</v>
      </c>
      <c r="I1047" s="78"/>
      <c r="J1047" s="78"/>
      <c r="K1047" s="78"/>
      <c r="L1047" s="78"/>
      <c r="V1047" s="78"/>
      <c r="W1047" s="78"/>
      <c r="X1047" s="78"/>
    </row>
    <row r="1048" spans="1:24">
      <c r="A1048" s="34">
        <v>1046</v>
      </c>
      <c r="I1048" s="78"/>
      <c r="J1048" s="78"/>
      <c r="K1048" s="78"/>
      <c r="L1048" s="78"/>
      <c r="V1048" s="78"/>
      <c r="W1048" s="78"/>
      <c r="X1048" s="78"/>
    </row>
    <row r="1049" spans="1:24">
      <c r="A1049" s="34">
        <v>1047</v>
      </c>
      <c r="I1049" s="78"/>
      <c r="J1049" s="78"/>
      <c r="K1049" s="78"/>
      <c r="L1049" s="78"/>
      <c r="V1049" s="78"/>
      <c r="W1049" s="78"/>
      <c r="X1049" s="78"/>
    </row>
    <row r="1050" spans="1:24">
      <c r="A1050" s="34">
        <v>1048</v>
      </c>
      <c r="I1050" s="78"/>
      <c r="J1050" s="78"/>
      <c r="K1050" s="78"/>
      <c r="L1050" s="78"/>
      <c r="V1050" s="78"/>
      <c r="W1050" s="78"/>
      <c r="X1050" s="78"/>
    </row>
    <row r="1051" spans="1:24">
      <c r="A1051" s="34">
        <v>1049</v>
      </c>
      <c r="I1051" s="78"/>
      <c r="J1051" s="78"/>
      <c r="K1051" s="78"/>
      <c r="L1051" s="78"/>
      <c r="V1051" s="78"/>
      <c r="W1051" s="78"/>
      <c r="X1051" s="78"/>
    </row>
    <row r="1052" spans="1:24">
      <c r="A1052" s="34">
        <v>1050</v>
      </c>
      <c r="I1052" s="78"/>
      <c r="J1052" s="78"/>
      <c r="K1052" s="78"/>
      <c r="L1052" s="78"/>
      <c r="V1052" s="78"/>
      <c r="W1052" s="78"/>
      <c r="X1052" s="78"/>
    </row>
    <row r="1053" spans="1:24">
      <c r="A1053" s="34">
        <v>1051</v>
      </c>
      <c r="I1053" s="78"/>
      <c r="J1053" s="78"/>
      <c r="K1053" s="78"/>
      <c r="L1053" s="78"/>
      <c r="V1053" s="78"/>
      <c r="W1053" s="78"/>
      <c r="X1053" s="78"/>
    </row>
    <row r="1054" spans="1:24">
      <c r="A1054" s="34">
        <v>1052</v>
      </c>
      <c r="I1054" s="78"/>
      <c r="J1054" s="78"/>
      <c r="K1054" s="78"/>
      <c r="L1054" s="78"/>
      <c r="V1054" s="78"/>
      <c r="W1054" s="78"/>
      <c r="X1054" s="78"/>
    </row>
    <row r="1055" spans="1:24">
      <c r="A1055" s="34">
        <v>1053</v>
      </c>
      <c r="I1055" s="78"/>
      <c r="J1055" s="78"/>
      <c r="K1055" s="78"/>
      <c r="L1055" s="78"/>
      <c r="V1055" s="78"/>
      <c r="W1055" s="78"/>
      <c r="X1055" s="78"/>
    </row>
    <row r="1056" spans="1:24">
      <c r="A1056" s="34">
        <v>1054</v>
      </c>
      <c r="I1056" s="78"/>
      <c r="J1056" s="78"/>
      <c r="K1056" s="78"/>
      <c r="L1056" s="78"/>
      <c r="V1056" s="78"/>
      <c r="W1056" s="78"/>
      <c r="X1056" s="78"/>
    </row>
    <row r="1057" spans="1:24">
      <c r="A1057" s="34">
        <v>1055</v>
      </c>
      <c r="I1057" s="78"/>
      <c r="J1057" s="78"/>
      <c r="K1057" s="78"/>
      <c r="L1057" s="78"/>
      <c r="V1057" s="78"/>
      <c r="W1057" s="78"/>
      <c r="X1057" s="78"/>
    </row>
    <row r="1058" spans="1:24">
      <c r="A1058" s="34">
        <v>1056</v>
      </c>
      <c r="I1058" s="78"/>
      <c r="J1058" s="78"/>
      <c r="K1058" s="78"/>
      <c r="L1058" s="78"/>
      <c r="V1058" s="78"/>
      <c r="W1058" s="78"/>
      <c r="X1058" s="78"/>
    </row>
    <row r="1059" spans="1:24">
      <c r="A1059" s="34">
        <v>1057</v>
      </c>
      <c r="I1059" s="78"/>
      <c r="J1059" s="78"/>
      <c r="K1059" s="78"/>
      <c r="L1059" s="78"/>
      <c r="V1059" s="78"/>
      <c r="W1059" s="78"/>
      <c r="X1059" s="78"/>
    </row>
    <row r="1060" spans="1:24">
      <c r="A1060" s="34">
        <v>1058</v>
      </c>
      <c r="I1060" s="78"/>
      <c r="J1060" s="78"/>
      <c r="K1060" s="78"/>
      <c r="L1060" s="78"/>
      <c r="V1060" s="78"/>
      <c r="W1060" s="78"/>
      <c r="X1060" s="78"/>
    </row>
    <row r="1061" spans="1:24">
      <c r="A1061" s="34">
        <v>1059</v>
      </c>
      <c r="I1061" s="78"/>
      <c r="J1061" s="78"/>
      <c r="K1061" s="78"/>
      <c r="L1061" s="78"/>
      <c r="V1061" s="78"/>
      <c r="W1061" s="78"/>
      <c r="X1061" s="78"/>
    </row>
    <row r="1062" spans="1:24">
      <c r="A1062" s="34">
        <v>1060</v>
      </c>
      <c r="I1062" s="78"/>
      <c r="J1062" s="78"/>
      <c r="K1062" s="78"/>
      <c r="L1062" s="78"/>
      <c r="V1062" s="78"/>
      <c r="W1062" s="78"/>
      <c r="X1062" s="78"/>
    </row>
    <row r="1063" spans="1:24">
      <c r="A1063" s="34">
        <v>1061</v>
      </c>
      <c r="I1063" s="78"/>
      <c r="J1063" s="78"/>
      <c r="K1063" s="78"/>
      <c r="L1063" s="78"/>
      <c r="V1063" s="78"/>
      <c r="W1063" s="78"/>
      <c r="X1063" s="78"/>
    </row>
    <row r="1064" spans="1:24">
      <c r="A1064" s="34">
        <v>1062</v>
      </c>
      <c r="I1064" s="78"/>
      <c r="J1064" s="78"/>
      <c r="K1064" s="78"/>
      <c r="L1064" s="78"/>
      <c r="V1064" s="78"/>
      <c r="W1064" s="78"/>
      <c r="X1064" s="78"/>
    </row>
    <row r="1065" spans="1:24">
      <c r="A1065" s="34">
        <v>1063</v>
      </c>
      <c r="I1065" s="78"/>
      <c r="J1065" s="78"/>
      <c r="K1065" s="78"/>
      <c r="L1065" s="78"/>
      <c r="V1065" s="78"/>
      <c r="W1065" s="78"/>
      <c r="X1065" s="78"/>
    </row>
    <row r="1066" spans="1:24">
      <c r="A1066" s="34">
        <v>1064</v>
      </c>
      <c r="I1066" s="78"/>
      <c r="J1066" s="78"/>
      <c r="K1066" s="78"/>
      <c r="L1066" s="78"/>
      <c r="V1066" s="78"/>
      <c r="W1066" s="78"/>
      <c r="X1066" s="78"/>
    </row>
    <row r="1067" spans="1:24">
      <c r="A1067" s="34">
        <v>1065</v>
      </c>
      <c r="I1067" s="78"/>
      <c r="J1067" s="78"/>
      <c r="K1067" s="78"/>
      <c r="L1067" s="78"/>
      <c r="V1067" s="78"/>
      <c r="W1067" s="78"/>
      <c r="X1067" s="78"/>
    </row>
    <row r="1068" spans="1:24">
      <c r="A1068" s="34">
        <v>1066</v>
      </c>
      <c r="I1068" s="78"/>
      <c r="J1068" s="78"/>
      <c r="K1068" s="78"/>
      <c r="L1068" s="78"/>
      <c r="V1068" s="78"/>
      <c r="W1068" s="78"/>
      <c r="X1068" s="78"/>
    </row>
    <row r="1069" spans="1:24">
      <c r="A1069" s="34">
        <v>1067</v>
      </c>
      <c r="I1069" s="78"/>
      <c r="J1069" s="78"/>
      <c r="K1069" s="78"/>
      <c r="L1069" s="78"/>
      <c r="V1069" s="78"/>
      <c r="W1069" s="78"/>
      <c r="X1069" s="78"/>
    </row>
    <row r="1070" spans="1:24">
      <c r="A1070" s="34">
        <v>1068</v>
      </c>
      <c r="I1070" s="78"/>
      <c r="J1070" s="78"/>
      <c r="K1070" s="78"/>
      <c r="L1070" s="78"/>
      <c r="V1070" s="78"/>
      <c r="W1070" s="78"/>
      <c r="X1070" s="78"/>
    </row>
    <row r="1071" spans="1:24">
      <c r="A1071" s="34">
        <v>1069</v>
      </c>
      <c r="I1071" s="78"/>
      <c r="J1071" s="78"/>
      <c r="K1071" s="78"/>
      <c r="L1071" s="78"/>
      <c r="V1071" s="78"/>
      <c r="W1071" s="78"/>
      <c r="X1071" s="78"/>
    </row>
    <row r="1072" spans="1:24">
      <c r="A1072" s="34">
        <v>1070</v>
      </c>
      <c r="I1072" s="78"/>
      <c r="J1072" s="78"/>
      <c r="K1072" s="78"/>
      <c r="L1072" s="78"/>
      <c r="V1072" s="78"/>
      <c r="W1072" s="78"/>
      <c r="X1072" s="78"/>
    </row>
    <row r="1073" spans="1:24">
      <c r="A1073" s="34">
        <v>1071</v>
      </c>
      <c r="I1073" s="78"/>
      <c r="J1073" s="78"/>
      <c r="K1073" s="78"/>
      <c r="L1073" s="78"/>
      <c r="V1073" s="78"/>
      <c r="W1073" s="78"/>
      <c r="X1073" s="78"/>
    </row>
    <row r="1074" spans="1:24">
      <c r="A1074" s="34">
        <v>1072</v>
      </c>
      <c r="I1074" s="78"/>
      <c r="J1074" s="78"/>
      <c r="K1074" s="78"/>
      <c r="L1074" s="78"/>
      <c r="V1074" s="78"/>
      <c r="W1074" s="78"/>
      <c r="X1074" s="78"/>
    </row>
    <row r="1075" spans="1:24">
      <c r="A1075" s="34">
        <v>1073</v>
      </c>
      <c r="I1075" s="78"/>
      <c r="J1075" s="78"/>
      <c r="K1075" s="78"/>
      <c r="L1075" s="78"/>
      <c r="V1075" s="78"/>
      <c r="W1075" s="78"/>
      <c r="X1075" s="78"/>
    </row>
    <row r="1076" spans="1:24">
      <c r="A1076" s="34">
        <v>1074</v>
      </c>
      <c r="I1076" s="78"/>
      <c r="J1076" s="78"/>
      <c r="K1076" s="78"/>
      <c r="L1076" s="78"/>
      <c r="V1076" s="78"/>
      <c r="W1076" s="78"/>
      <c r="X1076" s="78"/>
    </row>
    <row r="1077" spans="1:24">
      <c r="A1077" s="34">
        <v>1075</v>
      </c>
      <c r="I1077" s="78"/>
      <c r="J1077" s="78"/>
      <c r="K1077" s="78"/>
      <c r="L1077" s="78"/>
      <c r="V1077" s="78"/>
      <c r="W1077" s="78"/>
      <c r="X1077" s="78"/>
    </row>
    <row r="1078" spans="1:24">
      <c r="A1078" s="34">
        <v>1076</v>
      </c>
      <c r="I1078" s="78"/>
      <c r="J1078" s="78"/>
      <c r="K1078" s="78"/>
      <c r="L1078" s="78"/>
      <c r="V1078" s="78"/>
      <c r="W1078" s="78"/>
      <c r="X1078" s="78"/>
    </row>
    <row r="1079" spans="1:24">
      <c r="A1079" s="34">
        <v>1077</v>
      </c>
      <c r="I1079" s="78"/>
      <c r="J1079" s="78"/>
      <c r="K1079" s="78"/>
      <c r="L1079" s="78"/>
      <c r="V1079" s="78"/>
      <c r="W1079" s="78"/>
      <c r="X1079" s="78"/>
    </row>
    <row r="1080" spans="1:24">
      <c r="A1080" s="34">
        <v>1078</v>
      </c>
      <c r="I1080" s="78"/>
      <c r="J1080" s="78"/>
      <c r="K1080" s="78"/>
      <c r="L1080" s="78"/>
      <c r="V1080" s="78"/>
      <c r="W1080" s="78"/>
      <c r="X1080" s="78"/>
    </row>
    <row r="1081" spans="1:24">
      <c r="A1081" s="34">
        <v>1079</v>
      </c>
      <c r="I1081" s="78"/>
      <c r="J1081" s="78"/>
      <c r="K1081" s="78"/>
      <c r="L1081" s="78"/>
      <c r="V1081" s="78"/>
      <c r="W1081" s="78"/>
      <c r="X1081" s="78"/>
    </row>
    <row r="1082" spans="1:24">
      <c r="A1082" s="34">
        <v>1080</v>
      </c>
      <c r="I1082" s="78"/>
      <c r="J1082" s="78"/>
      <c r="K1082" s="78"/>
      <c r="L1082" s="78"/>
      <c r="V1082" s="78"/>
      <c r="W1082" s="78"/>
      <c r="X1082" s="78"/>
    </row>
    <row r="1083" spans="1:24">
      <c r="A1083" s="34">
        <v>1081</v>
      </c>
      <c r="I1083" s="78"/>
      <c r="J1083" s="78"/>
      <c r="K1083" s="78"/>
      <c r="L1083" s="78"/>
      <c r="V1083" s="78"/>
      <c r="W1083" s="78"/>
      <c r="X1083" s="78"/>
    </row>
    <row r="1084" spans="1:24">
      <c r="A1084" s="34">
        <v>1082</v>
      </c>
      <c r="I1084" s="78"/>
      <c r="J1084" s="78"/>
      <c r="K1084" s="78"/>
      <c r="L1084" s="78"/>
      <c r="V1084" s="78"/>
      <c r="W1084" s="78"/>
      <c r="X1084" s="78"/>
    </row>
    <row r="1085" spans="1:24">
      <c r="A1085" s="34">
        <v>1083</v>
      </c>
      <c r="I1085" s="78"/>
      <c r="J1085" s="78"/>
      <c r="K1085" s="78"/>
      <c r="L1085" s="78"/>
      <c r="V1085" s="78"/>
      <c r="W1085" s="78"/>
      <c r="X1085" s="78"/>
    </row>
    <row r="1086" spans="1:24">
      <c r="A1086" s="34">
        <v>1084</v>
      </c>
      <c r="I1086" s="78"/>
      <c r="J1086" s="78"/>
      <c r="K1086" s="78"/>
      <c r="L1086" s="78"/>
      <c r="V1086" s="78"/>
      <c r="W1086" s="78"/>
      <c r="X1086" s="78"/>
    </row>
    <row r="1087" spans="1:24">
      <c r="A1087" s="34">
        <v>1085</v>
      </c>
      <c r="I1087" s="78"/>
      <c r="J1087" s="78"/>
      <c r="K1087" s="78"/>
      <c r="L1087" s="78"/>
      <c r="V1087" s="78"/>
      <c r="W1087" s="78"/>
      <c r="X1087" s="78"/>
    </row>
    <row r="1088" spans="1:24">
      <c r="A1088" s="34">
        <v>1086</v>
      </c>
      <c r="I1088" s="78"/>
      <c r="J1088" s="78"/>
      <c r="K1088" s="78"/>
      <c r="L1088" s="78"/>
      <c r="V1088" s="78"/>
      <c r="W1088" s="78"/>
      <c r="X1088" s="78"/>
    </row>
    <row r="1089" spans="1:24">
      <c r="A1089" s="34">
        <v>1087</v>
      </c>
      <c r="I1089" s="78"/>
      <c r="J1089" s="78"/>
      <c r="K1089" s="78"/>
      <c r="L1089" s="78"/>
      <c r="V1089" s="78"/>
      <c r="W1089" s="78"/>
      <c r="X1089" s="78"/>
    </row>
    <row r="1090" spans="1:24">
      <c r="A1090" s="34">
        <v>1088</v>
      </c>
      <c r="I1090" s="78"/>
      <c r="J1090" s="78"/>
      <c r="K1090" s="78"/>
      <c r="L1090" s="78"/>
      <c r="V1090" s="78"/>
      <c r="W1090" s="78"/>
      <c r="X1090" s="78"/>
    </row>
    <row r="1091" spans="1:24">
      <c r="A1091" s="34">
        <v>1089</v>
      </c>
      <c r="I1091" s="78"/>
      <c r="J1091" s="78"/>
      <c r="K1091" s="78"/>
      <c r="L1091" s="78"/>
      <c r="V1091" s="78"/>
      <c r="W1091" s="78"/>
      <c r="X1091" s="78"/>
    </row>
    <row r="1092" spans="1:24">
      <c r="A1092" s="34">
        <v>1090</v>
      </c>
      <c r="I1092" s="78"/>
      <c r="J1092" s="78"/>
      <c r="K1092" s="78"/>
      <c r="L1092" s="78"/>
      <c r="V1092" s="78"/>
      <c r="W1092" s="78"/>
      <c r="X1092" s="78"/>
    </row>
    <row r="1093" spans="1:24">
      <c r="A1093" s="34">
        <v>1091</v>
      </c>
      <c r="I1093" s="78"/>
      <c r="J1093" s="78"/>
      <c r="K1093" s="78"/>
      <c r="L1093" s="78"/>
      <c r="V1093" s="78"/>
      <c r="W1093" s="78"/>
      <c r="X1093" s="78"/>
    </row>
    <row r="1094" spans="1:24">
      <c r="A1094" s="34">
        <v>1092</v>
      </c>
      <c r="I1094" s="78"/>
      <c r="J1094" s="78"/>
      <c r="K1094" s="78"/>
      <c r="L1094" s="78"/>
      <c r="V1094" s="78"/>
      <c r="W1094" s="78"/>
      <c r="X1094" s="78"/>
    </row>
    <row r="1095" spans="1:24">
      <c r="A1095" s="34">
        <v>1093</v>
      </c>
      <c r="I1095" s="78"/>
      <c r="J1095" s="78"/>
      <c r="K1095" s="78"/>
      <c r="L1095" s="78"/>
      <c r="V1095" s="78"/>
      <c r="W1095" s="78"/>
      <c r="X1095" s="78"/>
    </row>
    <row r="1096" spans="1:24">
      <c r="A1096" s="34">
        <v>1094</v>
      </c>
      <c r="I1096" s="78"/>
      <c r="J1096" s="78"/>
      <c r="K1096" s="78"/>
      <c r="L1096" s="78"/>
      <c r="V1096" s="78"/>
      <c r="W1096" s="78"/>
      <c r="X1096" s="78"/>
    </row>
    <row r="1097" spans="1:24">
      <c r="A1097" s="34">
        <v>1095</v>
      </c>
      <c r="I1097" s="78"/>
      <c r="J1097" s="78"/>
      <c r="K1097" s="78"/>
      <c r="L1097" s="78"/>
      <c r="V1097" s="78"/>
      <c r="W1097" s="78"/>
      <c r="X1097" s="78"/>
    </row>
    <row r="1098" spans="1:24">
      <c r="A1098" s="34">
        <v>1096</v>
      </c>
      <c r="I1098" s="78"/>
      <c r="J1098" s="78"/>
      <c r="K1098" s="78"/>
      <c r="L1098" s="78"/>
      <c r="V1098" s="78"/>
      <c r="W1098" s="78"/>
      <c r="X1098" s="78"/>
    </row>
    <row r="1099" spans="1:24">
      <c r="A1099" s="34">
        <v>1097</v>
      </c>
      <c r="I1099" s="78"/>
      <c r="J1099" s="78"/>
      <c r="K1099" s="78"/>
      <c r="L1099" s="78"/>
      <c r="V1099" s="78"/>
      <c r="W1099" s="78"/>
      <c r="X1099" s="78"/>
    </row>
    <row r="1100" spans="1:24">
      <c r="A1100" s="34">
        <v>1098</v>
      </c>
      <c r="I1100" s="78"/>
      <c r="J1100" s="78"/>
      <c r="K1100" s="78"/>
      <c r="L1100" s="78"/>
      <c r="V1100" s="78"/>
      <c r="W1100" s="78"/>
      <c r="X1100" s="78"/>
    </row>
    <row r="1101" spans="1:24">
      <c r="A1101" s="34">
        <v>1099</v>
      </c>
      <c r="I1101" s="78"/>
      <c r="J1101" s="78"/>
      <c r="K1101" s="78"/>
      <c r="L1101" s="78"/>
      <c r="V1101" s="78"/>
      <c r="W1101" s="78"/>
      <c r="X1101" s="78"/>
    </row>
    <row r="1102" spans="1:24">
      <c r="A1102" s="34">
        <v>1100</v>
      </c>
      <c r="I1102" s="78"/>
      <c r="J1102" s="78"/>
      <c r="K1102" s="78"/>
      <c r="L1102" s="78"/>
      <c r="V1102" s="78"/>
      <c r="W1102" s="78"/>
      <c r="X1102" s="78"/>
    </row>
    <row r="1103" spans="1:24">
      <c r="A1103" s="34">
        <v>1101</v>
      </c>
      <c r="I1103" s="78"/>
      <c r="J1103" s="78"/>
      <c r="K1103" s="78"/>
      <c r="L1103" s="78"/>
      <c r="V1103" s="78"/>
      <c r="W1103" s="78"/>
      <c r="X1103" s="78"/>
    </row>
    <row r="1104" spans="1:24">
      <c r="A1104" s="34">
        <v>1102</v>
      </c>
      <c r="I1104" s="78"/>
      <c r="J1104" s="78"/>
      <c r="K1104" s="78"/>
      <c r="L1104" s="78"/>
      <c r="V1104" s="78"/>
      <c r="W1104" s="78"/>
      <c r="X1104" s="78"/>
    </row>
    <row r="1105" spans="1:24">
      <c r="A1105" s="34">
        <v>1103</v>
      </c>
      <c r="I1105" s="78"/>
      <c r="J1105" s="78"/>
      <c r="K1105" s="78"/>
      <c r="L1105" s="78"/>
      <c r="V1105" s="78"/>
      <c r="W1105" s="78"/>
      <c r="X1105" s="78"/>
    </row>
    <row r="1106" spans="1:24">
      <c r="A1106" s="34">
        <v>1104</v>
      </c>
      <c r="I1106" s="78"/>
      <c r="J1106" s="78"/>
      <c r="K1106" s="78"/>
      <c r="L1106" s="78"/>
      <c r="V1106" s="78"/>
      <c r="W1106" s="78"/>
      <c r="X1106" s="78"/>
    </row>
    <row r="1107" spans="1:24">
      <c r="A1107" s="34">
        <v>1105</v>
      </c>
      <c r="I1107" s="78"/>
      <c r="J1107" s="78"/>
      <c r="K1107" s="78"/>
      <c r="L1107" s="78"/>
      <c r="V1107" s="78"/>
      <c r="W1107" s="78"/>
      <c r="X1107" s="78"/>
    </row>
    <row r="1108" spans="1:24">
      <c r="A1108" s="34">
        <v>1106</v>
      </c>
      <c r="I1108" s="78"/>
      <c r="J1108" s="78"/>
      <c r="K1108" s="78"/>
      <c r="L1108" s="78"/>
      <c r="V1108" s="78"/>
      <c r="W1108" s="78"/>
      <c r="X1108" s="78"/>
    </row>
    <row r="1109" spans="1:24">
      <c r="A1109" s="34">
        <v>1107</v>
      </c>
      <c r="I1109" s="78"/>
      <c r="J1109" s="78"/>
      <c r="K1109" s="78"/>
      <c r="L1109" s="78"/>
      <c r="V1109" s="78"/>
      <c r="W1109" s="78"/>
      <c r="X1109" s="78"/>
    </row>
    <row r="1110" spans="1:24">
      <c r="A1110" s="34">
        <v>1108</v>
      </c>
      <c r="I1110" s="78"/>
      <c r="J1110" s="78"/>
      <c r="K1110" s="78"/>
      <c r="L1110" s="78"/>
      <c r="V1110" s="78"/>
      <c r="W1110" s="78"/>
      <c r="X1110" s="78"/>
    </row>
    <row r="1111" spans="1:24">
      <c r="A1111" s="34">
        <v>1109</v>
      </c>
      <c r="I1111" s="78"/>
      <c r="J1111" s="78"/>
      <c r="K1111" s="78"/>
      <c r="L1111" s="78"/>
      <c r="V1111" s="78"/>
      <c r="W1111" s="78"/>
      <c r="X1111" s="78"/>
    </row>
    <row r="1112" spans="1:24">
      <c r="A1112" s="34">
        <v>1110</v>
      </c>
      <c r="I1112" s="78"/>
      <c r="J1112" s="78"/>
      <c r="K1112" s="78"/>
      <c r="L1112" s="78"/>
      <c r="V1112" s="78"/>
      <c r="W1112" s="78"/>
      <c r="X1112" s="78"/>
    </row>
    <row r="1113" spans="1:24">
      <c r="A1113" s="34">
        <v>1111</v>
      </c>
      <c r="I1113" s="78"/>
      <c r="J1113" s="78"/>
      <c r="K1113" s="78"/>
      <c r="L1113" s="78"/>
      <c r="V1113" s="78"/>
      <c r="W1113" s="78"/>
      <c r="X1113" s="78"/>
    </row>
    <row r="1114" spans="1:24">
      <c r="A1114" s="34">
        <v>1112</v>
      </c>
      <c r="I1114" s="78"/>
      <c r="J1114" s="78"/>
      <c r="K1114" s="78"/>
      <c r="L1114" s="78"/>
      <c r="V1114" s="78"/>
      <c r="W1114" s="78"/>
      <c r="X1114" s="78"/>
    </row>
    <row r="1115" spans="1:24">
      <c r="A1115" s="34">
        <v>1113</v>
      </c>
      <c r="I1115" s="78"/>
      <c r="J1115" s="78"/>
      <c r="K1115" s="78"/>
      <c r="L1115" s="78"/>
      <c r="V1115" s="78"/>
      <c r="W1115" s="78"/>
      <c r="X1115" s="78"/>
    </row>
    <row r="1116" spans="1:24">
      <c r="A1116" s="34">
        <v>1114</v>
      </c>
      <c r="I1116" s="78"/>
      <c r="J1116" s="78"/>
      <c r="K1116" s="78"/>
      <c r="L1116" s="78"/>
      <c r="V1116" s="78"/>
      <c r="W1116" s="78"/>
      <c r="X1116" s="78"/>
    </row>
    <row r="1117" spans="1:24">
      <c r="A1117" s="34">
        <v>1115</v>
      </c>
      <c r="I1117" s="78"/>
      <c r="J1117" s="78"/>
      <c r="K1117" s="78"/>
      <c r="L1117" s="78"/>
      <c r="V1117" s="78"/>
      <c r="W1117" s="78"/>
      <c r="X1117" s="78"/>
    </row>
    <row r="1118" spans="1:24">
      <c r="A1118" s="34">
        <v>1116</v>
      </c>
      <c r="I1118" s="78"/>
      <c r="J1118" s="78"/>
      <c r="K1118" s="78"/>
      <c r="L1118" s="78"/>
      <c r="V1118" s="78"/>
      <c r="W1118" s="78"/>
      <c r="X1118" s="78"/>
    </row>
    <row r="1119" spans="1:24">
      <c r="A1119" s="34">
        <v>1117</v>
      </c>
      <c r="I1119" s="78"/>
      <c r="J1119" s="78"/>
      <c r="K1119" s="78"/>
      <c r="L1119" s="78"/>
      <c r="V1119" s="78"/>
      <c r="W1119" s="78"/>
      <c r="X1119" s="78"/>
    </row>
    <row r="1120" spans="1:24">
      <c r="A1120" s="34">
        <v>1118</v>
      </c>
      <c r="I1120" s="78"/>
      <c r="J1120" s="78"/>
      <c r="K1120" s="78"/>
      <c r="L1120" s="78"/>
      <c r="V1120" s="78"/>
      <c r="W1120" s="78"/>
      <c r="X1120" s="78"/>
    </row>
    <row r="1121" spans="1:24">
      <c r="A1121" s="34">
        <v>1119</v>
      </c>
      <c r="I1121" s="78"/>
      <c r="J1121" s="78"/>
      <c r="K1121" s="78"/>
      <c r="L1121" s="78"/>
      <c r="V1121" s="78"/>
      <c r="W1121" s="78"/>
      <c r="X1121" s="78"/>
    </row>
    <row r="1122" spans="1:24">
      <c r="A1122" s="34">
        <v>1120</v>
      </c>
      <c r="I1122" s="78"/>
      <c r="J1122" s="78"/>
      <c r="K1122" s="78"/>
      <c r="L1122" s="78"/>
      <c r="V1122" s="78"/>
      <c r="W1122" s="78"/>
      <c r="X1122" s="78"/>
    </row>
    <row r="1123" spans="1:24">
      <c r="A1123" s="34">
        <v>1121</v>
      </c>
      <c r="I1123" s="78"/>
      <c r="J1123" s="78"/>
      <c r="K1123" s="78"/>
      <c r="L1123" s="78"/>
      <c r="V1123" s="78"/>
      <c r="W1123" s="78"/>
      <c r="X1123" s="78"/>
    </row>
    <row r="1124" spans="1:24">
      <c r="A1124" s="34">
        <v>1122</v>
      </c>
      <c r="I1124" s="78"/>
      <c r="J1124" s="78"/>
      <c r="K1124" s="78"/>
      <c r="L1124" s="78"/>
      <c r="V1124" s="78"/>
      <c r="W1124" s="78"/>
      <c r="X1124" s="78"/>
    </row>
    <row r="1125" spans="1:24">
      <c r="A1125" s="34">
        <v>1123</v>
      </c>
      <c r="I1125" s="78"/>
      <c r="J1125" s="78"/>
      <c r="K1125" s="78"/>
      <c r="L1125" s="78"/>
      <c r="V1125" s="78"/>
      <c r="W1125" s="78"/>
      <c r="X1125" s="78"/>
    </row>
    <row r="1126" spans="1:24">
      <c r="A1126" s="34">
        <v>1124</v>
      </c>
      <c r="I1126" s="78"/>
      <c r="J1126" s="78"/>
      <c r="K1126" s="78"/>
      <c r="L1126" s="78"/>
      <c r="V1126" s="78"/>
      <c r="W1126" s="78"/>
      <c r="X1126" s="78"/>
    </row>
    <row r="1127" spans="1:24">
      <c r="A1127" s="34">
        <v>1125</v>
      </c>
      <c r="I1127" s="78"/>
      <c r="J1127" s="78"/>
      <c r="K1127" s="78"/>
      <c r="L1127" s="78"/>
      <c r="V1127" s="78"/>
      <c r="W1127" s="78"/>
      <c r="X1127" s="78"/>
    </row>
    <row r="1128" spans="1:24">
      <c r="A1128" s="34">
        <v>1126</v>
      </c>
      <c r="I1128" s="78"/>
      <c r="J1128" s="78"/>
      <c r="K1128" s="78"/>
      <c r="L1128" s="78"/>
      <c r="V1128" s="78"/>
      <c r="W1128" s="78"/>
      <c r="X1128" s="78"/>
    </row>
    <row r="1129" spans="1:24">
      <c r="A1129" s="34">
        <v>1127</v>
      </c>
      <c r="I1129" s="78"/>
      <c r="J1129" s="78"/>
      <c r="K1129" s="78"/>
      <c r="L1129" s="78"/>
      <c r="V1129" s="78"/>
      <c r="W1129" s="78"/>
      <c r="X1129" s="78"/>
    </row>
    <row r="1130" spans="1:24">
      <c r="A1130" s="34">
        <v>1128</v>
      </c>
      <c r="I1130" s="78"/>
      <c r="J1130" s="78"/>
      <c r="K1130" s="78"/>
      <c r="L1130" s="78"/>
      <c r="V1130" s="78"/>
      <c r="W1130" s="78"/>
      <c r="X1130" s="78"/>
    </row>
    <row r="1131" spans="1:24">
      <c r="A1131" s="34">
        <v>1129</v>
      </c>
      <c r="I1131" s="78"/>
      <c r="J1131" s="78"/>
      <c r="K1131" s="78"/>
      <c r="L1131" s="78"/>
      <c r="V1131" s="78"/>
      <c r="W1131" s="78"/>
      <c r="X1131" s="78"/>
    </row>
    <row r="1132" spans="1:24">
      <c r="A1132" s="34">
        <v>1130</v>
      </c>
      <c r="I1132" s="78"/>
      <c r="J1132" s="78"/>
      <c r="K1132" s="78"/>
      <c r="L1132" s="78"/>
      <c r="V1132" s="78"/>
      <c r="W1132" s="78"/>
      <c r="X1132" s="78"/>
    </row>
    <row r="1133" spans="1:24">
      <c r="A1133" s="34">
        <v>1131</v>
      </c>
      <c r="I1133" s="78"/>
      <c r="J1133" s="78"/>
      <c r="K1133" s="78"/>
      <c r="L1133" s="78"/>
      <c r="V1133" s="78"/>
      <c r="W1133" s="78"/>
      <c r="X1133" s="78"/>
    </row>
    <row r="1134" spans="1:24">
      <c r="A1134" s="34">
        <v>1132</v>
      </c>
      <c r="I1134" s="78"/>
      <c r="J1134" s="78"/>
      <c r="K1134" s="78"/>
      <c r="L1134" s="78"/>
      <c r="V1134" s="78"/>
      <c r="W1134" s="78"/>
      <c r="X1134" s="78"/>
    </row>
    <row r="1135" spans="1:24">
      <c r="A1135" s="34">
        <v>1133</v>
      </c>
      <c r="I1135" s="78"/>
      <c r="J1135" s="78"/>
      <c r="K1135" s="78"/>
      <c r="L1135" s="78"/>
      <c r="V1135" s="78"/>
      <c r="W1135" s="78"/>
      <c r="X1135" s="78"/>
    </row>
    <row r="1136" spans="1:24">
      <c r="A1136" s="34">
        <v>1134</v>
      </c>
      <c r="I1136" s="78"/>
      <c r="J1136" s="78"/>
      <c r="K1136" s="78"/>
      <c r="L1136" s="78"/>
      <c r="V1136" s="78"/>
      <c r="W1136" s="78"/>
      <c r="X1136" s="78"/>
    </row>
    <row r="1137" spans="1:24">
      <c r="A1137" s="34">
        <v>1135</v>
      </c>
      <c r="I1137" s="78"/>
      <c r="J1137" s="78"/>
      <c r="K1137" s="78"/>
      <c r="L1137" s="78"/>
      <c r="V1137" s="78"/>
      <c r="W1137" s="78"/>
      <c r="X1137" s="78"/>
    </row>
    <row r="1138" spans="1:24">
      <c r="A1138" s="34">
        <v>1136</v>
      </c>
      <c r="I1138" s="78"/>
      <c r="J1138" s="78"/>
      <c r="K1138" s="78"/>
      <c r="L1138" s="78"/>
      <c r="V1138" s="78"/>
      <c r="W1138" s="78"/>
      <c r="X1138" s="78"/>
    </row>
    <row r="1139" spans="1:24">
      <c r="A1139" s="34">
        <v>1137</v>
      </c>
      <c r="I1139" s="78"/>
      <c r="J1139" s="78"/>
      <c r="K1139" s="78"/>
      <c r="L1139" s="78"/>
      <c r="V1139" s="78"/>
      <c r="W1139" s="78"/>
      <c r="X1139" s="78"/>
    </row>
    <row r="1140" spans="1:24">
      <c r="A1140" s="34">
        <v>1138</v>
      </c>
      <c r="I1140" s="78"/>
      <c r="J1140" s="78"/>
      <c r="K1140" s="78"/>
      <c r="L1140" s="78"/>
      <c r="V1140" s="78"/>
      <c r="W1140" s="78"/>
      <c r="X1140" s="78"/>
    </row>
    <row r="1141" spans="1:24">
      <c r="A1141" s="34">
        <v>1139</v>
      </c>
      <c r="I1141" s="78"/>
      <c r="J1141" s="78"/>
      <c r="K1141" s="78"/>
      <c r="L1141" s="78"/>
      <c r="V1141" s="78"/>
      <c r="W1141" s="78"/>
      <c r="X1141" s="78"/>
    </row>
    <row r="1142" spans="1:24">
      <c r="A1142" s="34">
        <v>1140</v>
      </c>
      <c r="I1142" s="78"/>
      <c r="J1142" s="78"/>
      <c r="K1142" s="78"/>
      <c r="L1142" s="78"/>
      <c r="V1142" s="78"/>
      <c r="W1142" s="78"/>
      <c r="X1142" s="78"/>
    </row>
    <row r="1143" spans="1:24">
      <c r="A1143" s="34">
        <v>1141</v>
      </c>
      <c r="I1143" s="78"/>
      <c r="J1143" s="78"/>
      <c r="K1143" s="78"/>
      <c r="L1143" s="78"/>
      <c r="V1143" s="78"/>
      <c r="W1143" s="78"/>
      <c r="X1143" s="78"/>
    </row>
    <row r="1144" spans="1:24">
      <c r="A1144" s="34">
        <v>1142</v>
      </c>
      <c r="I1144" s="78"/>
      <c r="J1144" s="78"/>
      <c r="K1144" s="78"/>
      <c r="L1144" s="78"/>
      <c r="V1144" s="78"/>
      <c r="W1144" s="78"/>
      <c r="X1144" s="78"/>
    </row>
    <row r="1145" spans="1:24">
      <c r="A1145" s="34">
        <v>1143</v>
      </c>
      <c r="I1145" s="78"/>
      <c r="J1145" s="78"/>
      <c r="K1145" s="78"/>
      <c r="L1145" s="78"/>
      <c r="V1145" s="78"/>
      <c r="W1145" s="78"/>
      <c r="X1145" s="78"/>
    </row>
    <row r="1146" spans="1:24">
      <c r="A1146" s="34">
        <v>1144</v>
      </c>
      <c r="I1146" s="78"/>
      <c r="J1146" s="78"/>
      <c r="K1146" s="78"/>
      <c r="L1146" s="78"/>
      <c r="V1146" s="78"/>
      <c r="W1146" s="78"/>
      <c r="X1146" s="78"/>
    </row>
    <row r="1147" spans="1:24">
      <c r="A1147" s="34">
        <v>1145</v>
      </c>
      <c r="I1147" s="78"/>
      <c r="J1147" s="78"/>
      <c r="K1147" s="78"/>
      <c r="L1147" s="78"/>
      <c r="V1147" s="78"/>
      <c r="W1147" s="78"/>
      <c r="X1147" s="78"/>
    </row>
    <row r="1148" spans="1:24">
      <c r="A1148" s="34">
        <v>1146</v>
      </c>
      <c r="I1148" s="78"/>
      <c r="J1148" s="78"/>
      <c r="K1148" s="78"/>
      <c r="L1148" s="78"/>
      <c r="V1148" s="78"/>
      <c r="W1148" s="78"/>
      <c r="X1148" s="78"/>
    </row>
    <row r="1149" spans="1:24">
      <c r="A1149" s="34">
        <v>1147</v>
      </c>
      <c r="I1149" s="78"/>
      <c r="J1149" s="78"/>
      <c r="K1149" s="78"/>
      <c r="L1149" s="78"/>
      <c r="V1149" s="78"/>
      <c r="W1149" s="78"/>
      <c r="X1149" s="78"/>
    </row>
    <row r="1150" spans="1:24">
      <c r="A1150" s="34">
        <v>1148</v>
      </c>
      <c r="I1150" s="78"/>
      <c r="J1150" s="78"/>
      <c r="K1150" s="78"/>
      <c r="L1150" s="78"/>
      <c r="V1150" s="78"/>
      <c r="W1150" s="78"/>
      <c r="X1150" s="78"/>
    </row>
    <row r="1151" spans="1:24">
      <c r="A1151" s="34">
        <v>1149</v>
      </c>
      <c r="I1151" s="78"/>
      <c r="J1151" s="78"/>
      <c r="K1151" s="78"/>
      <c r="L1151" s="78"/>
      <c r="V1151" s="78"/>
      <c r="W1151" s="78"/>
      <c r="X1151" s="78"/>
    </row>
    <row r="1152" spans="1:24">
      <c r="A1152" s="34">
        <v>1150</v>
      </c>
      <c r="I1152" s="78"/>
      <c r="J1152" s="78"/>
      <c r="K1152" s="78"/>
      <c r="L1152" s="78"/>
      <c r="V1152" s="78"/>
      <c r="W1152" s="78"/>
      <c r="X1152" s="78"/>
    </row>
    <row r="1153" spans="1:24">
      <c r="A1153" s="34">
        <v>1151</v>
      </c>
      <c r="I1153" s="78"/>
      <c r="J1153" s="78"/>
      <c r="K1153" s="78"/>
      <c r="L1153" s="78"/>
      <c r="V1153" s="78"/>
      <c r="W1153" s="78"/>
      <c r="X1153" s="78"/>
    </row>
    <row r="1154" spans="1:24">
      <c r="A1154" s="34">
        <v>1152</v>
      </c>
      <c r="I1154" s="78"/>
      <c r="J1154" s="78"/>
      <c r="K1154" s="78"/>
      <c r="L1154" s="78"/>
      <c r="V1154" s="78"/>
      <c r="W1154" s="78"/>
      <c r="X1154" s="78"/>
    </row>
    <row r="1155" spans="1:24">
      <c r="A1155" s="34">
        <v>1153</v>
      </c>
      <c r="I1155" s="78"/>
      <c r="J1155" s="78"/>
      <c r="K1155" s="78"/>
      <c r="L1155" s="78"/>
      <c r="V1155" s="78"/>
      <c r="W1155" s="78"/>
      <c r="X1155" s="78"/>
    </row>
    <row r="1156" spans="1:24">
      <c r="A1156" s="34">
        <v>1154</v>
      </c>
      <c r="I1156" s="78"/>
      <c r="J1156" s="78"/>
      <c r="K1156" s="78"/>
      <c r="L1156" s="78"/>
      <c r="V1156" s="78"/>
      <c r="W1156" s="78"/>
      <c r="X1156" s="78"/>
    </row>
    <row r="1157" spans="1:24">
      <c r="A1157" s="34">
        <v>1155</v>
      </c>
      <c r="I1157" s="78"/>
      <c r="J1157" s="78"/>
      <c r="K1157" s="78"/>
      <c r="L1157" s="78"/>
      <c r="V1157" s="78"/>
      <c r="W1157" s="78"/>
      <c r="X1157" s="78"/>
    </row>
    <row r="1158" spans="1:24">
      <c r="A1158" s="34">
        <v>1156</v>
      </c>
      <c r="I1158" s="78"/>
      <c r="J1158" s="78"/>
      <c r="K1158" s="78"/>
      <c r="L1158" s="78"/>
      <c r="V1158" s="78"/>
      <c r="W1158" s="78"/>
      <c r="X1158" s="78"/>
    </row>
    <row r="1159" spans="1:24">
      <c r="A1159" s="34">
        <v>1157</v>
      </c>
      <c r="I1159" s="78"/>
      <c r="J1159" s="78"/>
      <c r="K1159" s="78"/>
      <c r="L1159" s="78"/>
      <c r="V1159" s="78"/>
      <c r="W1159" s="78"/>
      <c r="X1159" s="78"/>
    </row>
    <row r="1160" spans="1:24">
      <c r="A1160" s="34">
        <v>1158</v>
      </c>
      <c r="I1160" s="78"/>
      <c r="J1160" s="78"/>
      <c r="K1160" s="78"/>
      <c r="L1160" s="78"/>
      <c r="V1160" s="78"/>
      <c r="W1160" s="78"/>
      <c r="X1160" s="78"/>
    </row>
    <row r="1161" spans="1:24">
      <c r="A1161" s="34">
        <v>1159</v>
      </c>
      <c r="I1161" s="78"/>
      <c r="J1161" s="78"/>
      <c r="K1161" s="78"/>
      <c r="L1161" s="78"/>
      <c r="V1161" s="78"/>
      <c r="W1161" s="78"/>
      <c r="X1161" s="78"/>
    </row>
    <row r="1162" spans="1:24">
      <c r="A1162" s="34">
        <v>1160</v>
      </c>
      <c r="I1162" s="78"/>
      <c r="J1162" s="78"/>
      <c r="K1162" s="78"/>
      <c r="L1162" s="78"/>
      <c r="V1162" s="78"/>
      <c r="W1162" s="78"/>
      <c r="X1162" s="78"/>
    </row>
    <row r="1163" spans="1:24">
      <c r="A1163" s="34">
        <v>1161</v>
      </c>
      <c r="I1163" s="78"/>
      <c r="J1163" s="78"/>
      <c r="K1163" s="78"/>
      <c r="L1163" s="78"/>
      <c r="V1163" s="78"/>
      <c r="W1163" s="78"/>
      <c r="X1163" s="78"/>
    </row>
    <row r="1164" spans="1:24">
      <c r="A1164" s="34">
        <v>1162</v>
      </c>
      <c r="I1164" s="78"/>
      <c r="J1164" s="78"/>
      <c r="K1164" s="78"/>
      <c r="L1164" s="78"/>
      <c r="V1164" s="78"/>
      <c r="W1164" s="78"/>
      <c r="X1164" s="78"/>
    </row>
    <row r="1165" spans="1:24">
      <c r="A1165" s="34">
        <v>1163</v>
      </c>
      <c r="I1165" s="78"/>
      <c r="J1165" s="78"/>
      <c r="K1165" s="78"/>
      <c r="L1165" s="78"/>
      <c r="V1165" s="78"/>
      <c r="W1165" s="78"/>
      <c r="X1165" s="78"/>
    </row>
    <row r="1166" spans="1:24">
      <c r="A1166" s="34">
        <v>1164</v>
      </c>
      <c r="I1166" s="78"/>
      <c r="J1166" s="78"/>
      <c r="K1166" s="78"/>
      <c r="L1166" s="78"/>
      <c r="V1166" s="78"/>
      <c r="W1166" s="78"/>
      <c r="X1166" s="78"/>
    </row>
    <row r="1167" spans="1:24">
      <c r="A1167" s="34">
        <v>1165</v>
      </c>
      <c r="I1167" s="78"/>
      <c r="J1167" s="78"/>
      <c r="K1167" s="78"/>
      <c r="L1167" s="78"/>
      <c r="V1167" s="78"/>
      <c r="W1167" s="78"/>
      <c r="X1167" s="78"/>
    </row>
    <row r="1168" spans="1:24">
      <c r="A1168" s="34">
        <v>1166</v>
      </c>
      <c r="I1168" s="78"/>
      <c r="J1168" s="78"/>
      <c r="K1168" s="78"/>
      <c r="L1168" s="78"/>
      <c r="V1168" s="78"/>
      <c r="W1168" s="78"/>
      <c r="X1168" s="78"/>
    </row>
    <row r="1169" spans="1:24">
      <c r="A1169" s="34">
        <v>1167</v>
      </c>
      <c r="I1169" s="78"/>
      <c r="J1169" s="78"/>
      <c r="K1169" s="78"/>
      <c r="L1169" s="78"/>
      <c r="V1169" s="78"/>
      <c r="W1169" s="78"/>
      <c r="X1169" s="78"/>
    </row>
    <row r="1170" spans="1:24">
      <c r="A1170" s="34">
        <v>1168</v>
      </c>
      <c r="I1170" s="78"/>
      <c r="J1170" s="78"/>
      <c r="K1170" s="78"/>
      <c r="L1170" s="78"/>
      <c r="V1170" s="78"/>
      <c r="W1170" s="78"/>
      <c r="X1170" s="78"/>
    </row>
    <row r="1171" spans="1:24">
      <c r="A1171" s="34">
        <v>1169</v>
      </c>
      <c r="I1171" s="78"/>
      <c r="J1171" s="78"/>
      <c r="K1171" s="78"/>
      <c r="L1171" s="78"/>
      <c r="V1171" s="78"/>
      <c r="W1171" s="78"/>
      <c r="X1171" s="78"/>
    </row>
    <row r="1172" spans="1:24">
      <c r="A1172" s="34">
        <v>1170</v>
      </c>
      <c r="I1172" s="78"/>
      <c r="J1172" s="78"/>
      <c r="K1172" s="78"/>
      <c r="L1172" s="78"/>
      <c r="V1172" s="78"/>
      <c r="W1172" s="78"/>
      <c r="X1172" s="78"/>
    </row>
    <row r="1173" spans="1:24">
      <c r="A1173" s="34">
        <v>1171</v>
      </c>
      <c r="I1173" s="78"/>
      <c r="J1173" s="78"/>
      <c r="K1173" s="78"/>
      <c r="L1173" s="78"/>
      <c r="V1173" s="78"/>
      <c r="W1173" s="78"/>
      <c r="X1173" s="78"/>
    </row>
    <row r="1174" spans="1:24">
      <c r="A1174" s="34">
        <v>1172</v>
      </c>
      <c r="I1174" s="78"/>
      <c r="J1174" s="78"/>
      <c r="K1174" s="78"/>
      <c r="L1174" s="78"/>
      <c r="V1174" s="78"/>
      <c r="W1174" s="78"/>
      <c r="X1174" s="78"/>
    </row>
    <row r="1175" spans="1:24">
      <c r="A1175" s="34">
        <v>1173</v>
      </c>
      <c r="I1175" s="78"/>
      <c r="J1175" s="78"/>
      <c r="K1175" s="78"/>
      <c r="L1175" s="78"/>
      <c r="V1175" s="78"/>
      <c r="W1175" s="78"/>
      <c r="X1175" s="78"/>
    </row>
    <row r="1176" spans="1:24">
      <c r="A1176" s="34">
        <v>1174</v>
      </c>
      <c r="I1176" s="78"/>
      <c r="J1176" s="78"/>
      <c r="K1176" s="78"/>
      <c r="L1176" s="78"/>
      <c r="V1176" s="78"/>
      <c r="W1176" s="78"/>
      <c r="X1176" s="78"/>
    </row>
    <row r="1177" spans="1:24">
      <c r="A1177" s="34">
        <v>1175</v>
      </c>
      <c r="I1177" s="78"/>
      <c r="J1177" s="78"/>
      <c r="K1177" s="78"/>
      <c r="L1177" s="78"/>
      <c r="V1177" s="78"/>
      <c r="W1177" s="78"/>
      <c r="X1177" s="78"/>
    </row>
    <row r="1178" spans="1:24">
      <c r="A1178" s="34">
        <v>1176</v>
      </c>
      <c r="I1178" s="78"/>
      <c r="J1178" s="78"/>
      <c r="K1178" s="78"/>
      <c r="L1178" s="78"/>
      <c r="V1178" s="78"/>
      <c r="W1178" s="78"/>
      <c r="X1178" s="78"/>
    </row>
    <row r="1179" spans="1:24">
      <c r="A1179" s="34">
        <v>1177</v>
      </c>
      <c r="I1179" s="78"/>
      <c r="J1179" s="78"/>
      <c r="K1179" s="78"/>
      <c r="L1179" s="78"/>
      <c r="V1179" s="78"/>
      <c r="W1179" s="78"/>
      <c r="X1179" s="78"/>
    </row>
    <row r="1180" spans="1:24">
      <c r="A1180" s="34">
        <v>1178</v>
      </c>
      <c r="I1180" s="78"/>
      <c r="J1180" s="78"/>
      <c r="K1180" s="78"/>
      <c r="L1180" s="78"/>
      <c r="V1180" s="78"/>
      <c r="W1180" s="78"/>
      <c r="X1180" s="78"/>
    </row>
    <row r="1181" spans="1:24">
      <c r="A1181" s="34">
        <v>1179</v>
      </c>
      <c r="I1181" s="78"/>
      <c r="J1181" s="78"/>
      <c r="K1181" s="78"/>
      <c r="L1181" s="78"/>
      <c r="V1181" s="78"/>
      <c r="W1181" s="78"/>
      <c r="X1181" s="78"/>
    </row>
    <row r="1182" spans="1:24">
      <c r="A1182" s="34">
        <v>1180</v>
      </c>
      <c r="I1182" s="78"/>
      <c r="J1182" s="78"/>
      <c r="K1182" s="78"/>
      <c r="L1182" s="78"/>
      <c r="V1182" s="78"/>
      <c r="W1182" s="78"/>
      <c r="X1182" s="78"/>
    </row>
    <row r="1183" spans="1:24">
      <c r="A1183" s="34">
        <v>1181</v>
      </c>
      <c r="I1183" s="78"/>
      <c r="J1183" s="78"/>
      <c r="K1183" s="78"/>
      <c r="L1183" s="78"/>
      <c r="V1183" s="78"/>
      <c r="W1183" s="78"/>
      <c r="X1183" s="78"/>
    </row>
    <row r="1184" spans="1:24">
      <c r="A1184" s="34">
        <v>1182</v>
      </c>
      <c r="I1184" s="78"/>
      <c r="J1184" s="78"/>
      <c r="K1184" s="78"/>
      <c r="L1184" s="78"/>
      <c r="V1184" s="78"/>
      <c r="W1184" s="78"/>
      <c r="X1184" s="78"/>
    </row>
    <row r="1185" spans="1:24">
      <c r="A1185" s="34">
        <v>1183</v>
      </c>
      <c r="I1185" s="78"/>
      <c r="J1185" s="78"/>
      <c r="K1185" s="78"/>
      <c r="L1185" s="78"/>
      <c r="V1185" s="78"/>
      <c r="W1185" s="78"/>
      <c r="X1185" s="78"/>
    </row>
    <row r="1186" spans="1:24">
      <c r="A1186" s="34">
        <v>1184</v>
      </c>
      <c r="I1186" s="78"/>
      <c r="J1186" s="78"/>
      <c r="K1186" s="78"/>
      <c r="L1186" s="78"/>
      <c r="V1186" s="78"/>
      <c r="W1186" s="78"/>
      <c r="X1186" s="78"/>
    </row>
    <row r="1187" spans="1:24">
      <c r="A1187" s="34">
        <v>1185</v>
      </c>
      <c r="I1187" s="78"/>
      <c r="J1187" s="78"/>
      <c r="K1187" s="78"/>
      <c r="L1187" s="78"/>
      <c r="V1187" s="78"/>
      <c r="W1187" s="78"/>
      <c r="X1187" s="78"/>
    </row>
    <row r="1188" spans="1:24">
      <c r="A1188" s="34">
        <v>1186</v>
      </c>
      <c r="I1188" s="78"/>
      <c r="J1188" s="78"/>
      <c r="K1188" s="78"/>
      <c r="L1188" s="78"/>
      <c r="V1188" s="78"/>
      <c r="W1188" s="78"/>
      <c r="X1188" s="78"/>
    </row>
    <row r="1189" spans="1:24">
      <c r="A1189" s="34">
        <v>1187</v>
      </c>
      <c r="I1189" s="78"/>
      <c r="J1189" s="78"/>
      <c r="K1189" s="78"/>
      <c r="L1189" s="78"/>
      <c r="V1189" s="78"/>
      <c r="W1189" s="78"/>
      <c r="X1189" s="78"/>
    </row>
    <row r="1190" spans="1:24">
      <c r="A1190" s="34">
        <v>1188</v>
      </c>
      <c r="I1190" s="78"/>
      <c r="J1190" s="78"/>
      <c r="K1190" s="78"/>
      <c r="L1190" s="78"/>
      <c r="V1190" s="78"/>
      <c r="W1190" s="78"/>
      <c r="X1190" s="78"/>
    </row>
    <row r="1191" spans="1:24">
      <c r="A1191" s="34">
        <v>1189</v>
      </c>
      <c r="I1191" s="78"/>
      <c r="J1191" s="78"/>
      <c r="K1191" s="78"/>
      <c r="L1191" s="78"/>
      <c r="V1191" s="78"/>
      <c r="W1191" s="78"/>
      <c r="X1191" s="78"/>
    </row>
    <row r="1192" spans="1:24">
      <c r="A1192" s="34">
        <v>1190</v>
      </c>
      <c r="I1192" s="78"/>
      <c r="J1192" s="78"/>
      <c r="K1192" s="78"/>
      <c r="L1192" s="78"/>
      <c r="V1192" s="78"/>
      <c r="W1192" s="78"/>
      <c r="X1192" s="78"/>
    </row>
    <row r="1193" spans="1:24">
      <c r="A1193" s="34">
        <v>1191</v>
      </c>
      <c r="I1193" s="78"/>
      <c r="J1193" s="78"/>
      <c r="K1193" s="78"/>
      <c r="L1193" s="78"/>
      <c r="V1193" s="78"/>
      <c r="W1193" s="78"/>
      <c r="X1193" s="78"/>
    </row>
    <row r="1194" spans="1:24">
      <c r="A1194" s="34">
        <v>1192</v>
      </c>
      <c r="I1194" s="78"/>
      <c r="J1194" s="78"/>
      <c r="K1194" s="78"/>
      <c r="L1194" s="78"/>
      <c r="V1194" s="78"/>
      <c r="W1194" s="78"/>
      <c r="X1194" s="78"/>
    </row>
    <row r="1195" spans="1:24">
      <c r="A1195" s="34">
        <v>1193</v>
      </c>
      <c r="I1195" s="78"/>
      <c r="J1195" s="78"/>
      <c r="K1195" s="78"/>
      <c r="L1195" s="78"/>
      <c r="V1195" s="78"/>
      <c r="W1195" s="78"/>
      <c r="X1195" s="78"/>
    </row>
    <row r="1196" spans="1:24">
      <c r="A1196" s="34">
        <v>1194</v>
      </c>
      <c r="I1196" s="78"/>
      <c r="J1196" s="78"/>
      <c r="K1196" s="78"/>
      <c r="L1196" s="78"/>
      <c r="V1196" s="78"/>
      <c r="W1196" s="78"/>
      <c r="X1196" s="78"/>
    </row>
    <row r="1197" spans="1:24">
      <c r="A1197" s="34">
        <v>1195</v>
      </c>
      <c r="I1197" s="78"/>
      <c r="J1197" s="78"/>
      <c r="K1197" s="78"/>
      <c r="L1197" s="78"/>
      <c r="V1197" s="78"/>
      <c r="W1197" s="78"/>
      <c r="X1197" s="78"/>
    </row>
    <row r="1198" spans="1:24">
      <c r="A1198" s="34">
        <v>1196</v>
      </c>
      <c r="I1198" s="78"/>
      <c r="J1198" s="78"/>
      <c r="K1198" s="78"/>
      <c r="L1198" s="78"/>
      <c r="V1198" s="78"/>
      <c r="W1198" s="78"/>
      <c r="X1198" s="78"/>
    </row>
    <row r="1199" spans="1:24">
      <c r="A1199" s="34">
        <v>1197</v>
      </c>
      <c r="I1199" s="78"/>
      <c r="J1199" s="78"/>
      <c r="K1199" s="78"/>
      <c r="L1199" s="78"/>
      <c r="V1199" s="78"/>
      <c r="W1199" s="78"/>
      <c r="X1199" s="78"/>
    </row>
    <row r="1200" spans="1:24">
      <c r="A1200" s="34">
        <v>1198</v>
      </c>
      <c r="I1200" s="78"/>
      <c r="J1200" s="78"/>
      <c r="K1200" s="78"/>
      <c r="L1200" s="78"/>
      <c r="V1200" s="78"/>
      <c r="W1200" s="78"/>
      <c r="X1200" s="78"/>
    </row>
    <row r="1201" spans="1:24">
      <c r="A1201" s="34">
        <v>1199</v>
      </c>
      <c r="I1201" s="78"/>
      <c r="J1201" s="78"/>
      <c r="K1201" s="78"/>
      <c r="L1201" s="78"/>
      <c r="V1201" s="78"/>
      <c r="W1201" s="78"/>
      <c r="X1201" s="78"/>
    </row>
    <row r="1202" spans="1:24">
      <c r="A1202" s="34">
        <v>1200</v>
      </c>
      <c r="I1202" s="78"/>
      <c r="J1202" s="78"/>
      <c r="K1202" s="78"/>
      <c r="L1202" s="78"/>
      <c r="V1202" s="78"/>
      <c r="W1202" s="78"/>
      <c r="X1202" s="78"/>
    </row>
    <row r="1203" spans="1:24">
      <c r="A1203" s="34">
        <v>1201</v>
      </c>
      <c r="I1203" s="78"/>
      <c r="J1203" s="78"/>
      <c r="K1203" s="78"/>
      <c r="L1203" s="78"/>
      <c r="V1203" s="78"/>
      <c r="W1203" s="78"/>
      <c r="X1203" s="78"/>
    </row>
    <row r="1204" spans="1:24">
      <c r="A1204" s="34">
        <v>1202</v>
      </c>
      <c r="I1204" s="78"/>
      <c r="J1204" s="78"/>
      <c r="K1204" s="78"/>
      <c r="L1204" s="78"/>
      <c r="V1204" s="78"/>
      <c r="W1204" s="78"/>
      <c r="X1204" s="78"/>
    </row>
    <row r="1205" spans="1:24">
      <c r="A1205" s="34">
        <v>1203</v>
      </c>
      <c r="I1205" s="78"/>
      <c r="J1205" s="78"/>
      <c r="K1205" s="78"/>
      <c r="L1205" s="78"/>
      <c r="V1205" s="78"/>
      <c r="W1205" s="78"/>
      <c r="X1205" s="78"/>
    </row>
    <row r="1206" spans="1:24">
      <c r="A1206" s="34">
        <v>1204</v>
      </c>
      <c r="I1206" s="78"/>
      <c r="J1206" s="78"/>
      <c r="K1206" s="78"/>
      <c r="L1206" s="78"/>
      <c r="V1206" s="78"/>
      <c r="W1206" s="78"/>
      <c r="X1206" s="78"/>
    </row>
    <row r="1207" spans="1:24">
      <c r="A1207" s="34">
        <v>1205</v>
      </c>
      <c r="I1207" s="78"/>
      <c r="J1207" s="78"/>
      <c r="K1207" s="78"/>
      <c r="L1207" s="78"/>
      <c r="V1207" s="78"/>
      <c r="W1207" s="78"/>
      <c r="X1207" s="78"/>
    </row>
    <row r="1208" spans="1:24">
      <c r="A1208" s="34">
        <v>1206</v>
      </c>
      <c r="I1208" s="78"/>
      <c r="J1208" s="78"/>
      <c r="K1208" s="78"/>
      <c r="L1208" s="78"/>
      <c r="V1208" s="78"/>
      <c r="W1208" s="78"/>
      <c r="X1208" s="78"/>
    </row>
    <row r="1209" spans="1:24">
      <c r="A1209" s="34">
        <v>1207</v>
      </c>
      <c r="I1209" s="78"/>
      <c r="J1209" s="78"/>
      <c r="K1209" s="78"/>
      <c r="L1209" s="78"/>
      <c r="V1209" s="78"/>
      <c r="W1209" s="78"/>
      <c r="X1209" s="78"/>
    </row>
    <row r="1210" spans="1:24">
      <c r="A1210" s="34">
        <v>1208</v>
      </c>
      <c r="I1210" s="78"/>
      <c r="J1210" s="78"/>
      <c r="K1210" s="78"/>
      <c r="L1210" s="78"/>
      <c r="V1210" s="78"/>
      <c r="W1210" s="78"/>
      <c r="X1210" s="78"/>
    </row>
    <row r="1211" spans="1:24">
      <c r="A1211" s="34">
        <v>1209</v>
      </c>
      <c r="I1211" s="78"/>
      <c r="J1211" s="78"/>
      <c r="K1211" s="78"/>
      <c r="L1211" s="78"/>
      <c r="V1211" s="78"/>
      <c r="W1211" s="78"/>
      <c r="X1211" s="78"/>
    </row>
    <row r="1212" spans="1:24">
      <c r="A1212" s="34">
        <v>1210</v>
      </c>
      <c r="I1212" s="78"/>
      <c r="J1212" s="78"/>
      <c r="K1212" s="78"/>
      <c r="L1212" s="78"/>
      <c r="V1212" s="78"/>
      <c r="W1212" s="78"/>
      <c r="X1212" s="78"/>
    </row>
    <row r="1213" spans="1:24">
      <c r="A1213" s="34">
        <v>1211</v>
      </c>
      <c r="I1213" s="78"/>
      <c r="J1213" s="78"/>
      <c r="K1213" s="78"/>
      <c r="L1213" s="78"/>
      <c r="V1213" s="78"/>
      <c r="W1213" s="78"/>
      <c r="X1213" s="78"/>
    </row>
    <row r="1214" spans="1:24">
      <c r="A1214" s="34">
        <v>1212</v>
      </c>
      <c r="I1214" s="78"/>
      <c r="J1214" s="78"/>
      <c r="K1214" s="78"/>
      <c r="L1214" s="78"/>
      <c r="V1214" s="78"/>
      <c r="W1214" s="78"/>
      <c r="X1214" s="78"/>
    </row>
    <row r="1215" spans="1:24">
      <c r="A1215" s="34">
        <v>1213</v>
      </c>
      <c r="I1215" s="78"/>
      <c r="J1215" s="78"/>
      <c r="K1215" s="78"/>
      <c r="L1215" s="78"/>
      <c r="V1215" s="78"/>
      <c r="W1215" s="78"/>
      <c r="X1215" s="78"/>
    </row>
    <row r="1216" spans="1:24">
      <c r="A1216" s="34"/>
      <c r="I1216" s="78"/>
      <c r="J1216" s="78"/>
      <c r="K1216" s="78"/>
      <c r="L1216" s="78"/>
      <c r="V1216" s="78"/>
      <c r="W1216" s="78"/>
      <c r="X1216" s="78"/>
    </row>
    <row r="1217" spans="1:24">
      <c r="A1217" s="34"/>
      <c r="I1217" s="78"/>
      <c r="J1217" s="78"/>
      <c r="K1217" s="78"/>
      <c r="L1217" s="78"/>
      <c r="V1217" s="78"/>
      <c r="W1217" s="78"/>
      <c r="X1217" s="78"/>
    </row>
    <row r="1218" spans="1:24">
      <c r="A1218" s="34"/>
      <c r="I1218" s="78"/>
      <c r="J1218" s="78"/>
      <c r="K1218" s="78"/>
      <c r="L1218" s="78"/>
      <c r="V1218" s="78"/>
      <c r="W1218" s="78"/>
      <c r="X1218" s="78"/>
    </row>
    <row r="1219" spans="1:24">
      <c r="A1219" s="34"/>
      <c r="I1219" s="78"/>
      <c r="J1219" s="78"/>
      <c r="K1219" s="78"/>
      <c r="L1219" s="78"/>
      <c r="V1219" s="78"/>
      <c r="W1219" s="78"/>
      <c r="X1219" s="78"/>
    </row>
    <row r="1220" spans="1:24">
      <c r="A1220" s="34"/>
      <c r="I1220" s="78"/>
      <c r="J1220" s="78"/>
      <c r="K1220" s="78"/>
      <c r="L1220" s="78"/>
      <c r="V1220" s="78"/>
      <c r="W1220" s="78"/>
      <c r="X1220" s="78"/>
    </row>
    <row r="1221" spans="1:24">
      <c r="A1221" s="34"/>
      <c r="I1221" s="78"/>
      <c r="J1221" s="78"/>
      <c r="K1221" s="78"/>
      <c r="L1221" s="78"/>
      <c r="V1221" s="78"/>
      <c r="W1221" s="78"/>
      <c r="X1221" s="78"/>
    </row>
    <row r="1222" spans="1:24">
      <c r="A1222" s="34"/>
      <c r="I1222" s="78"/>
      <c r="J1222" s="78"/>
      <c r="K1222" s="78"/>
      <c r="L1222" s="78"/>
      <c r="V1222" s="78"/>
      <c r="W1222" s="78"/>
      <c r="X1222" s="78"/>
    </row>
    <row r="1223" spans="1:24">
      <c r="A1223" s="34"/>
      <c r="I1223" s="78"/>
      <c r="J1223" s="78"/>
      <c r="K1223" s="78"/>
      <c r="L1223" s="78"/>
      <c r="V1223" s="78"/>
      <c r="W1223" s="78"/>
      <c r="X1223" s="78"/>
    </row>
    <row r="1224" spans="1:24">
      <c r="A1224" s="34"/>
      <c r="I1224" s="78"/>
      <c r="J1224" s="78"/>
      <c r="K1224" s="78"/>
      <c r="L1224" s="78"/>
      <c r="V1224" s="78"/>
      <c r="W1224" s="78"/>
      <c r="X1224" s="78"/>
    </row>
    <row r="1225" spans="1:24">
      <c r="A1225" s="34"/>
      <c r="I1225" s="78"/>
      <c r="J1225" s="78"/>
      <c r="K1225" s="78"/>
      <c r="L1225" s="78"/>
      <c r="V1225" s="78"/>
      <c r="W1225" s="78"/>
      <c r="X1225" s="78"/>
    </row>
    <row r="1226" spans="1:24">
      <c r="A1226" s="34"/>
      <c r="I1226" s="78"/>
      <c r="J1226" s="78"/>
      <c r="K1226" s="78"/>
      <c r="L1226" s="78"/>
      <c r="V1226" s="78"/>
      <c r="W1226" s="78"/>
      <c r="X1226" s="78"/>
    </row>
    <row r="1227" spans="1:24">
      <c r="A1227" s="34"/>
      <c r="I1227" s="78"/>
      <c r="J1227" s="78"/>
      <c r="K1227" s="78"/>
      <c r="L1227" s="78"/>
      <c r="V1227" s="78"/>
      <c r="W1227" s="78"/>
      <c r="X1227" s="78"/>
    </row>
    <row r="1228" spans="1:24">
      <c r="A1228" s="34"/>
      <c r="I1228" s="78"/>
      <c r="J1228" s="78"/>
      <c r="K1228" s="78"/>
      <c r="L1228" s="78"/>
      <c r="V1228" s="78"/>
      <c r="W1228" s="78"/>
      <c r="X1228" s="78"/>
    </row>
    <row r="1229" spans="1:24">
      <c r="A1229" s="34"/>
      <c r="I1229" s="78"/>
      <c r="J1229" s="78"/>
      <c r="K1229" s="78"/>
      <c r="L1229" s="78"/>
      <c r="V1229" s="78"/>
      <c r="W1229" s="78"/>
      <c r="X1229" s="78"/>
    </row>
    <row r="1230" spans="1:24">
      <c r="A1230" s="34"/>
      <c r="I1230" s="78"/>
      <c r="J1230" s="78"/>
      <c r="K1230" s="78"/>
      <c r="L1230" s="78"/>
      <c r="V1230" s="78"/>
      <c r="W1230" s="78"/>
      <c r="X1230" s="78"/>
    </row>
    <row r="1231" spans="1:24">
      <c r="A1231" s="34"/>
      <c r="I1231" s="78"/>
      <c r="J1231" s="78"/>
      <c r="K1231" s="78"/>
      <c r="L1231" s="78"/>
      <c r="V1231" s="78"/>
      <c r="W1231" s="78"/>
      <c r="X1231" s="78"/>
    </row>
    <row r="1232" spans="1:24">
      <c r="A1232" s="34"/>
      <c r="I1232" s="78"/>
      <c r="J1232" s="78"/>
      <c r="K1232" s="78"/>
      <c r="L1232" s="78"/>
      <c r="V1232" s="78"/>
      <c r="W1232" s="78"/>
      <c r="X1232" s="78"/>
    </row>
    <row r="1233" spans="1:24">
      <c r="A1233" s="34"/>
      <c r="I1233" s="78"/>
      <c r="J1233" s="78"/>
      <c r="K1233" s="78"/>
      <c r="L1233" s="78"/>
      <c r="V1233" s="78"/>
      <c r="W1233" s="78"/>
      <c r="X1233" s="78"/>
    </row>
    <row r="1234" spans="1:24">
      <c r="A1234" s="34"/>
      <c r="I1234" s="78"/>
      <c r="J1234" s="78"/>
      <c r="K1234" s="78"/>
      <c r="L1234" s="78"/>
      <c r="V1234" s="78"/>
      <c r="W1234" s="78"/>
      <c r="X1234" s="78"/>
    </row>
    <row r="1235" spans="1:24">
      <c r="A1235" s="34"/>
      <c r="I1235" s="78"/>
      <c r="J1235" s="78"/>
      <c r="K1235" s="78"/>
      <c r="L1235" s="78"/>
      <c r="V1235" s="78"/>
      <c r="W1235" s="78"/>
      <c r="X1235" s="78"/>
    </row>
    <row r="1236" spans="1:24">
      <c r="A1236" s="34"/>
      <c r="I1236" s="78"/>
      <c r="J1236" s="78"/>
      <c r="K1236" s="78"/>
      <c r="L1236" s="78"/>
      <c r="V1236" s="78"/>
      <c r="W1236" s="78"/>
      <c r="X1236" s="78"/>
    </row>
    <row r="1237" spans="1:24">
      <c r="A1237" s="34"/>
      <c r="I1237" s="78"/>
      <c r="J1237" s="78"/>
      <c r="K1237" s="78"/>
      <c r="L1237" s="78"/>
      <c r="V1237" s="78"/>
      <c r="W1237" s="78"/>
      <c r="X1237" s="78"/>
    </row>
    <row r="1238" spans="1:24">
      <c r="A1238" s="34"/>
      <c r="I1238" s="78"/>
      <c r="J1238" s="78"/>
      <c r="K1238" s="78"/>
      <c r="L1238" s="78"/>
      <c r="V1238" s="78"/>
      <c r="W1238" s="78"/>
      <c r="X1238" s="78"/>
    </row>
    <row r="1239" spans="1:24">
      <c r="A1239" s="34"/>
      <c r="I1239" s="78"/>
      <c r="J1239" s="78"/>
      <c r="K1239" s="78"/>
      <c r="L1239" s="78"/>
      <c r="V1239" s="78"/>
      <c r="W1239" s="78"/>
      <c r="X1239" s="78"/>
    </row>
    <row r="1240" spans="1:24">
      <c r="A1240" s="34"/>
      <c r="I1240" s="78"/>
      <c r="J1240" s="78"/>
      <c r="K1240" s="78"/>
      <c r="L1240" s="78"/>
      <c r="V1240" s="78"/>
      <c r="W1240" s="78"/>
      <c r="X1240" s="78"/>
    </row>
    <row r="1241" spans="1:24">
      <c r="A1241" s="34"/>
      <c r="I1241" s="78"/>
      <c r="J1241" s="78"/>
      <c r="K1241" s="78"/>
      <c r="L1241" s="78"/>
      <c r="V1241" s="78"/>
      <c r="W1241" s="78"/>
      <c r="X1241" s="78"/>
    </row>
    <row r="1242" spans="1:24">
      <c r="A1242" s="34"/>
      <c r="I1242" s="78"/>
      <c r="J1242" s="78"/>
      <c r="K1242" s="78"/>
      <c r="L1242" s="78"/>
      <c r="V1242" s="78"/>
      <c r="W1242" s="78"/>
      <c r="X1242" s="78"/>
    </row>
    <row r="1243" spans="1:24">
      <c r="A1243" s="34"/>
      <c r="I1243" s="78"/>
      <c r="J1243" s="78"/>
      <c r="K1243" s="78"/>
      <c r="L1243" s="78"/>
      <c r="V1243" s="78"/>
      <c r="W1243" s="78"/>
      <c r="X1243" s="78"/>
    </row>
    <row r="1244" spans="1:24">
      <c r="A1244" s="34"/>
      <c r="I1244" s="78"/>
      <c r="J1244" s="78"/>
      <c r="K1244" s="78"/>
      <c r="L1244" s="78"/>
      <c r="V1244" s="78"/>
      <c r="W1244" s="78"/>
      <c r="X1244" s="78"/>
    </row>
    <row r="1245" spans="1:24">
      <c r="A1245" s="34"/>
      <c r="I1245" s="78"/>
      <c r="J1245" s="78"/>
      <c r="K1245" s="78"/>
      <c r="L1245" s="78"/>
      <c r="V1245" s="78"/>
      <c r="W1245" s="78"/>
      <c r="X1245" s="78"/>
    </row>
    <row r="1246" spans="1:24">
      <c r="A1246" s="34"/>
      <c r="I1246" s="78"/>
      <c r="J1246" s="78"/>
      <c r="K1246" s="78"/>
      <c r="L1246" s="78"/>
      <c r="V1246" s="78"/>
      <c r="W1246" s="78"/>
      <c r="X1246" s="78"/>
    </row>
    <row r="1247" spans="1:24">
      <c r="A1247" s="34"/>
      <c r="I1247" s="78"/>
      <c r="J1247" s="78"/>
      <c r="K1247" s="78"/>
      <c r="L1247" s="78"/>
      <c r="V1247" s="78"/>
      <c r="W1247" s="78"/>
      <c r="X1247" s="78"/>
    </row>
    <row r="1248" spans="1:24">
      <c r="A1248" s="34"/>
      <c r="I1248" s="78"/>
      <c r="J1248" s="78"/>
      <c r="K1248" s="78"/>
      <c r="L1248" s="78"/>
      <c r="V1248" s="78"/>
      <c r="W1248" s="78"/>
      <c r="X1248" s="78"/>
    </row>
    <row r="1249" spans="1:24">
      <c r="A1249" s="34"/>
      <c r="I1249" s="78"/>
      <c r="J1249" s="78"/>
      <c r="K1249" s="78"/>
      <c r="L1249" s="78"/>
      <c r="V1249" s="78"/>
      <c r="W1249" s="78"/>
      <c r="X1249" s="78"/>
    </row>
    <row r="1250" spans="1:24">
      <c r="A1250" s="34"/>
      <c r="I1250" s="78"/>
      <c r="J1250" s="78"/>
      <c r="K1250" s="78"/>
      <c r="L1250" s="78"/>
      <c r="V1250" s="78"/>
      <c r="W1250" s="78"/>
      <c r="X1250" s="78"/>
    </row>
    <row r="1251" spans="1:24">
      <c r="A1251" s="34"/>
      <c r="I1251" s="78"/>
      <c r="J1251" s="78"/>
      <c r="K1251" s="78"/>
      <c r="L1251" s="78"/>
      <c r="V1251" s="78"/>
      <c r="W1251" s="78"/>
      <c r="X1251" s="78"/>
    </row>
    <row r="1252" spans="1:24">
      <c r="A1252" s="34"/>
      <c r="I1252" s="78"/>
      <c r="J1252" s="78"/>
      <c r="K1252" s="78"/>
      <c r="L1252" s="78"/>
      <c r="V1252" s="78"/>
      <c r="W1252" s="78"/>
      <c r="X1252" s="78"/>
    </row>
    <row r="1253" spans="1:24">
      <c r="A1253" s="34"/>
      <c r="I1253" s="78"/>
      <c r="J1253" s="78"/>
      <c r="K1253" s="78"/>
      <c r="L1253" s="78"/>
      <c r="V1253" s="78"/>
      <c r="W1253" s="78"/>
      <c r="X1253" s="78"/>
    </row>
    <row r="1254" spans="1:24">
      <c r="A1254" s="34"/>
      <c r="I1254" s="78"/>
      <c r="J1254" s="78"/>
      <c r="K1254" s="78"/>
      <c r="L1254" s="78"/>
      <c r="V1254" s="78"/>
      <c r="W1254" s="78"/>
      <c r="X1254" s="78"/>
    </row>
    <row r="1255" spans="1:24">
      <c r="A1255" s="34"/>
      <c r="I1255" s="78"/>
      <c r="J1255" s="78"/>
      <c r="K1255" s="78"/>
      <c r="L1255" s="78"/>
      <c r="V1255" s="78"/>
      <c r="W1255" s="78"/>
      <c r="X1255" s="78"/>
    </row>
    <row r="1256" spans="1:24">
      <c r="A1256" s="34"/>
      <c r="I1256" s="78"/>
      <c r="J1256" s="78"/>
      <c r="K1256" s="78"/>
      <c r="L1256" s="78"/>
      <c r="V1256" s="78"/>
      <c r="W1256" s="78"/>
      <c r="X1256" s="78"/>
    </row>
    <row r="1257" spans="1:24">
      <c r="A1257" s="34"/>
      <c r="I1257" s="78"/>
      <c r="J1257" s="78"/>
      <c r="K1257" s="78"/>
      <c r="L1257" s="78"/>
      <c r="V1257" s="78"/>
      <c r="W1257" s="78"/>
      <c r="X1257" s="78"/>
    </row>
    <row r="1258" spans="1:24">
      <c r="A1258" s="34"/>
      <c r="I1258" s="78"/>
      <c r="J1258" s="78"/>
      <c r="K1258" s="78"/>
      <c r="L1258" s="78"/>
      <c r="V1258" s="78"/>
      <c r="W1258" s="78"/>
      <c r="X1258" s="78"/>
    </row>
    <row r="1259" spans="1:24">
      <c r="A1259" s="34"/>
      <c r="I1259" s="78"/>
      <c r="J1259" s="78"/>
      <c r="K1259" s="78"/>
      <c r="L1259" s="78"/>
      <c r="V1259" s="78"/>
      <c r="W1259" s="78"/>
      <c r="X1259" s="78"/>
    </row>
    <row r="1260" spans="1:24">
      <c r="A1260" s="34"/>
      <c r="I1260" s="78"/>
      <c r="J1260" s="78"/>
      <c r="K1260" s="78"/>
      <c r="L1260" s="78"/>
      <c r="V1260" s="78"/>
      <c r="W1260" s="78"/>
      <c r="X1260" s="78"/>
    </row>
    <row r="1261" spans="1:24">
      <c r="A1261" s="34"/>
      <c r="I1261" s="78"/>
      <c r="J1261" s="78"/>
      <c r="K1261" s="78"/>
      <c r="L1261" s="78"/>
      <c r="V1261" s="78"/>
      <c r="W1261" s="78"/>
      <c r="X1261" s="78"/>
    </row>
    <row r="1262" spans="1:24">
      <c r="A1262" s="34"/>
      <c r="I1262" s="78"/>
      <c r="J1262" s="78"/>
      <c r="K1262" s="78"/>
      <c r="L1262" s="78"/>
      <c r="V1262" s="78"/>
      <c r="W1262" s="78"/>
      <c r="X1262" s="78"/>
    </row>
    <row r="1263" spans="1:24">
      <c r="A1263" s="34"/>
      <c r="I1263" s="78"/>
      <c r="J1263" s="78"/>
      <c r="K1263" s="78"/>
      <c r="L1263" s="78"/>
      <c r="V1263" s="78"/>
      <c r="W1263" s="78"/>
      <c r="X1263" s="78"/>
    </row>
    <row r="1264" spans="1:24">
      <c r="A1264" s="34"/>
      <c r="I1264" s="78"/>
      <c r="J1264" s="78"/>
      <c r="K1264" s="78"/>
      <c r="L1264" s="78"/>
      <c r="V1264" s="78"/>
      <c r="W1264" s="78"/>
      <c r="X1264" s="78"/>
    </row>
    <row r="1265" spans="1:24">
      <c r="A1265" s="34"/>
      <c r="I1265" s="78"/>
      <c r="J1265" s="78"/>
      <c r="K1265" s="78"/>
      <c r="L1265" s="78"/>
      <c r="V1265" s="78"/>
      <c r="W1265" s="78"/>
      <c r="X1265" s="78"/>
    </row>
    <row r="1266" spans="1:24">
      <c r="A1266" s="34"/>
      <c r="I1266" s="78"/>
      <c r="J1266" s="78"/>
      <c r="K1266" s="78"/>
      <c r="L1266" s="78"/>
      <c r="V1266" s="78"/>
      <c r="W1266" s="78"/>
      <c r="X1266" s="78"/>
    </row>
    <row r="1267" spans="1:24">
      <c r="A1267" s="34"/>
      <c r="I1267" s="78"/>
      <c r="J1267" s="78"/>
      <c r="K1267" s="78"/>
      <c r="L1267" s="78"/>
      <c r="V1267" s="78"/>
      <c r="W1267" s="78"/>
      <c r="X1267" s="78"/>
    </row>
    <row r="1268" spans="1:24">
      <c r="A1268" s="34"/>
      <c r="I1268" s="78"/>
      <c r="J1268" s="78"/>
      <c r="K1268" s="78"/>
      <c r="L1268" s="78"/>
      <c r="V1268" s="78"/>
      <c r="W1268" s="78"/>
      <c r="X1268" s="78"/>
    </row>
    <row r="1269" spans="1:24">
      <c r="A1269" s="34"/>
      <c r="I1269" s="78"/>
      <c r="J1269" s="78"/>
      <c r="K1269" s="78"/>
      <c r="L1269" s="78"/>
      <c r="V1269" s="78"/>
      <c r="W1269" s="78"/>
      <c r="X1269" s="78"/>
    </row>
    <row r="1270" spans="1:24">
      <c r="A1270" s="34"/>
      <c r="I1270" s="78"/>
      <c r="J1270" s="78"/>
      <c r="K1270" s="78"/>
      <c r="L1270" s="78"/>
      <c r="V1270" s="78"/>
      <c r="W1270" s="78"/>
      <c r="X1270" s="78"/>
    </row>
    <row r="1271" spans="1:24">
      <c r="A1271" s="34"/>
      <c r="I1271" s="78"/>
      <c r="J1271" s="78"/>
      <c r="K1271" s="78"/>
      <c r="L1271" s="78"/>
      <c r="V1271" s="78"/>
      <c r="W1271" s="78"/>
      <c r="X1271" s="78"/>
    </row>
    <row r="1272" spans="1:24">
      <c r="A1272" s="34"/>
      <c r="I1272" s="78"/>
      <c r="J1272" s="78"/>
      <c r="K1272" s="78"/>
      <c r="L1272" s="78"/>
      <c r="V1272" s="78"/>
      <c r="W1272" s="78"/>
      <c r="X1272" s="78"/>
    </row>
    <row r="1273" spans="1:24">
      <c r="A1273" s="34"/>
      <c r="I1273" s="78"/>
      <c r="J1273" s="78"/>
      <c r="K1273" s="78"/>
      <c r="L1273" s="78"/>
      <c r="V1273" s="78"/>
      <c r="W1273" s="78"/>
      <c r="X1273" s="78"/>
    </row>
    <row r="1274" spans="1:24">
      <c r="A1274" s="34"/>
      <c r="I1274" s="78"/>
      <c r="J1274" s="78"/>
      <c r="K1274" s="78"/>
      <c r="L1274" s="78"/>
      <c r="V1274" s="78"/>
      <c r="W1274" s="78"/>
      <c r="X1274" s="78"/>
    </row>
    <row r="1275" spans="1:24">
      <c r="A1275" s="34"/>
      <c r="I1275" s="78"/>
      <c r="J1275" s="78"/>
      <c r="K1275" s="78"/>
      <c r="L1275" s="78"/>
      <c r="V1275" s="78"/>
      <c r="W1275" s="78"/>
      <c r="X1275" s="78"/>
    </row>
    <row r="1276" spans="1:24">
      <c r="A1276" s="34"/>
      <c r="I1276" s="78"/>
      <c r="J1276" s="78"/>
      <c r="K1276" s="78"/>
      <c r="L1276" s="78"/>
      <c r="V1276" s="78"/>
      <c r="W1276" s="78"/>
      <c r="X1276" s="78"/>
    </row>
    <row r="1277" spans="1:24">
      <c r="A1277" s="34"/>
      <c r="I1277" s="78"/>
      <c r="J1277" s="78"/>
      <c r="K1277" s="78"/>
      <c r="L1277" s="78"/>
      <c r="V1277" s="78"/>
      <c r="W1277" s="78"/>
      <c r="X1277" s="78"/>
    </row>
    <row r="1278" spans="1:24">
      <c r="A1278" s="34"/>
      <c r="I1278" s="78"/>
      <c r="J1278" s="78"/>
      <c r="K1278" s="78"/>
      <c r="L1278" s="78"/>
      <c r="V1278" s="78"/>
      <c r="W1278" s="78"/>
      <c r="X1278" s="78"/>
    </row>
    <row r="1279" spans="1:24">
      <c r="A1279" s="34"/>
      <c r="I1279" s="78"/>
      <c r="J1279" s="78"/>
      <c r="K1279" s="78"/>
      <c r="L1279" s="78"/>
      <c r="V1279" s="78"/>
      <c r="W1279" s="78"/>
      <c r="X1279" s="78"/>
    </row>
    <row r="1280" spans="1:24">
      <c r="A1280" s="34"/>
      <c r="I1280" s="78"/>
      <c r="J1280" s="78"/>
      <c r="K1280" s="78"/>
      <c r="L1280" s="78"/>
      <c r="V1280" s="78"/>
      <c r="W1280" s="78"/>
      <c r="X1280" s="78"/>
    </row>
    <row r="1281" spans="1:24">
      <c r="A1281" s="34"/>
      <c r="I1281" s="78"/>
      <c r="J1281" s="78"/>
      <c r="K1281" s="78"/>
      <c r="L1281" s="78"/>
      <c r="V1281" s="78"/>
      <c r="W1281" s="78"/>
      <c r="X1281" s="78"/>
    </row>
    <row r="1282" spans="1:24">
      <c r="A1282" s="34"/>
      <c r="I1282" s="78"/>
      <c r="J1282" s="78"/>
      <c r="K1282" s="78"/>
      <c r="L1282" s="78"/>
      <c r="V1282" s="78"/>
      <c r="W1282" s="78"/>
      <c r="X1282" s="78"/>
    </row>
    <row r="1283" spans="1:24">
      <c r="A1283" s="34"/>
      <c r="I1283" s="78"/>
      <c r="J1283" s="78"/>
      <c r="K1283" s="78"/>
      <c r="L1283" s="78"/>
      <c r="V1283" s="78"/>
      <c r="W1283" s="78"/>
      <c r="X1283" s="78"/>
    </row>
    <row r="1284" spans="1:24">
      <c r="A1284" s="34"/>
      <c r="I1284" s="78"/>
      <c r="J1284" s="78"/>
      <c r="K1284" s="78"/>
      <c r="L1284" s="78"/>
      <c r="V1284" s="78"/>
      <c r="W1284" s="78"/>
      <c r="X1284" s="78"/>
    </row>
    <row r="1285" spans="1:24">
      <c r="A1285" s="34"/>
      <c r="I1285" s="78"/>
      <c r="J1285" s="78"/>
      <c r="K1285" s="78"/>
      <c r="L1285" s="78"/>
      <c r="V1285" s="78"/>
      <c r="W1285" s="78"/>
      <c r="X1285" s="78"/>
    </row>
    <row r="1286" spans="1:24">
      <c r="A1286" s="34"/>
      <c r="I1286" s="78"/>
      <c r="J1286" s="78"/>
      <c r="K1286" s="78"/>
      <c r="L1286" s="78"/>
      <c r="V1286" s="78"/>
      <c r="W1286" s="78"/>
      <c r="X1286" s="78"/>
    </row>
    <row r="1287" spans="1:24">
      <c r="A1287" s="34"/>
      <c r="I1287" s="78"/>
      <c r="J1287" s="78"/>
      <c r="K1287" s="78"/>
      <c r="L1287" s="78"/>
      <c r="V1287" s="78"/>
      <c r="W1287" s="78"/>
      <c r="X1287" s="78"/>
    </row>
    <row r="1288" spans="1:24">
      <c r="A1288" s="34"/>
      <c r="I1288" s="78"/>
      <c r="J1288" s="78"/>
      <c r="K1288" s="78"/>
      <c r="L1288" s="78"/>
      <c r="V1288" s="78"/>
      <c r="W1288" s="78"/>
      <c r="X1288" s="78"/>
    </row>
    <row r="1289" spans="1:24">
      <c r="A1289" s="34"/>
      <c r="I1289" s="78"/>
      <c r="J1289" s="78"/>
      <c r="K1289" s="78"/>
      <c r="L1289" s="78"/>
      <c r="V1289" s="78"/>
      <c r="W1289" s="78"/>
      <c r="X1289" s="78"/>
    </row>
    <row r="1290" spans="1:24">
      <c r="A1290" s="34"/>
      <c r="I1290" s="78"/>
      <c r="J1290" s="78"/>
      <c r="K1290" s="78"/>
      <c r="L1290" s="78"/>
      <c r="V1290" s="78"/>
      <c r="W1290" s="78"/>
      <c r="X1290" s="78"/>
    </row>
    <row r="1291" spans="1:24">
      <c r="A1291" s="34"/>
      <c r="I1291" s="78"/>
      <c r="J1291" s="78"/>
      <c r="K1291" s="78"/>
      <c r="L1291" s="78"/>
      <c r="V1291" s="78"/>
      <c r="W1291" s="78"/>
      <c r="X1291" s="78"/>
    </row>
    <row r="1292" spans="1:24">
      <c r="A1292" s="34"/>
      <c r="I1292" s="78"/>
      <c r="J1292" s="78"/>
      <c r="K1292" s="78"/>
      <c r="L1292" s="78"/>
      <c r="V1292" s="78"/>
      <c r="W1292" s="78"/>
      <c r="X1292" s="78"/>
    </row>
    <row r="1293" spans="1:24">
      <c r="A1293" s="34"/>
      <c r="I1293" s="78"/>
      <c r="J1293" s="78"/>
      <c r="K1293" s="78"/>
      <c r="L1293" s="78"/>
      <c r="V1293" s="78"/>
      <c r="W1293" s="78"/>
      <c r="X1293" s="78"/>
    </row>
    <row r="1294" spans="1:24">
      <c r="A1294" s="34"/>
      <c r="I1294" s="78"/>
      <c r="J1294" s="78"/>
      <c r="K1294" s="78"/>
      <c r="L1294" s="78"/>
      <c r="V1294" s="78"/>
      <c r="W1294" s="78"/>
      <c r="X1294" s="78"/>
    </row>
    <row r="1295" spans="1:24">
      <c r="A1295" s="34"/>
      <c r="I1295" s="78"/>
      <c r="J1295" s="78"/>
      <c r="K1295" s="78"/>
      <c r="L1295" s="78"/>
      <c r="V1295" s="78"/>
      <c r="W1295" s="78"/>
      <c r="X1295" s="78"/>
    </row>
    <row r="1296" spans="1:24">
      <c r="A1296" s="34"/>
      <c r="I1296" s="78"/>
      <c r="J1296" s="78"/>
      <c r="K1296" s="78"/>
      <c r="L1296" s="78"/>
      <c r="V1296" s="78"/>
      <c r="W1296" s="78"/>
      <c r="X1296" s="78"/>
    </row>
    <row r="1297" spans="1:24">
      <c r="A1297" s="34"/>
      <c r="I1297" s="78"/>
      <c r="J1297" s="78"/>
      <c r="K1297" s="78"/>
      <c r="L1297" s="78"/>
      <c r="V1297" s="78"/>
      <c r="W1297" s="78"/>
      <c r="X1297" s="78"/>
    </row>
    <row r="1298" spans="1:24">
      <c r="A1298" s="34"/>
      <c r="I1298" s="78"/>
      <c r="J1298" s="78"/>
      <c r="K1298" s="78"/>
      <c r="L1298" s="78"/>
      <c r="V1298" s="78"/>
      <c r="W1298" s="78"/>
      <c r="X1298" s="78"/>
    </row>
    <row r="1299" spans="1:24">
      <c r="A1299" s="34"/>
      <c r="I1299" s="78"/>
      <c r="J1299" s="78"/>
      <c r="K1299" s="78"/>
      <c r="L1299" s="78"/>
      <c r="V1299" s="78"/>
      <c r="W1299" s="78"/>
      <c r="X1299" s="78"/>
    </row>
    <row r="1300" spans="1:24">
      <c r="A1300" s="34"/>
      <c r="I1300" s="78"/>
      <c r="J1300" s="78"/>
      <c r="K1300" s="78"/>
      <c r="L1300" s="78"/>
      <c r="V1300" s="78"/>
      <c r="W1300" s="78"/>
      <c r="X1300" s="78"/>
    </row>
    <row r="1301" spans="1:24">
      <c r="A1301" s="34"/>
      <c r="I1301" s="78"/>
      <c r="J1301" s="78"/>
      <c r="K1301" s="78"/>
      <c r="L1301" s="78"/>
      <c r="V1301" s="78"/>
      <c r="W1301" s="78"/>
      <c r="X1301" s="78"/>
    </row>
    <row r="1302" spans="1:24">
      <c r="A1302" s="34"/>
      <c r="I1302" s="78"/>
      <c r="J1302" s="78"/>
      <c r="K1302" s="78"/>
      <c r="L1302" s="78"/>
      <c r="V1302" s="78"/>
      <c r="W1302" s="78"/>
      <c r="X1302" s="78"/>
    </row>
    <row r="1303" spans="1:24">
      <c r="A1303" s="34"/>
      <c r="I1303" s="78"/>
      <c r="J1303" s="78"/>
      <c r="K1303" s="78"/>
      <c r="L1303" s="78"/>
      <c r="V1303" s="78"/>
      <c r="W1303" s="78"/>
      <c r="X1303" s="78"/>
    </row>
    <row r="1304" spans="1:24">
      <c r="A1304" s="34"/>
      <c r="I1304" s="78"/>
      <c r="J1304" s="78"/>
      <c r="K1304" s="78"/>
      <c r="L1304" s="78"/>
      <c r="V1304" s="78"/>
      <c r="W1304" s="78"/>
      <c r="X1304" s="78"/>
    </row>
    <row r="1305" spans="1:24">
      <c r="A1305" s="34"/>
      <c r="I1305" s="78"/>
      <c r="J1305" s="78"/>
      <c r="K1305" s="78"/>
      <c r="L1305" s="78"/>
      <c r="V1305" s="78"/>
      <c r="W1305" s="78"/>
      <c r="X1305" s="78"/>
    </row>
    <row r="1306" spans="1:24">
      <c r="A1306" s="34"/>
      <c r="I1306" s="78"/>
      <c r="J1306" s="78"/>
      <c r="K1306" s="78"/>
      <c r="L1306" s="78"/>
      <c r="V1306" s="78"/>
      <c r="W1306" s="78"/>
      <c r="X1306" s="78"/>
    </row>
    <row r="1307" spans="1:24">
      <c r="A1307" s="34"/>
      <c r="I1307" s="78"/>
      <c r="J1307" s="78"/>
      <c r="K1307" s="78"/>
      <c r="L1307" s="78"/>
      <c r="V1307" s="78"/>
      <c r="W1307" s="78"/>
      <c r="X1307" s="78"/>
    </row>
    <row r="1308" spans="1:24">
      <c r="A1308" s="34"/>
      <c r="I1308" s="78"/>
      <c r="J1308" s="78"/>
      <c r="K1308" s="78"/>
      <c r="L1308" s="78"/>
      <c r="V1308" s="78"/>
      <c r="W1308" s="78"/>
      <c r="X1308" s="78"/>
    </row>
    <row r="1309" spans="1:24">
      <c r="A1309" s="34"/>
      <c r="I1309" s="78"/>
      <c r="J1309" s="78"/>
      <c r="K1309" s="78"/>
      <c r="L1309" s="78"/>
      <c r="V1309" s="78"/>
      <c r="W1309" s="78"/>
      <c r="X1309" s="78"/>
    </row>
    <row r="1310" spans="1:24">
      <c r="A1310" s="34"/>
      <c r="I1310" s="78"/>
      <c r="J1310" s="78"/>
      <c r="K1310" s="78"/>
      <c r="L1310" s="78"/>
      <c r="V1310" s="78"/>
      <c r="W1310" s="78"/>
      <c r="X1310" s="78"/>
    </row>
    <row r="1311" spans="1:24">
      <c r="A1311" s="34"/>
      <c r="I1311" s="78"/>
      <c r="J1311" s="78"/>
      <c r="K1311" s="78"/>
      <c r="L1311" s="78"/>
      <c r="V1311" s="78"/>
      <c r="W1311" s="78"/>
      <c r="X1311" s="78"/>
    </row>
    <row r="1312" spans="1:24">
      <c r="A1312" s="34"/>
      <c r="I1312" s="78"/>
      <c r="J1312" s="78"/>
      <c r="K1312" s="78"/>
      <c r="L1312" s="78"/>
      <c r="V1312" s="78"/>
      <c r="W1312" s="78"/>
      <c r="X1312" s="78"/>
    </row>
    <row r="1313" spans="1:24">
      <c r="A1313" s="34"/>
      <c r="I1313" s="78"/>
      <c r="J1313" s="78"/>
      <c r="K1313" s="78"/>
      <c r="L1313" s="78"/>
      <c r="V1313" s="78"/>
      <c r="W1313" s="78"/>
      <c r="X1313" s="78"/>
    </row>
    <row r="1314" spans="1:24">
      <c r="A1314" s="34"/>
      <c r="I1314" s="78"/>
      <c r="J1314" s="78"/>
      <c r="K1314" s="78"/>
      <c r="L1314" s="78"/>
      <c r="V1314" s="78"/>
      <c r="W1314" s="78"/>
      <c r="X1314" s="78"/>
    </row>
    <row r="1315" spans="1:24">
      <c r="A1315" s="34"/>
      <c r="I1315" s="78"/>
      <c r="J1315" s="78"/>
      <c r="K1315" s="78"/>
      <c r="L1315" s="78"/>
      <c r="V1315" s="78"/>
      <c r="W1315" s="78"/>
      <c r="X1315" s="78"/>
    </row>
    <row r="1316" spans="1:24">
      <c r="A1316" s="34"/>
      <c r="I1316" s="78"/>
      <c r="J1316" s="78"/>
      <c r="K1316" s="78"/>
      <c r="L1316" s="78"/>
      <c r="V1316" s="78"/>
      <c r="W1316" s="78"/>
      <c r="X1316" s="78"/>
    </row>
    <row r="1317" spans="1:24">
      <c r="A1317" s="34"/>
      <c r="I1317" s="78"/>
      <c r="J1317" s="78"/>
      <c r="K1317" s="78"/>
      <c r="L1317" s="78"/>
      <c r="V1317" s="78"/>
      <c r="W1317" s="78"/>
      <c r="X1317" s="78"/>
    </row>
    <row r="1318" spans="1:24">
      <c r="A1318" s="34"/>
      <c r="I1318" s="78"/>
      <c r="J1318" s="78"/>
      <c r="K1318" s="78"/>
      <c r="L1318" s="78"/>
      <c r="V1318" s="78"/>
      <c r="W1318" s="78"/>
      <c r="X1318" s="78"/>
    </row>
    <row r="1319" spans="1:24">
      <c r="A1319" s="34"/>
      <c r="I1319" s="78"/>
      <c r="J1319" s="78"/>
      <c r="K1319" s="78"/>
      <c r="L1319" s="78"/>
      <c r="V1319" s="78"/>
      <c r="W1319" s="78"/>
      <c r="X1319" s="78"/>
    </row>
    <row r="1320" spans="1:24">
      <c r="A1320" s="34"/>
      <c r="I1320" s="78"/>
      <c r="J1320" s="78"/>
      <c r="K1320" s="78"/>
      <c r="L1320" s="78"/>
      <c r="V1320" s="78"/>
      <c r="W1320" s="78"/>
      <c r="X1320" s="78"/>
    </row>
    <row r="1321" spans="1:24">
      <c r="A1321" s="34"/>
      <c r="I1321" s="78"/>
      <c r="J1321" s="78"/>
      <c r="K1321" s="78"/>
      <c r="L1321" s="78"/>
      <c r="V1321" s="78"/>
      <c r="W1321" s="78"/>
      <c r="X1321" s="78"/>
    </row>
    <row r="1322" spans="1:24">
      <c r="A1322" s="34"/>
      <c r="I1322" s="78"/>
      <c r="J1322" s="78"/>
      <c r="K1322" s="78"/>
      <c r="L1322" s="78"/>
      <c r="V1322" s="78"/>
      <c r="W1322" s="78"/>
      <c r="X1322" s="78"/>
    </row>
    <row r="1323" spans="1:24">
      <c r="A1323" s="34"/>
      <c r="I1323" s="78"/>
      <c r="J1323" s="78"/>
      <c r="K1323" s="78"/>
      <c r="L1323" s="78"/>
      <c r="V1323" s="78"/>
      <c r="W1323" s="78"/>
      <c r="X1323" s="78"/>
    </row>
    <row r="1324" spans="1:24">
      <c r="A1324" s="34"/>
      <c r="I1324" s="78"/>
      <c r="J1324" s="78"/>
      <c r="K1324" s="78"/>
      <c r="L1324" s="78"/>
      <c r="V1324" s="78"/>
      <c r="W1324" s="78"/>
      <c r="X1324" s="78"/>
    </row>
    <row r="1325" spans="1:24">
      <c r="A1325" s="34"/>
      <c r="I1325" s="78"/>
      <c r="J1325" s="78"/>
      <c r="K1325" s="78"/>
      <c r="L1325" s="78"/>
      <c r="V1325" s="78"/>
      <c r="W1325" s="78"/>
      <c r="X1325" s="78"/>
    </row>
    <row r="1326" spans="1:24">
      <c r="A1326" s="34"/>
      <c r="I1326" s="78"/>
      <c r="J1326" s="78"/>
      <c r="K1326" s="78"/>
      <c r="L1326" s="78"/>
      <c r="V1326" s="78"/>
      <c r="W1326" s="78"/>
      <c r="X1326" s="78"/>
    </row>
    <row r="1327" spans="1:24">
      <c r="A1327" s="34"/>
      <c r="I1327" s="78"/>
      <c r="J1327" s="78"/>
      <c r="K1327" s="78"/>
      <c r="L1327" s="78"/>
      <c r="V1327" s="78"/>
      <c r="W1327" s="78"/>
      <c r="X1327" s="78"/>
    </row>
    <row r="1328" spans="1:24">
      <c r="A1328" s="34"/>
      <c r="I1328" s="78"/>
      <c r="J1328" s="78"/>
      <c r="K1328" s="78"/>
      <c r="L1328" s="78"/>
      <c r="V1328" s="78"/>
      <c r="W1328" s="78"/>
      <c r="X1328" s="78"/>
    </row>
    <row r="1329" spans="1:24">
      <c r="A1329" s="34"/>
      <c r="I1329" s="78"/>
      <c r="J1329" s="78"/>
      <c r="K1329" s="78"/>
      <c r="L1329" s="78"/>
      <c r="V1329" s="78"/>
      <c r="W1329" s="78"/>
      <c r="X1329" s="78"/>
    </row>
    <row r="1330" spans="1:24">
      <c r="A1330" s="34"/>
      <c r="I1330" s="78"/>
      <c r="J1330" s="78"/>
      <c r="K1330" s="78"/>
      <c r="L1330" s="78"/>
      <c r="V1330" s="78"/>
      <c r="W1330" s="78"/>
      <c r="X1330" s="78"/>
    </row>
    <row r="1331" spans="1:24">
      <c r="A1331" s="34"/>
      <c r="I1331" s="78"/>
      <c r="J1331" s="78"/>
      <c r="K1331" s="78"/>
      <c r="L1331" s="78"/>
      <c r="V1331" s="78"/>
      <c r="W1331" s="78"/>
      <c r="X1331" s="78"/>
    </row>
    <row r="1332" spans="1:24">
      <c r="A1332" s="34"/>
      <c r="I1332" s="78"/>
      <c r="J1332" s="78"/>
      <c r="K1332" s="78"/>
      <c r="L1332" s="78"/>
      <c r="V1332" s="78"/>
      <c r="W1332" s="78"/>
      <c r="X1332" s="78"/>
    </row>
    <row r="1333" spans="1:24">
      <c r="A1333" s="34"/>
      <c r="I1333" s="78"/>
      <c r="J1333" s="78"/>
      <c r="K1333" s="78"/>
      <c r="L1333" s="78"/>
      <c r="V1333" s="78"/>
      <c r="W1333" s="78"/>
      <c r="X1333" s="78"/>
    </row>
    <row r="1334" spans="1:24">
      <c r="A1334" s="34"/>
      <c r="I1334" s="78"/>
      <c r="J1334" s="78"/>
      <c r="K1334" s="78"/>
      <c r="L1334" s="78"/>
      <c r="V1334" s="78"/>
      <c r="W1334" s="78"/>
      <c r="X1334" s="78"/>
    </row>
    <row r="1335" spans="1:24">
      <c r="A1335" s="34"/>
      <c r="I1335" s="78"/>
      <c r="J1335" s="78"/>
      <c r="K1335" s="78"/>
      <c r="L1335" s="78"/>
      <c r="V1335" s="78"/>
      <c r="W1335" s="78"/>
      <c r="X1335" s="78"/>
    </row>
    <row r="1336" spans="1:24">
      <c r="A1336" s="34"/>
      <c r="I1336" s="78"/>
      <c r="J1336" s="78"/>
      <c r="K1336" s="78"/>
      <c r="L1336" s="78"/>
      <c r="V1336" s="78"/>
      <c r="W1336" s="78"/>
      <c r="X1336" s="78"/>
    </row>
    <row r="1337" spans="1:24">
      <c r="A1337" s="34"/>
      <c r="I1337" s="78"/>
      <c r="J1337" s="78"/>
      <c r="K1337" s="78"/>
      <c r="L1337" s="78"/>
      <c r="V1337" s="78"/>
      <c r="W1337" s="78"/>
      <c r="X1337" s="78"/>
    </row>
    <row r="1338" spans="1:24">
      <c r="A1338" s="34"/>
      <c r="I1338" s="78"/>
      <c r="J1338" s="78"/>
      <c r="K1338" s="78"/>
      <c r="L1338" s="78"/>
      <c r="V1338" s="78"/>
      <c r="W1338" s="78"/>
      <c r="X1338" s="78"/>
    </row>
    <row r="1339" spans="1:24">
      <c r="A1339" s="34"/>
      <c r="I1339" s="78"/>
      <c r="J1339" s="78"/>
      <c r="K1339" s="78"/>
      <c r="L1339" s="78"/>
      <c r="V1339" s="78"/>
      <c r="W1339" s="78"/>
      <c r="X1339" s="78"/>
    </row>
    <row r="1340" spans="1:24">
      <c r="A1340" s="34"/>
      <c r="I1340" s="78"/>
      <c r="J1340" s="78"/>
      <c r="K1340" s="78"/>
      <c r="L1340" s="78"/>
      <c r="V1340" s="78"/>
      <c r="W1340" s="78"/>
      <c r="X1340" s="78"/>
    </row>
    <row r="1341" spans="1:24">
      <c r="A1341" s="34"/>
      <c r="I1341" s="78"/>
      <c r="J1341" s="78"/>
      <c r="K1341" s="78"/>
      <c r="L1341" s="78"/>
      <c r="V1341" s="78"/>
      <c r="W1341" s="78"/>
      <c r="X1341" s="78"/>
    </row>
    <row r="1342" spans="1:24">
      <c r="A1342" s="34"/>
      <c r="I1342" s="78"/>
      <c r="J1342" s="78"/>
      <c r="K1342" s="78"/>
      <c r="L1342" s="78"/>
      <c r="V1342" s="78"/>
      <c r="W1342" s="78"/>
      <c r="X1342" s="78"/>
    </row>
    <row r="1343" spans="1:24">
      <c r="A1343" s="34"/>
      <c r="I1343" s="78"/>
      <c r="J1343" s="78"/>
      <c r="K1343" s="78"/>
      <c r="L1343" s="78"/>
      <c r="V1343" s="78"/>
      <c r="W1343" s="78"/>
      <c r="X1343" s="78"/>
    </row>
    <row r="1344" spans="1:24">
      <c r="A1344" s="34"/>
      <c r="I1344" s="78"/>
      <c r="J1344" s="78"/>
      <c r="K1344" s="78"/>
      <c r="L1344" s="78"/>
      <c r="V1344" s="78"/>
      <c r="W1344" s="78"/>
      <c r="X1344" s="78"/>
    </row>
    <row r="1345" spans="1:24">
      <c r="A1345" s="34"/>
      <c r="I1345" s="78"/>
      <c r="J1345" s="78"/>
      <c r="K1345" s="78"/>
      <c r="L1345" s="78"/>
      <c r="V1345" s="78"/>
      <c r="W1345" s="78"/>
      <c r="X1345" s="78"/>
    </row>
    <row r="1346" spans="1:24">
      <c r="A1346" s="34"/>
      <c r="I1346" s="78"/>
      <c r="J1346" s="78"/>
      <c r="K1346" s="78"/>
      <c r="L1346" s="78"/>
      <c r="V1346" s="78"/>
      <c r="W1346" s="78"/>
      <c r="X1346" s="78"/>
    </row>
    <row r="1347" spans="1:24">
      <c r="A1347" s="34"/>
      <c r="I1347" s="78"/>
      <c r="J1347" s="78"/>
      <c r="K1347" s="78"/>
      <c r="L1347" s="78"/>
      <c r="V1347" s="78"/>
      <c r="W1347" s="78"/>
      <c r="X1347" s="78"/>
    </row>
    <row r="1348" spans="1:24">
      <c r="A1348" s="34"/>
      <c r="I1348" s="78"/>
      <c r="J1348" s="78"/>
      <c r="K1348" s="78"/>
      <c r="L1348" s="78"/>
      <c r="V1348" s="78"/>
      <c r="W1348" s="78"/>
      <c r="X1348" s="78"/>
    </row>
    <row r="1349" spans="1:24">
      <c r="A1349" s="34"/>
      <c r="I1349" s="78"/>
      <c r="J1349" s="78"/>
      <c r="K1349" s="78"/>
      <c r="L1349" s="78"/>
      <c r="V1349" s="78"/>
      <c r="W1349" s="78"/>
      <c r="X1349" s="78"/>
    </row>
    <row r="1350" spans="1:24">
      <c r="A1350" s="34"/>
      <c r="I1350" s="78"/>
      <c r="J1350" s="78"/>
      <c r="K1350" s="78"/>
      <c r="L1350" s="78"/>
      <c r="V1350" s="78"/>
      <c r="W1350" s="78"/>
      <c r="X1350" s="78"/>
    </row>
    <row r="1351" spans="1:24">
      <c r="A1351" s="34"/>
      <c r="I1351" s="78"/>
      <c r="J1351" s="78"/>
      <c r="K1351" s="78"/>
      <c r="L1351" s="78"/>
      <c r="V1351" s="78"/>
      <c r="W1351" s="78"/>
      <c r="X1351" s="78"/>
    </row>
    <row r="1352" spans="1:24">
      <c r="A1352" s="34"/>
      <c r="I1352" s="78"/>
      <c r="J1352" s="78"/>
      <c r="K1352" s="78"/>
      <c r="L1352" s="78"/>
      <c r="V1352" s="78"/>
      <c r="W1352" s="78"/>
      <c r="X1352" s="78"/>
    </row>
    <row r="1353" spans="1:24">
      <c r="A1353" s="34"/>
      <c r="I1353" s="78"/>
      <c r="J1353" s="78"/>
      <c r="K1353" s="78"/>
      <c r="L1353" s="78"/>
      <c r="V1353" s="78"/>
      <c r="W1353" s="78"/>
      <c r="X1353" s="78"/>
    </row>
    <row r="1354" spans="1:24">
      <c r="A1354" s="34"/>
      <c r="I1354" s="78"/>
      <c r="J1354" s="78"/>
      <c r="K1354" s="78"/>
      <c r="L1354" s="78"/>
      <c r="V1354" s="78"/>
      <c r="W1354" s="78"/>
      <c r="X1354" s="78"/>
    </row>
    <row r="1355" spans="1:24">
      <c r="A1355" s="34"/>
      <c r="I1355" s="78"/>
      <c r="J1355" s="78"/>
      <c r="K1355" s="78"/>
      <c r="L1355" s="78"/>
      <c r="V1355" s="78"/>
      <c r="W1355" s="78"/>
      <c r="X1355" s="78"/>
    </row>
    <row r="1356" spans="1:24">
      <c r="A1356" s="34"/>
      <c r="I1356" s="78"/>
      <c r="J1356" s="78"/>
      <c r="K1356" s="78"/>
      <c r="L1356" s="78"/>
      <c r="V1356" s="78"/>
      <c r="W1356" s="78"/>
      <c r="X1356" s="78"/>
    </row>
    <row r="1357" spans="1:24">
      <c r="A1357" s="34"/>
      <c r="I1357" s="78"/>
      <c r="J1357" s="78"/>
      <c r="K1357" s="78"/>
      <c r="L1357" s="78"/>
      <c r="V1357" s="78"/>
      <c r="W1357" s="78"/>
      <c r="X1357" s="78"/>
    </row>
    <row r="1358" spans="1:24">
      <c r="A1358" s="34"/>
      <c r="I1358" s="78"/>
      <c r="J1358" s="78"/>
      <c r="K1358" s="78"/>
      <c r="L1358" s="78"/>
      <c r="V1358" s="78"/>
      <c r="W1358" s="78"/>
      <c r="X1358" s="78"/>
    </row>
    <row r="1359" spans="1:24">
      <c r="A1359" s="34"/>
      <c r="I1359" s="78"/>
      <c r="J1359" s="78"/>
      <c r="K1359" s="78"/>
      <c r="L1359" s="78"/>
      <c r="V1359" s="78"/>
      <c r="W1359" s="78"/>
      <c r="X1359" s="78"/>
    </row>
    <row r="1360" spans="1:24">
      <c r="A1360" s="34"/>
      <c r="I1360" s="78"/>
      <c r="J1360" s="78"/>
      <c r="K1360" s="78"/>
      <c r="L1360" s="78"/>
      <c r="V1360" s="78"/>
      <c r="W1360" s="78"/>
      <c r="X1360" s="78"/>
    </row>
    <row r="1361" spans="1:24">
      <c r="A1361" s="34"/>
      <c r="I1361" s="78"/>
      <c r="J1361" s="78"/>
      <c r="K1361" s="78"/>
      <c r="L1361" s="78"/>
      <c r="V1361" s="78"/>
      <c r="W1361" s="78"/>
      <c r="X1361" s="78"/>
    </row>
    <row r="1362" spans="1:24">
      <c r="A1362" s="34"/>
      <c r="I1362" s="78"/>
      <c r="J1362" s="78"/>
      <c r="K1362" s="78"/>
      <c r="L1362" s="78"/>
      <c r="V1362" s="78"/>
      <c r="W1362" s="78"/>
      <c r="X1362" s="78"/>
    </row>
    <row r="1363" spans="1:24">
      <c r="A1363" s="34"/>
      <c r="I1363" s="78"/>
      <c r="J1363" s="78"/>
      <c r="K1363" s="78"/>
      <c r="L1363" s="78"/>
      <c r="V1363" s="78"/>
      <c r="W1363" s="78"/>
      <c r="X1363" s="78"/>
    </row>
    <row r="1364" spans="1:24">
      <c r="A1364" s="34"/>
      <c r="I1364" s="78"/>
      <c r="J1364" s="78"/>
      <c r="K1364" s="78"/>
      <c r="L1364" s="78"/>
      <c r="V1364" s="78"/>
      <c r="W1364" s="78"/>
      <c r="X1364" s="78"/>
    </row>
    <row r="1365" spans="1:24">
      <c r="A1365" s="34"/>
      <c r="I1365" s="78"/>
      <c r="J1365" s="78"/>
      <c r="K1365" s="78"/>
      <c r="L1365" s="78"/>
      <c r="V1365" s="78"/>
      <c r="W1365" s="78"/>
      <c r="X1365" s="78"/>
    </row>
    <row r="1366" spans="1:24">
      <c r="A1366" s="34"/>
      <c r="I1366" s="78"/>
      <c r="J1366" s="78"/>
      <c r="K1366" s="78"/>
      <c r="L1366" s="78"/>
      <c r="V1366" s="78"/>
      <c r="W1366" s="78"/>
      <c r="X1366" s="78"/>
    </row>
    <row r="1367" spans="1:24">
      <c r="A1367" s="34"/>
      <c r="I1367" s="78"/>
      <c r="J1367" s="78"/>
      <c r="K1367" s="78"/>
      <c r="L1367" s="78"/>
      <c r="V1367" s="78"/>
      <c r="W1367" s="78"/>
      <c r="X1367" s="78"/>
    </row>
    <row r="1368" spans="1:24">
      <c r="A1368" s="34"/>
      <c r="I1368" s="78"/>
      <c r="J1368" s="78"/>
      <c r="K1368" s="78"/>
      <c r="L1368" s="78"/>
      <c r="V1368" s="78"/>
      <c r="W1368" s="78"/>
      <c r="X1368" s="78"/>
    </row>
    <row r="1369" spans="1:24">
      <c r="A1369" s="34"/>
      <c r="I1369" s="78"/>
      <c r="J1369" s="78"/>
      <c r="K1369" s="78"/>
      <c r="L1369" s="78"/>
      <c r="V1369" s="78"/>
      <c r="W1369" s="78"/>
      <c r="X1369" s="78"/>
    </row>
    <row r="1370" spans="1:24">
      <c r="A1370" s="34"/>
      <c r="I1370" s="78"/>
      <c r="J1370" s="78"/>
      <c r="K1370" s="78"/>
      <c r="L1370" s="78"/>
      <c r="V1370" s="78"/>
      <c r="W1370" s="78"/>
      <c r="X1370" s="78"/>
    </row>
    <row r="1371" spans="1:24">
      <c r="A1371" s="34"/>
      <c r="I1371" s="78"/>
      <c r="J1371" s="78"/>
      <c r="K1371" s="78"/>
      <c r="L1371" s="78"/>
      <c r="V1371" s="78"/>
      <c r="W1371" s="78"/>
      <c r="X1371" s="78"/>
    </row>
    <row r="1372" spans="1:24">
      <c r="A1372" s="34"/>
      <c r="I1372" s="78"/>
      <c r="J1372" s="78"/>
      <c r="K1372" s="78"/>
      <c r="L1372" s="78"/>
      <c r="V1372" s="78"/>
      <c r="W1372" s="78"/>
      <c r="X1372" s="78"/>
    </row>
    <row r="1373" spans="1:24">
      <c r="A1373" s="34"/>
      <c r="I1373" s="78"/>
      <c r="J1373" s="78"/>
      <c r="K1373" s="78"/>
      <c r="L1373" s="78"/>
      <c r="V1373" s="78"/>
      <c r="W1373" s="78"/>
      <c r="X1373" s="78"/>
    </row>
    <row r="1374" spans="1:24">
      <c r="A1374" s="34"/>
      <c r="I1374" s="78"/>
      <c r="J1374" s="78"/>
      <c r="K1374" s="78"/>
      <c r="L1374" s="78"/>
      <c r="V1374" s="78"/>
      <c r="W1374" s="78"/>
      <c r="X1374" s="78"/>
    </row>
    <row r="1375" spans="1:24">
      <c r="A1375" s="34"/>
      <c r="I1375" s="78"/>
      <c r="J1375" s="78"/>
      <c r="K1375" s="78"/>
      <c r="L1375" s="78"/>
      <c r="V1375" s="78"/>
      <c r="W1375" s="78"/>
      <c r="X1375" s="78"/>
    </row>
    <row r="1376" spans="1:24">
      <c r="A1376" s="34"/>
      <c r="I1376" s="78"/>
      <c r="J1376" s="78"/>
      <c r="K1376" s="78"/>
      <c r="L1376" s="78"/>
      <c r="V1376" s="78"/>
      <c r="W1376" s="78"/>
      <c r="X1376" s="78"/>
    </row>
    <row r="1377" spans="1:24">
      <c r="A1377" s="34"/>
      <c r="I1377" s="78"/>
      <c r="J1377" s="78"/>
      <c r="K1377" s="78"/>
      <c r="L1377" s="78"/>
      <c r="V1377" s="78"/>
      <c r="W1377" s="78"/>
      <c r="X1377" s="78"/>
    </row>
    <row r="1378" spans="1:24">
      <c r="A1378" s="34"/>
      <c r="I1378" s="78"/>
      <c r="J1378" s="78"/>
      <c r="K1378" s="78"/>
      <c r="L1378" s="78"/>
      <c r="V1378" s="78"/>
      <c r="W1378" s="78"/>
      <c r="X1378" s="78"/>
    </row>
    <row r="1379" spans="1:24">
      <c r="A1379" s="34"/>
      <c r="I1379" s="78"/>
      <c r="J1379" s="78"/>
      <c r="K1379" s="78"/>
      <c r="L1379" s="78"/>
      <c r="V1379" s="78"/>
      <c r="W1379" s="78"/>
      <c r="X1379" s="78"/>
    </row>
    <row r="1380" spans="1:24">
      <c r="A1380" s="34"/>
      <c r="I1380" s="78"/>
      <c r="J1380" s="78"/>
      <c r="K1380" s="78"/>
      <c r="L1380" s="78"/>
      <c r="V1380" s="78"/>
      <c r="W1380" s="78"/>
      <c r="X1380" s="78"/>
    </row>
    <row r="1381" spans="1:24">
      <c r="A1381" s="34"/>
      <c r="I1381" s="78"/>
      <c r="J1381" s="78"/>
      <c r="K1381" s="78"/>
      <c r="L1381" s="78"/>
      <c r="V1381" s="78"/>
      <c r="W1381" s="78"/>
      <c r="X1381" s="78"/>
    </row>
    <row r="1382" spans="1:24">
      <c r="A1382" s="34"/>
      <c r="I1382" s="78"/>
      <c r="J1382" s="78"/>
      <c r="K1382" s="78"/>
      <c r="L1382" s="78"/>
      <c r="V1382" s="78"/>
      <c r="W1382" s="78"/>
      <c r="X1382" s="78"/>
    </row>
    <row r="1383" spans="1:24">
      <c r="A1383" s="34"/>
      <c r="I1383" s="78"/>
      <c r="J1383" s="78"/>
      <c r="K1383" s="78"/>
      <c r="L1383" s="78"/>
      <c r="V1383" s="78"/>
      <c r="W1383" s="78"/>
      <c r="X1383" s="78"/>
    </row>
    <row r="1384" spans="1:24">
      <c r="A1384" s="34"/>
      <c r="I1384" s="78"/>
      <c r="J1384" s="78"/>
      <c r="K1384" s="78"/>
      <c r="L1384" s="78"/>
      <c r="V1384" s="78"/>
      <c r="W1384" s="78"/>
      <c r="X1384" s="78"/>
    </row>
    <row r="1385" spans="1:24">
      <c r="A1385" s="34"/>
      <c r="I1385" s="78"/>
      <c r="J1385" s="78"/>
      <c r="K1385" s="78"/>
      <c r="L1385" s="78"/>
      <c r="V1385" s="78"/>
      <c r="W1385" s="78"/>
      <c r="X1385" s="78"/>
    </row>
    <row r="1386" spans="1:24">
      <c r="A1386" s="34"/>
      <c r="I1386" s="78"/>
      <c r="J1386" s="78"/>
      <c r="K1386" s="78"/>
      <c r="L1386" s="78"/>
      <c r="V1386" s="78"/>
      <c r="W1386" s="78"/>
      <c r="X1386" s="78"/>
    </row>
    <row r="1387" spans="1:24">
      <c r="A1387" s="34"/>
      <c r="I1387" s="78"/>
      <c r="J1387" s="78"/>
      <c r="K1387" s="78"/>
      <c r="L1387" s="78"/>
      <c r="V1387" s="78"/>
      <c r="W1387" s="78"/>
      <c r="X1387" s="78"/>
    </row>
    <row r="1388" spans="1:24">
      <c r="A1388" s="34"/>
      <c r="I1388" s="78"/>
      <c r="J1388" s="78"/>
      <c r="K1388" s="78"/>
      <c r="L1388" s="78"/>
      <c r="V1388" s="78"/>
      <c r="W1388" s="78"/>
      <c r="X1388" s="78"/>
    </row>
    <row r="1389" spans="1:24">
      <c r="A1389" s="34"/>
      <c r="I1389" s="78"/>
      <c r="J1389" s="78"/>
      <c r="K1389" s="78"/>
      <c r="L1389" s="78"/>
      <c r="V1389" s="78"/>
      <c r="W1389" s="78"/>
      <c r="X1389" s="78"/>
    </row>
    <row r="1390" spans="1:24">
      <c r="A1390" s="34"/>
      <c r="I1390" s="78"/>
      <c r="J1390" s="78"/>
      <c r="K1390" s="78"/>
      <c r="L1390" s="78"/>
      <c r="V1390" s="78"/>
      <c r="W1390" s="78"/>
      <c r="X1390" s="78"/>
    </row>
    <row r="1391" spans="1:24">
      <c r="A1391" s="34"/>
      <c r="I1391" s="78"/>
      <c r="J1391" s="78"/>
      <c r="K1391" s="78"/>
      <c r="L1391" s="78"/>
      <c r="V1391" s="78"/>
      <c r="W1391" s="78"/>
      <c r="X1391" s="78"/>
    </row>
    <row r="1392" spans="1:24">
      <c r="A1392" s="34"/>
      <c r="I1392" s="78"/>
      <c r="J1392" s="78"/>
      <c r="K1392" s="78"/>
      <c r="L1392" s="78"/>
      <c r="V1392" s="78"/>
      <c r="W1392" s="78"/>
      <c r="X1392" s="78"/>
    </row>
    <row r="1393" spans="1:24">
      <c r="A1393" s="34"/>
      <c r="I1393" s="78"/>
      <c r="J1393" s="78"/>
      <c r="K1393" s="78"/>
      <c r="L1393" s="78"/>
      <c r="V1393" s="78"/>
      <c r="W1393" s="78"/>
      <c r="X1393" s="78"/>
    </row>
    <row r="1394" spans="1:24">
      <c r="A1394" s="34"/>
      <c r="I1394" s="78"/>
      <c r="J1394" s="78"/>
      <c r="K1394" s="78"/>
      <c r="L1394" s="78"/>
      <c r="V1394" s="78"/>
      <c r="W1394" s="78"/>
      <c r="X1394" s="78"/>
    </row>
    <row r="1395" spans="1:24">
      <c r="A1395" s="34"/>
      <c r="I1395" s="78"/>
      <c r="J1395" s="78"/>
      <c r="K1395" s="78"/>
      <c r="L1395" s="78"/>
      <c r="V1395" s="78"/>
      <c r="W1395" s="78"/>
      <c r="X1395" s="78"/>
    </row>
    <row r="1396" spans="1:24">
      <c r="A1396" s="34"/>
      <c r="I1396" s="78"/>
      <c r="J1396" s="78"/>
      <c r="K1396" s="78"/>
      <c r="L1396" s="78"/>
      <c r="V1396" s="78"/>
      <c r="W1396" s="78"/>
      <c r="X1396" s="78"/>
    </row>
    <row r="1397" spans="1:24">
      <c r="A1397" s="34"/>
      <c r="I1397" s="78"/>
      <c r="J1397" s="78"/>
      <c r="K1397" s="78"/>
      <c r="L1397" s="78"/>
      <c r="V1397" s="78"/>
      <c r="W1397" s="78"/>
      <c r="X1397" s="78"/>
    </row>
    <row r="1398" spans="1:24">
      <c r="A1398" s="34"/>
      <c r="I1398" s="78"/>
      <c r="J1398" s="78"/>
      <c r="K1398" s="78"/>
      <c r="L1398" s="78"/>
      <c r="V1398" s="78"/>
      <c r="W1398" s="78"/>
      <c r="X1398" s="78"/>
    </row>
    <row r="1399" spans="1:24">
      <c r="A1399" s="34"/>
      <c r="I1399" s="78"/>
      <c r="J1399" s="78"/>
      <c r="K1399" s="78"/>
      <c r="L1399" s="78"/>
      <c r="V1399" s="78"/>
      <c r="W1399" s="78"/>
      <c r="X1399" s="78"/>
    </row>
    <row r="1400" spans="1:24">
      <c r="A1400" s="34"/>
      <c r="I1400" s="78"/>
      <c r="J1400" s="78"/>
      <c r="K1400" s="78"/>
      <c r="L1400" s="78"/>
      <c r="V1400" s="78"/>
      <c r="W1400" s="78"/>
      <c r="X1400" s="78"/>
    </row>
    <row r="1401" spans="1:24">
      <c r="A1401" s="34"/>
      <c r="I1401" s="78"/>
      <c r="J1401" s="78"/>
      <c r="K1401" s="78"/>
      <c r="L1401" s="78"/>
      <c r="V1401" s="78"/>
      <c r="W1401" s="78"/>
      <c r="X1401" s="78"/>
    </row>
    <row r="1402" spans="1:24">
      <c r="A1402" s="34"/>
      <c r="I1402" s="78"/>
      <c r="J1402" s="78"/>
      <c r="K1402" s="78"/>
      <c r="L1402" s="78"/>
      <c r="V1402" s="78"/>
      <c r="W1402" s="78"/>
      <c r="X1402" s="78"/>
    </row>
    <row r="1403" spans="1:24">
      <c r="A1403" s="34"/>
      <c r="I1403" s="78"/>
      <c r="J1403" s="78"/>
      <c r="K1403" s="78"/>
      <c r="L1403" s="78"/>
      <c r="V1403" s="78"/>
      <c r="W1403" s="78"/>
      <c r="X1403" s="78"/>
    </row>
    <row r="1404" spans="1:24">
      <c r="A1404" s="34"/>
      <c r="I1404" s="78"/>
      <c r="J1404" s="78"/>
      <c r="K1404" s="78"/>
      <c r="L1404" s="78"/>
      <c r="V1404" s="78"/>
      <c r="W1404" s="78"/>
      <c r="X1404" s="78"/>
    </row>
    <row r="1405" spans="1:24">
      <c r="A1405" s="34"/>
      <c r="I1405" s="78"/>
      <c r="J1405" s="78"/>
      <c r="K1405" s="78"/>
      <c r="L1405" s="78"/>
      <c r="V1405" s="78"/>
      <c r="W1405" s="78"/>
      <c r="X1405" s="78"/>
    </row>
    <row r="1406" spans="1:24">
      <c r="A1406" s="34"/>
      <c r="I1406" s="78"/>
      <c r="J1406" s="78"/>
      <c r="K1406" s="78"/>
      <c r="L1406" s="78"/>
      <c r="V1406" s="78"/>
      <c r="W1406" s="78"/>
      <c r="X1406" s="78"/>
    </row>
    <row r="1407" spans="1:24">
      <c r="A1407" s="34"/>
      <c r="I1407" s="78"/>
      <c r="J1407" s="78"/>
      <c r="K1407" s="78"/>
      <c r="L1407" s="78"/>
      <c r="V1407" s="78"/>
      <c r="W1407" s="78"/>
      <c r="X1407" s="78"/>
    </row>
    <row r="1408" spans="1:24">
      <c r="A1408" s="34"/>
      <c r="I1408" s="78"/>
      <c r="J1408" s="78"/>
      <c r="K1408" s="78"/>
      <c r="L1408" s="78"/>
      <c r="V1408" s="78"/>
      <c r="W1408" s="78"/>
      <c r="X1408" s="78"/>
    </row>
    <row r="1409" spans="1:24">
      <c r="A1409" s="34"/>
      <c r="I1409" s="78"/>
      <c r="J1409" s="78"/>
      <c r="K1409" s="78"/>
      <c r="L1409" s="78"/>
      <c r="V1409" s="78"/>
      <c r="W1409" s="78"/>
      <c r="X1409" s="78"/>
    </row>
    <row r="1410" spans="1:24">
      <c r="A1410" s="34"/>
      <c r="I1410" s="78"/>
      <c r="J1410" s="78"/>
      <c r="K1410" s="78"/>
      <c r="L1410" s="78"/>
      <c r="V1410" s="78"/>
      <c r="W1410" s="78"/>
      <c r="X1410" s="78"/>
    </row>
    <row r="1411" spans="1:24">
      <c r="A1411" s="34"/>
      <c r="I1411" s="78"/>
      <c r="J1411" s="78"/>
      <c r="K1411" s="78"/>
      <c r="L1411" s="78"/>
      <c r="V1411" s="78"/>
      <c r="W1411" s="78"/>
      <c r="X1411" s="78"/>
    </row>
    <row r="1412" spans="1:24">
      <c r="A1412" s="34"/>
      <c r="I1412" s="78"/>
      <c r="J1412" s="78"/>
      <c r="K1412" s="78"/>
      <c r="L1412" s="78"/>
      <c r="V1412" s="78"/>
      <c r="W1412" s="78"/>
      <c r="X1412" s="78"/>
    </row>
    <row r="1413" spans="1:24">
      <c r="A1413" s="34"/>
      <c r="I1413" s="78"/>
      <c r="J1413" s="78"/>
      <c r="K1413" s="78"/>
      <c r="L1413" s="78"/>
      <c r="V1413" s="78"/>
      <c r="W1413" s="78"/>
      <c r="X1413" s="78"/>
    </row>
    <row r="1414" spans="1:24">
      <c r="A1414" s="34"/>
      <c r="I1414" s="78"/>
      <c r="J1414" s="78"/>
      <c r="K1414" s="78"/>
      <c r="L1414" s="78"/>
      <c r="V1414" s="78"/>
      <c r="W1414" s="78"/>
      <c r="X1414" s="78"/>
    </row>
    <row r="1415" spans="1:24">
      <c r="A1415" s="34"/>
      <c r="I1415" s="78"/>
      <c r="J1415" s="78"/>
      <c r="K1415" s="78"/>
      <c r="L1415" s="78"/>
      <c r="V1415" s="78"/>
      <c r="W1415" s="78"/>
      <c r="X1415" s="78"/>
    </row>
    <row r="1416" spans="1:24">
      <c r="A1416" s="34"/>
      <c r="I1416" s="78"/>
      <c r="J1416" s="78"/>
      <c r="K1416" s="78"/>
      <c r="L1416" s="78"/>
      <c r="V1416" s="78"/>
      <c r="W1416" s="78"/>
      <c r="X1416" s="78"/>
    </row>
    <row r="1417" spans="1:24">
      <c r="A1417" s="34"/>
      <c r="I1417" s="78"/>
      <c r="J1417" s="78"/>
      <c r="K1417" s="78"/>
      <c r="L1417" s="78"/>
      <c r="V1417" s="78"/>
      <c r="W1417" s="78"/>
      <c r="X1417" s="78"/>
    </row>
    <row r="1418" spans="1:24">
      <c r="A1418" s="34"/>
      <c r="I1418" s="78"/>
      <c r="J1418" s="78"/>
      <c r="K1418" s="78"/>
      <c r="L1418" s="78"/>
      <c r="V1418" s="78"/>
      <c r="W1418" s="78"/>
      <c r="X1418" s="78"/>
    </row>
    <row r="1419" spans="1:24">
      <c r="A1419" s="34"/>
      <c r="I1419" s="78"/>
      <c r="J1419" s="78"/>
      <c r="K1419" s="78"/>
      <c r="L1419" s="78"/>
      <c r="V1419" s="78"/>
      <c r="W1419" s="78"/>
      <c r="X1419" s="78"/>
    </row>
    <row r="1420" spans="1:24">
      <c r="A1420" s="34"/>
      <c r="I1420" s="78"/>
      <c r="J1420" s="78"/>
      <c r="K1420" s="78"/>
      <c r="L1420" s="78"/>
      <c r="V1420" s="78"/>
      <c r="W1420" s="78"/>
      <c r="X1420" s="78"/>
    </row>
    <row r="1421" spans="1:24">
      <c r="A1421" s="34"/>
      <c r="I1421" s="78"/>
      <c r="J1421" s="78"/>
      <c r="K1421" s="78"/>
      <c r="L1421" s="78"/>
      <c r="V1421" s="78"/>
      <c r="W1421" s="78"/>
      <c r="X1421" s="78"/>
    </row>
    <row r="1422" spans="1:24">
      <c r="A1422" s="34"/>
      <c r="I1422" s="78"/>
      <c r="J1422" s="78"/>
      <c r="K1422" s="78"/>
      <c r="L1422" s="78"/>
      <c r="V1422" s="78"/>
      <c r="W1422" s="78"/>
      <c r="X1422" s="78"/>
    </row>
    <row r="1423" spans="1:24">
      <c r="A1423" s="34"/>
      <c r="I1423" s="78"/>
      <c r="J1423" s="78"/>
      <c r="K1423" s="78"/>
      <c r="L1423" s="78"/>
      <c r="V1423" s="78"/>
      <c r="W1423" s="78"/>
      <c r="X1423" s="78"/>
    </row>
    <row r="1424" spans="1:24">
      <c r="A1424" s="34"/>
      <c r="I1424" s="78"/>
      <c r="J1424" s="78"/>
      <c r="K1424" s="78"/>
      <c r="L1424" s="78"/>
      <c r="V1424" s="78"/>
      <c r="W1424" s="78"/>
      <c r="X1424" s="78"/>
    </row>
    <row r="1425" spans="1:24">
      <c r="A1425" s="34"/>
      <c r="I1425" s="78"/>
      <c r="J1425" s="78"/>
      <c r="K1425" s="78"/>
      <c r="L1425" s="78"/>
      <c r="V1425" s="78"/>
      <c r="W1425" s="78"/>
      <c r="X1425" s="78"/>
    </row>
    <row r="1426" spans="1:24">
      <c r="A1426" s="34"/>
      <c r="I1426" s="78"/>
      <c r="J1426" s="78"/>
      <c r="K1426" s="78"/>
      <c r="L1426" s="78"/>
      <c r="V1426" s="78"/>
      <c r="W1426" s="78"/>
      <c r="X1426" s="78"/>
    </row>
    <row r="1427" spans="1:24">
      <c r="A1427" s="34"/>
      <c r="I1427" s="78"/>
      <c r="J1427" s="78"/>
      <c r="K1427" s="78"/>
      <c r="L1427" s="78"/>
      <c r="V1427" s="78"/>
      <c r="W1427" s="78"/>
      <c r="X1427" s="78"/>
    </row>
    <row r="1428" spans="1:24">
      <c r="A1428" s="34"/>
      <c r="I1428" s="78"/>
      <c r="J1428" s="78"/>
      <c r="K1428" s="78"/>
      <c r="L1428" s="78"/>
      <c r="V1428" s="78"/>
      <c r="W1428" s="78"/>
      <c r="X1428" s="78"/>
    </row>
    <row r="1429" spans="1:24">
      <c r="A1429" s="34"/>
      <c r="I1429" s="78"/>
      <c r="J1429" s="78"/>
      <c r="K1429" s="78"/>
      <c r="L1429" s="78"/>
      <c r="V1429" s="78"/>
      <c r="W1429" s="78"/>
      <c r="X1429" s="78"/>
    </row>
    <row r="1430" spans="1:24">
      <c r="A1430" s="34"/>
      <c r="I1430" s="78"/>
      <c r="J1430" s="78"/>
      <c r="K1430" s="78"/>
      <c r="L1430" s="78"/>
      <c r="V1430" s="78"/>
      <c r="W1430" s="78"/>
      <c r="X1430" s="78"/>
    </row>
    <row r="1431" spans="1:24">
      <c r="A1431" s="34"/>
      <c r="I1431" s="78"/>
      <c r="J1431" s="78"/>
      <c r="K1431" s="78"/>
      <c r="L1431" s="78"/>
      <c r="V1431" s="78"/>
      <c r="W1431" s="78"/>
      <c r="X1431" s="78"/>
    </row>
    <row r="1432" spans="1:24">
      <c r="A1432" s="34"/>
      <c r="I1432" s="78"/>
      <c r="J1432" s="78"/>
      <c r="K1432" s="78"/>
      <c r="L1432" s="78"/>
      <c r="V1432" s="78"/>
      <c r="W1432" s="78"/>
      <c r="X1432" s="78"/>
    </row>
    <row r="1433" spans="1:24">
      <c r="A1433" s="34"/>
      <c r="I1433" s="78"/>
      <c r="J1433" s="78"/>
      <c r="K1433" s="78"/>
      <c r="L1433" s="78"/>
      <c r="V1433" s="78"/>
      <c r="W1433" s="78"/>
      <c r="X1433" s="78"/>
    </row>
    <row r="1434" spans="1:24">
      <c r="A1434" s="34"/>
      <c r="I1434" s="78"/>
      <c r="J1434" s="78"/>
      <c r="K1434" s="78"/>
      <c r="L1434" s="78"/>
      <c r="V1434" s="78"/>
      <c r="W1434" s="78"/>
      <c r="X1434" s="78"/>
    </row>
    <row r="1435" spans="1:24">
      <c r="A1435" s="34"/>
      <c r="I1435" s="78"/>
      <c r="J1435" s="78"/>
      <c r="K1435" s="78"/>
      <c r="L1435" s="78"/>
      <c r="V1435" s="78"/>
      <c r="W1435" s="78"/>
      <c r="X1435" s="78"/>
    </row>
    <row r="1436" spans="1:24">
      <c r="A1436" s="34"/>
      <c r="I1436" s="78"/>
      <c r="J1436" s="78"/>
      <c r="K1436" s="78"/>
      <c r="L1436" s="78"/>
      <c r="V1436" s="78"/>
      <c r="W1436" s="78"/>
      <c r="X1436" s="78"/>
    </row>
    <row r="1437" spans="1:24">
      <c r="A1437" s="34"/>
      <c r="I1437" s="78"/>
      <c r="J1437" s="78"/>
      <c r="K1437" s="78"/>
      <c r="L1437" s="78"/>
      <c r="V1437" s="78"/>
      <c r="W1437" s="78"/>
      <c r="X1437" s="78"/>
    </row>
    <row r="1438" spans="1:24">
      <c r="A1438" s="34"/>
      <c r="I1438" s="78"/>
      <c r="J1438" s="78"/>
      <c r="K1438" s="78"/>
      <c r="L1438" s="78"/>
      <c r="V1438" s="78"/>
      <c r="W1438" s="78"/>
      <c r="X1438" s="78"/>
    </row>
    <row r="1439" spans="1:24">
      <c r="A1439" s="34"/>
      <c r="I1439" s="78"/>
      <c r="J1439" s="78"/>
      <c r="K1439" s="78"/>
      <c r="L1439" s="78"/>
      <c r="V1439" s="78"/>
      <c r="W1439" s="78"/>
      <c r="X1439" s="78"/>
    </row>
    <row r="1440" spans="1:24">
      <c r="A1440" s="34"/>
      <c r="I1440" s="78"/>
      <c r="J1440" s="78"/>
      <c r="K1440" s="78"/>
      <c r="L1440" s="78"/>
      <c r="V1440" s="78"/>
      <c r="W1440" s="78"/>
      <c r="X1440" s="78"/>
    </row>
    <row r="1441" spans="1:24">
      <c r="A1441" s="34"/>
      <c r="I1441" s="78"/>
      <c r="J1441" s="78"/>
      <c r="K1441" s="78"/>
      <c r="L1441" s="78"/>
      <c r="V1441" s="78"/>
      <c r="W1441" s="78"/>
      <c r="X1441" s="78"/>
    </row>
    <row r="1442" spans="1:24">
      <c r="A1442" s="34"/>
      <c r="I1442" s="78"/>
      <c r="J1442" s="78"/>
      <c r="K1442" s="78"/>
      <c r="L1442" s="78"/>
      <c r="V1442" s="78"/>
      <c r="W1442" s="78"/>
      <c r="X1442" s="78"/>
    </row>
    <row r="1443" spans="1:24">
      <c r="A1443" s="34"/>
      <c r="I1443" s="78"/>
      <c r="J1443" s="78"/>
      <c r="K1443" s="78"/>
      <c r="L1443" s="78"/>
      <c r="V1443" s="78"/>
      <c r="W1443" s="78"/>
      <c r="X1443" s="78"/>
    </row>
    <row r="1444" spans="1:24">
      <c r="A1444" s="34"/>
      <c r="I1444" s="78"/>
      <c r="J1444" s="78"/>
      <c r="K1444" s="78"/>
      <c r="L1444" s="78"/>
      <c r="V1444" s="78"/>
      <c r="W1444" s="78"/>
      <c r="X1444" s="78"/>
    </row>
    <row r="1445" spans="1:24">
      <c r="A1445" s="34"/>
      <c r="I1445" s="78"/>
      <c r="J1445" s="78"/>
      <c r="K1445" s="78"/>
      <c r="L1445" s="78"/>
      <c r="V1445" s="78"/>
      <c r="W1445" s="78"/>
      <c r="X1445" s="78"/>
    </row>
    <row r="1446" spans="1:24">
      <c r="A1446" s="34"/>
      <c r="I1446" s="78"/>
      <c r="J1446" s="78"/>
      <c r="K1446" s="78"/>
      <c r="L1446" s="78"/>
      <c r="V1446" s="78"/>
      <c r="W1446" s="78"/>
      <c r="X1446" s="78"/>
    </row>
    <row r="1447" spans="1:24">
      <c r="A1447" s="34"/>
      <c r="I1447" s="78"/>
      <c r="J1447" s="78"/>
      <c r="K1447" s="78"/>
      <c r="L1447" s="78"/>
      <c r="V1447" s="78"/>
      <c r="W1447" s="78"/>
      <c r="X1447" s="78"/>
    </row>
    <row r="1448" spans="1:24">
      <c r="A1448" s="34"/>
      <c r="I1448" s="78"/>
      <c r="J1448" s="78"/>
      <c r="K1448" s="78"/>
      <c r="L1448" s="78"/>
      <c r="V1448" s="78"/>
      <c r="W1448" s="78"/>
      <c r="X1448" s="78"/>
    </row>
    <row r="1449" spans="1:24">
      <c r="A1449" s="34"/>
      <c r="I1449" s="78"/>
      <c r="J1449" s="78"/>
      <c r="K1449" s="78"/>
      <c r="L1449" s="78"/>
      <c r="V1449" s="78"/>
      <c r="W1449" s="78"/>
      <c r="X1449" s="78"/>
    </row>
    <row r="1450" spans="1:24">
      <c r="A1450" s="34"/>
      <c r="I1450" s="78"/>
      <c r="J1450" s="78"/>
      <c r="K1450" s="78"/>
      <c r="L1450" s="78"/>
      <c r="V1450" s="78"/>
      <c r="W1450" s="78"/>
      <c r="X1450" s="78"/>
    </row>
    <row r="1451" spans="1:24">
      <c r="A1451" s="34"/>
      <c r="I1451" s="78"/>
      <c r="J1451" s="78"/>
      <c r="K1451" s="78"/>
      <c r="L1451" s="78"/>
      <c r="V1451" s="78"/>
      <c r="W1451" s="78"/>
      <c r="X1451" s="78"/>
    </row>
    <row r="1452" spans="1:24">
      <c r="A1452" s="34"/>
      <c r="I1452" s="78"/>
      <c r="J1452" s="78"/>
      <c r="K1452" s="78"/>
      <c r="L1452" s="78"/>
      <c r="V1452" s="78"/>
      <c r="W1452" s="78"/>
      <c r="X1452" s="78"/>
    </row>
    <row r="1453" spans="1:24">
      <c r="A1453" s="34"/>
      <c r="I1453" s="78"/>
      <c r="J1453" s="78"/>
      <c r="K1453" s="78"/>
      <c r="L1453" s="78"/>
      <c r="V1453" s="78"/>
      <c r="W1453" s="78"/>
      <c r="X1453" s="78"/>
    </row>
    <row r="1454" spans="1:24">
      <c r="A1454" s="34"/>
      <c r="I1454" s="78"/>
      <c r="J1454" s="78"/>
      <c r="K1454" s="78"/>
      <c r="L1454" s="78"/>
      <c r="V1454" s="78"/>
      <c r="W1454" s="78"/>
      <c r="X1454" s="78"/>
    </row>
    <row r="1455" spans="1:24">
      <c r="A1455" s="34"/>
      <c r="I1455" s="78"/>
      <c r="J1455" s="78"/>
      <c r="K1455" s="78"/>
      <c r="L1455" s="78"/>
      <c r="V1455" s="78"/>
      <c r="W1455" s="78"/>
      <c r="X1455" s="78"/>
    </row>
    <row r="1456" spans="1:24">
      <c r="A1456" s="34"/>
      <c r="I1456" s="78"/>
      <c r="J1456" s="78"/>
      <c r="K1456" s="78"/>
      <c r="L1456" s="78"/>
      <c r="V1456" s="78"/>
      <c r="W1456" s="78"/>
      <c r="X1456" s="78"/>
    </row>
    <row r="1457" spans="1:24">
      <c r="A1457" s="34"/>
      <c r="I1457" s="78"/>
      <c r="J1457" s="78"/>
      <c r="K1457" s="78"/>
      <c r="L1457" s="78"/>
      <c r="V1457" s="78"/>
      <c r="W1457" s="78"/>
      <c r="X1457" s="78"/>
    </row>
    <row r="1458" spans="1:24">
      <c r="A1458" s="34"/>
      <c r="I1458" s="78"/>
      <c r="J1458" s="78"/>
      <c r="K1458" s="78"/>
      <c r="L1458" s="78"/>
      <c r="V1458" s="78"/>
      <c r="W1458" s="78"/>
      <c r="X1458" s="78"/>
    </row>
    <row r="1459" spans="1:24">
      <c r="A1459" s="34"/>
      <c r="I1459" s="78"/>
      <c r="J1459" s="78"/>
      <c r="K1459" s="78"/>
      <c r="L1459" s="78"/>
      <c r="V1459" s="78"/>
      <c r="W1459" s="78"/>
      <c r="X1459" s="78"/>
    </row>
    <row r="1460" spans="1:24">
      <c r="A1460" s="34"/>
      <c r="I1460" s="78"/>
      <c r="J1460" s="78"/>
      <c r="K1460" s="78"/>
      <c r="L1460" s="78"/>
      <c r="V1460" s="78"/>
      <c r="W1460" s="78"/>
      <c r="X1460" s="78"/>
    </row>
    <row r="1461" spans="1:24">
      <c r="A1461" s="34"/>
      <c r="I1461" s="78"/>
      <c r="J1461" s="78"/>
      <c r="K1461" s="78"/>
      <c r="L1461" s="78"/>
      <c r="V1461" s="78"/>
      <c r="W1461" s="78"/>
      <c r="X1461" s="78"/>
    </row>
    <row r="1462" spans="1:24">
      <c r="A1462" s="34"/>
      <c r="I1462" s="78"/>
      <c r="J1462" s="78"/>
      <c r="K1462" s="78"/>
      <c r="L1462" s="78"/>
      <c r="V1462" s="78"/>
      <c r="W1462" s="78"/>
      <c r="X1462" s="78"/>
    </row>
    <row r="1463" spans="1:24">
      <c r="A1463" s="34"/>
      <c r="I1463" s="78"/>
      <c r="J1463" s="78"/>
      <c r="K1463" s="78"/>
      <c r="L1463" s="78"/>
      <c r="V1463" s="78"/>
      <c r="W1463" s="78"/>
      <c r="X1463" s="78"/>
    </row>
    <row r="1464" spans="1:24">
      <c r="A1464" s="34"/>
      <c r="I1464" s="78"/>
      <c r="J1464" s="78"/>
      <c r="K1464" s="78"/>
      <c r="L1464" s="78"/>
      <c r="V1464" s="78"/>
      <c r="W1464" s="78"/>
      <c r="X1464" s="78"/>
    </row>
    <row r="1465" spans="1:24">
      <c r="A1465" s="34"/>
      <c r="I1465" s="78"/>
      <c r="J1465" s="78"/>
      <c r="K1465" s="78"/>
      <c r="L1465" s="78"/>
      <c r="V1465" s="78"/>
      <c r="W1465" s="78"/>
      <c r="X1465" s="78"/>
    </row>
    <row r="1466" spans="1:24">
      <c r="A1466" s="34"/>
      <c r="I1466" s="78"/>
      <c r="J1466" s="78"/>
      <c r="K1466" s="78"/>
      <c r="L1466" s="78"/>
      <c r="V1466" s="78"/>
      <c r="W1466" s="78"/>
      <c r="X1466" s="78"/>
    </row>
    <row r="1467" spans="1:24">
      <c r="A1467" s="34"/>
      <c r="I1467" s="78"/>
      <c r="J1467" s="78"/>
      <c r="K1467" s="78"/>
      <c r="L1467" s="78"/>
      <c r="V1467" s="78"/>
      <c r="W1467" s="78"/>
      <c r="X1467" s="78"/>
    </row>
    <row r="1468" spans="1:24">
      <c r="A1468" s="34"/>
      <c r="I1468" s="78"/>
      <c r="J1468" s="78"/>
      <c r="K1468" s="78"/>
      <c r="L1468" s="78"/>
      <c r="V1468" s="78"/>
      <c r="W1468" s="78"/>
      <c r="X1468" s="78"/>
    </row>
    <row r="1469" spans="1:24">
      <c r="A1469" s="34"/>
      <c r="I1469" s="78"/>
      <c r="J1469" s="78"/>
      <c r="K1469" s="78"/>
      <c r="L1469" s="78"/>
      <c r="V1469" s="78"/>
      <c r="W1469" s="78"/>
      <c r="X1469" s="78"/>
    </row>
    <row r="1470" spans="1:24">
      <c r="A1470" s="34"/>
      <c r="I1470" s="78"/>
      <c r="J1470" s="78"/>
      <c r="K1470" s="78"/>
      <c r="L1470" s="78"/>
      <c r="V1470" s="78"/>
      <c r="W1470" s="78"/>
      <c r="X1470" s="78"/>
    </row>
    <row r="1471" spans="1:24">
      <c r="A1471" s="34"/>
      <c r="I1471" s="78"/>
      <c r="J1471" s="78"/>
      <c r="K1471" s="78"/>
      <c r="L1471" s="78"/>
      <c r="V1471" s="78"/>
      <c r="W1471" s="78"/>
      <c r="X1471" s="78"/>
    </row>
    <row r="1472" spans="1:24">
      <c r="A1472" s="34"/>
      <c r="I1472" s="78"/>
      <c r="J1472" s="78"/>
      <c r="K1472" s="78"/>
      <c r="L1472" s="78"/>
      <c r="V1472" s="78"/>
      <c r="W1472" s="78"/>
      <c r="X1472" s="78"/>
    </row>
    <row r="1473" spans="1:24">
      <c r="A1473" s="34"/>
      <c r="I1473" s="78"/>
      <c r="J1473" s="78"/>
      <c r="K1473" s="78"/>
      <c r="L1473" s="78"/>
      <c r="V1473" s="78"/>
      <c r="W1473" s="78"/>
      <c r="X1473" s="78"/>
    </row>
    <row r="1474" spans="1:24">
      <c r="A1474" s="34"/>
      <c r="I1474" s="78"/>
      <c r="J1474" s="78"/>
      <c r="K1474" s="78"/>
      <c r="L1474" s="78"/>
      <c r="V1474" s="78"/>
      <c r="W1474" s="78"/>
      <c r="X1474" s="78"/>
    </row>
    <row r="1475" spans="1:24">
      <c r="A1475" s="34"/>
      <c r="I1475" s="78"/>
      <c r="J1475" s="78"/>
      <c r="K1475" s="78"/>
      <c r="L1475" s="78"/>
      <c r="V1475" s="78"/>
      <c r="W1475" s="78"/>
      <c r="X1475" s="78"/>
    </row>
    <row r="1476" spans="1:24">
      <c r="A1476" s="34"/>
      <c r="I1476" s="78"/>
      <c r="J1476" s="78"/>
      <c r="K1476" s="78"/>
      <c r="L1476" s="78"/>
      <c r="V1476" s="78"/>
      <c r="W1476" s="78"/>
      <c r="X1476" s="78"/>
    </row>
    <row r="1477" spans="1:24">
      <c r="A1477" s="34"/>
      <c r="I1477" s="78"/>
      <c r="J1477" s="78"/>
      <c r="K1477" s="78"/>
      <c r="L1477" s="78"/>
      <c r="V1477" s="78"/>
      <c r="W1477" s="78"/>
      <c r="X1477" s="78"/>
    </row>
    <row r="1478" spans="1:24">
      <c r="A1478" s="34"/>
      <c r="I1478" s="78"/>
      <c r="J1478" s="78"/>
      <c r="K1478" s="78"/>
      <c r="L1478" s="78"/>
      <c r="V1478" s="78"/>
      <c r="W1478" s="78"/>
      <c r="X1478" s="78"/>
    </row>
    <row r="1479" spans="1:24">
      <c r="A1479" s="34"/>
      <c r="I1479" s="78"/>
      <c r="J1479" s="78"/>
      <c r="K1479" s="78"/>
      <c r="L1479" s="78"/>
      <c r="V1479" s="78"/>
      <c r="W1479" s="78"/>
      <c r="X1479" s="78"/>
    </row>
    <row r="1480" spans="1:24">
      <c r="A1480" s="34"/>
      <c r="I1480" s="78"/>
      <c r="J1480" s="78"/>
      <c r="K1480" s="78"/>
      <c r="L1480" s="78"/>
      <c r="V1480" s="78"/>
      <c r="W1480" s="78"/>
      <c r="X1480" s="78"/>
    </row>
    <row r="1481" spans="1:24">
      <c r="A1481" s="34"/>
      <c r="I1481" s="78"/>
      <c r="J1481" s="78"/>
      <c r="K1481" s="78"/>
      <c r="L1481" s="78"/>
      <c r="V1481" s="78"/>
      <c r="W1481" s="78"/>
      <c r="X1481" s="78"/>
    </row>
    <row r="1482" spans="1:24">
      <c r="A1482" s="34"/>
      <c r="I1482" s="78"/>
      <c r="J1482" s="78"/>
      <c r="K1482" s="78"/>
      <c r="L1482" s="78"/>
      <c r="V1482" s="78"/>
      <c r="W1482" s="78"/>
      <c r="X1482" s="78"/>
    </row>
    <row r="1483" spans="1:24">
      <c r="A1483" s="34"/>
      <c r="I1483" s="78"/>
      <c r="J1483" s="78"/>
      <c r="K1483" s="78"/>
      <c r="L1483" s="78"/>
      <c r="V1483" s="78"/>
      <c r="W1483" s="78"/>
      <c r="X1483" s="78"/>
    </row>
    <row r="1484" spans="1:24">
      <c r="A1484" s="34"/>
      <c r="I1484" s="78"/>
      <c r="J1484" s="78"/>
      <c r="K1484" s="78"/>
      <c r="L1484" s="78"/>
      <c r="V1484" s="78"/>
      <c r="W1484" s="78"/>
      <c r="X1484" s="78"/>
    </row>
    <row r="1485" spans="1:24">
      <c r="A1485" s="34"/>
      <c r="I1485" s="78"/>
      <c r="J1485" s="78"/>
      <c r="K1485" s="78"/>
      <c r="L1485" s="78"/>
      <c r="V1485" s="78"/>
      <c r="W1485" s="78"/>
      <c r="X1485" s="78"/>
    </row>
    <row r="1486" spans="1:24">
      <c r="A1486" s="34"/>
      <c r="I1486" s="78"/>
      <c r="J1486" s="78"/>
      <c r="K1486" s="78"/>
      <c r="L1486" s="78"/>
      <c r="V1486" s="78"/>
      <c r="W1486" s="78"/>
      <c r="X1486" s="78"/>
    </row>
    <row r="1487" spans="1:24">
      <c r="A1487" s="34"/>
      <c r="I1487" s="78"/>
      <c r="J1487" s="78"/>
      <c r="K1487" s="78"/>
      <c r="L1487" s="78"/>
      <c r="V1487" s="78"/>
      <c r="W1487" s="78"/>
      <c r="X1487" s="78"/>
    </row>
    <row r="1488" spans="1:24">
      <c r="A1488" s="34"/>
      <c r="I1488" s="78"/>
      <c r="J1488" s="78"/>
      <c r="K1488" s="78"/>
      <c r="L1488" s="78"/>
      <c r="V1488" s="78"/>
      <c r="W1488" s="78"/>
      <c r="X1488" s="78"/>
    </row>
    <row r="1489" spans="1:24">
      <c r="A1489" s="34"/>
      <c r="I1489" s="78"/>
      <c r="J1489" s="78"/>
      <c r="K1489" s="78"/>
      <c r="L1489" s="78"/>
      <c r="V1489" s="78"/>
      <c r="W1489" s="78"/>
      <c r="X1489" s="78"/>
    </row>
    <row r="1490" spans="1:24">
      <c r="A1490" s="34"/>
      <c r="I1490" s="78"/>
      <c r="J1490" s="78"/>
      <c r="K1490" s="78"/>
      <c r="L1490" s="78"/>
      <c r="V1490" s="78"/>
      <c r="W1490" s="78"/>
      <c r="X1490" s="78"/>
    </row>
    <row r="1491" spans="1:24">
      <c r="A1491" s="34"/>
      <c r="I1491" s="78"/>
      <c r="J1491" s="78"/>
      <c r="K1491" s="78"/>
      <c r="L1491" s="78"/>
      <c r="V1491" s="78"/>
      <c r="W1491" s="78"/>
      <c r="X1491" s="78"/>
    </row>
    <row r="1492" spans="1:24">
      <c r="A1492" s="34"/>
      <c r="I1492" s="78"/>
      <c r="J1492" s="78"/>
      <c r="K1492" s="78"/>
      <c r="L1492" s="78"/>
      <c r="V1492" s="78"/>
      <c r="W1492" s="78"/>
      <c r="X1492" s="78"/>
    </row>
    <row r="1493" spans="1:24">
      <c r="A1493" s="34"/>
      <c r="I1493" s="78"/>
      <c r="J1493" s="78"/>
      <c r="K1493" s="78"/>
      <c r="L1493" s="78"/>
      <c r="V1493" s="78"/>
      <c r="W1493" s="78"/>
      <c r="X1493" s="78"/>
    </row>
    <row r="1494" spans="1:24">
      <c r="A1494" s="34"/>
      <c r="I1494" s="78"/>
      <c r="J1494" s="78"/>
      <c r="K1494" s="78"/>
      <c r="L1494" s="78"/>
      <c r="V1494" s="78"/>
      <c r="W1494" s="78"/>
      <c r="X1494" s="78"/>
    </row>
    <row r="1495" spans="1:24">
      <c r="A1495" s="34"/>
      <c r="I1495" s="78"/>
      <c r="J1495" s="78"/>
      <c r="K1495" s="78"/>
      <c r="L1495" s="78"/>
      <c r="V1495" s="78"/>
      <c r="W1495" s="78"/>
      <c r="X1495" s="78"/>
    </row>
    <row r="1496" spans="1:24">
      <c r="A1496" s="34"/>
      <c r="I1496" s="78"/>
      <c r="J1496" s="78"/>
      <c r="K1496" s="78"/>
      <c r="L1496" s="78"/>
      <c r="V1496" s="78"/>
      <c r="W1496" s="78"/>
      <c r="X1496" s="78"/>
    </row>
    <row r="1497" spans="1:24">
      <c r="A1497" s="34"/>
      <c r="I1497" s="78"/>
      <c r="J1497" s="78"/>
      <c r="K1497" s="78"/>
      <c r="L1497" s="78"/>
      <c r="V1497" s="78"/>
      <c r="W1497" s="78"/>
      <c r="X1497" s="78"/>
    </row>
    <row r="1498" spans="1:24">
      <c r="A1498" s="34"/>
      <c r="I1498" s="78"/>
      <c r="J1498" s="78"/>
      <c r="K1498" s="78"/>
      <c r="L1498" s="78"/>
      <c r="V1498" s="78"/>
      <c r="W1498" s="78"/>
      <c r="X1498" s="78"/>
    </row>
    <row r="1499" spans="1:24">
      <c r="A1499" s="34"/>
      <c r="I1499" s="78"/>
      <c r="J1499" s="78"/>
      <c r="K1499" s="78"/>
      <c r="L1499" s="78"/>
      <c r="V1499" s="78"/>
      <c r="W1499" s="78"/>
      <c r="X1499" s="78"/>
    </row>
    <row r="1500" spans="1:24">
      <c r="A1500" s="34"/>
      <c r="I1500" s="78"/>
      <c r="J1500" s="78"/>
      <c r="K1500" s="78"/>
      <c r="L1500" s="78"/>
      <c r="V1500" s="78"/>
      <c r="W1500" s="78"/>
      <c r="X1500" s="78"/>
    </row>
    <row r="1501" spans="1:24">
      <c r="A1501" s="34"/>
      <c r="I1501" s="78"/>
      <c r="J1501" s="78"/>
      <c r="K1501" s="78"/>
      <c r="L1501" s="78"/>
      <c r="V1501" s="78"/>
      <c r="W1501" s="78"/>
      <c r="X1501" s="78"/>
    </row>
    <row r="1502" spans="1:24">
      <c r="A1502" s="34"/>
      <c r="I1502" s="78"/>
      <c r="J1502" s="78"/>
      <c r="K1502" s="78"/>
      <c r="L1502" s="78"/>
      <c r="V1502" s="78"/>
      <c r="W1502" s="78"/>
      <c r="X1502" s="78"/>
    </row>
    <row r="1503" spans="1:24">
      <c r="A1503" s="34"/>
      <c r="I1503" s="78"/>
      <c r="J1503" s="78"/>
      <c r="K1503" s="78"/>
      <c r="L1503" s="78"/>
      <c r="V1503" s="78"/>
      <c r="W1503" s="78"/>
      <c r="X1503" s="78"/>
    </row>
    <row r="1504" spans="1:24">
      <c r="A1504" s="34"/>
      <c r="I1504" s="78"/>
      <c r="J1504" s="78"/>
      <c r="K1504" s="78"/>
      <c r="L1504" s="78"/>
      <c r="V1504" s="78"/>
      <c r="W1504" s="78"/>
      <c r="X1504" s="78"/>
    </row>
    <row r="1505" spans="1:24">
      <c r="A1505" s="34"/>
      <c r="I1505" s="78"/>
      <c r="J1505" s="78"/>
      <c r="K1505" s="78"/>
      <c r="L1505" s="78"/>
      <c r="V1505" s="78"/>
      <c r="W1505" s="78"/>
      <c r="X1505" s="78"/>
    </row>
    <row r="1506" spans="1:24">
      <c r="A1506" s="34"/>
      <c r="I1506" s="78"/>
      <c r="J1506" s="78"/>
      <c r="K1506" s="78"/>
      <c r="L1506" s="78"/>
      <c r="V1506" s="78"/>
      <c r="W1506" s="78"/>
      <c r="X1506" s="78"/>
    </row>
    <row r="1507" spans="1:24">
      <c r="A1507" s="34"/>
      <c r="I1507" s="78"/>
      <c r="J1507" s="78"/>
      <c r="K1507" s="78"/>
      <c r="L1507" s="78"/>
      <c r="V1507" s="78"/>
      <c r="W1507" s="78"/>
      <c r="X1507" s="78"/>
    </row>
    <row r="1508" spans="1:24">
      <c r="A1508" s="34"/>
      <c r="I1508" s="78"/>
      <c r="J1508" s="78"/>
      <c r="K1508" s="78"/>
      <c r="L1508" s="78"/>
      <c r="V1508" s="78"/>
      <c r="W1508" s="78"/>
      <c r="X1508" s="78"/>
    </row>
    <row r="1509" spans="1:24">
      <c r="A1509" s="34"/>
      <c r="I1509" s="78"/>
      <c r="J1509" s="78"/>
      <c r="K1509" s="78"/>
      <c r="L1509" s="78"/>
      <c r="V1509" s="78"/>
      <c r="W1509" s="78"/>
      <c r="X1509" s="78"/>
    </row>
    <row r="1510" spans="1:24">
      <c r="A1510" s="34"/>
      <c r="I1510" s="78"/>
      <c r="J1510" s="78"/>
      <c r="K1510" s="78"/>
      <c r="L1510" s="78"/>
      <c r="V1510" s="78"/>
      <c r="W1510" s="78"/>
      <c r="X1510" s="78"/>
    </row>
    <row r="1511" spans="1:24">
      <c r="A1511" s="34"/>
      <c r="I1511" s="78"/>
      <c r="J1511" s="78"/>
      <c r="K1511" s="78"/>
      <c r="L1511" s="78"/>
      <c r="V1511" s="78"/>
      <c r="W1511" s="78"/>
      <c r="X1511" s="78"/>
    </row>
    <row r="1512" spans="1:24">
      <c r="A1512" s="34"/>
      <c r="I1512" s="78"/>
      <c r="J1512" s="78"/>
      <c r="K1512" s="78"/>
      <c r="L1512" s="78"/>
      <c r="V1512" s="78"/>
      <c r="W1512" s="78"/>
      <c r="X1512" s="78"/>
    </row>
    <row r="1513" spans="1:24">
      <c r="A1513" s="34"/>
      <c r="I1513" s="78"/>
      <c r="J1513" s="78"/>
      <c r="K1513" s="78"/>
      <c r="L1513" s="78"/>
      <c r="V1513" s="78"/>
      <c r="W1513" s="78"/>
      <c r="X1513" s="78"/>
    </row>
    <row r="1514" spans="1:24">
      <c r="A1514" s="34"/>
      <c r="I1514" s="78"/>
      <c r="J1514" s="78"/>
      <c r="K1514" s="78"/>
      <c r="L1514" s="78"/>
      <c r="V1514" s="78"/>
      <c r="W1514" s="78"/>
      <c r="X1514" s="78"/>
    </row>
    <row r="1515" spans="1:24">
      <c r="A1515" s="34"/>
      <c r="I1515" s="78"/>
      <c r="J1515" s="78"/>
      <c r="K1515" s="78"/>
      <c r="L1515" s="78"/>
      <c r="V1515" s="78"/>
      <c r="W1515" s="78"/>
      <c r="X1515" s="78"/>
    </row>
    <row r="1516" spans="1:24">
      <c r="A1516" s="34"/>
      <c r="I1516" s="78"/>
      <c r="J1516" s="78"/>
      <c r="K1516" s="78"/>
      <c r="L1516" s="78"/>
      <c r="V1516" s="78"/>
      <c r="W1516" s="78"/>
      <c r="X1516" s="78"/>
    </row>
    <row r="1517" spans="1:24">
      <c r="A1517" s="34"/>
      <c r="I1517" s="78"/>
      <c r="J1517" s="78"/>
      <c r="K1517" s="78"/>
      <c r="L1517" s="78"/>
      <c r="V1517" s="78"/>
      <c r="W1517" s="78"/>
      <c r="X1517" s="78"/>
    </row>
    <row r="1518" spans="1:24">
      <c r="A1518" s="34"/>
      <c r="I1518" s="78"/>
      <c r="J1518" s="78"/>
      <c r="K1518" s="78"/>
      <c r="L1518" s="78"/>
      <c r="V1518" s="78"/>
      <c r="W1518" s="78"/>
      <c r="X1518" s="78"/>
    </row>
    <row r="1519" spans="1:24">
      <c r="A1519" s="34"/>
      <c r="I1519" s="78"/>
      <c r="J1519" s="78"/>
      <c r="K1519" s="78"/>
      <c r="L1519" s="78"/>
      <c r="V1519" s="78"/>
      <c r="W1519" s="78"/>
      <c r="X1519" s="78"/>
    </row>
    <row r="1520" spans="1:24">
      <c r="A1520" s="34"/>
      <c r="I1520" s="78"/>
      <c r="J1520" s="78"/>
      <c r="K1520" s="78"/>
      <c r="L1520" s="78"/>
      <c r="V1520" s="78"/>
      <c r="W1520" s="78"/>
      <c r="X1520" s="78"/>
    </row>
    <row r="1521" spans="1:24">
      <c r="A1521" s="34"/>
      <c r="I1521" s="78"/>
      <c r="J1521" s="78"/>
      <c r="K1521" s="78"/>
      <c r="L1521" s="78"/>
      <c r="V1521" s="78"/>
      <c r="W1521" s="78"/>
      <c r="X1521" s="78"/>
    </row>
    <row r="1522" spans="1:24">
      <c r="A1522" s="34"/>
      <c r="I1522" s="78"/>
      <c r="J1522" s="78"/>
      <c r="K1522" s="78"/>
      <c r="L1522" s="78"/>
      <c r="V1522" s="78"/>
      <c r="W1522" s="78"/>
      <c r="X1522" s="78"/>
    </row>
    <row r="1523" spans="1:24">
      <c r="A1523" s="34"/>
      <c r="I1523" s="78"/>
      <c r="J1523" s="78"/>
      <c r="K1523" s="78"/>
      <c r="L1523" s="78"/>
      <c r="V1523" s="78"/>
      <c r="W1523" s="78"/>
      <c r="X1523" s="78"/>
    </row>
    <row r="1524" spans="1:24">
      <c r="A1524" s="34"/>
      <c r="I1524" s="78"/>
      <c r="J1524" s="78"/>
      <c r="K1524" s="78"/>
      <c r="L1524" s="78"/>
      <c r="V1524" s="78"/>
      <c r="W1524" s="78"/>
      <c r="X1524" s="78"/>
    </row>
    <row r="1525" spans="1:24">
      <c r="A1525" s="34"/>
      <c r="I1525" s="78"/>
      <c r="J1525" s="78"/>
      <c r="K1525" s="78"/>
      <c r="L1525" s="78"/>
      <c r="V1525" s="78"/>
      <c r="W1525" s="78"/>
      <c r="X1525" s="78"/>
    </row>
    <row r="1526" spans="1:24">
      <c r="A1526" s="34"/>
      <c r="I1526" s="78"/>
      <c r="J1526" s="78"/>
      <c r="K1526" s="78"/>
      <c r="L1526" s="78"/>
      <c r="V1526" s="78"/>
      <c r="W1526" s="78"/>
      <c r="X1526" s="78"/>
    </row>
    <row r="1527" spans="1:24">
      <c r="A1527" s="34"/>
      <c r="I1527" s="78"/>
      <c r="J1527" s="78"/>
      <c r="K1527" s="78"/>
      <c r="L1527" s="78"/>
      <c r="V1527" s="78"/>
      <c r="W1527" s="78"/>
      <c r="X1527" s="78"/>
    </row>
    <row r="1528" spans="1:24">
      <c r="A1528" s="34"/>
      <c r="I1528" s="78"/>
      <c r="J1528" s="78"/>
      <c r="K1528" s="78"/>
      <c r="L1528" s="78"/>
      <c r="V1528" s="78"/>
      <c r="W1528" s="78"/>
      <c r="X1528" s="78"/>
    </row>
    <row r="1529" spans="1:24">
      <c r="A1529" s="34"/>
      <c r="I1529" s="78"/>
      <c r="J1529" s="78"/>
      <c r="K1529" s="78"/>
      <c r="L1529" s="78"/>
      <c r="V1529" s="78"/>
      <c r="W1529" s="78"/>
      <c r="X1529" s="78"/>
    </row>
    <row r="1530" spans="1:24">
      <c r="A1530" s="34"/>
      <c r="I1530" s="78"/>
      <c r="J1530" s="78"/>
      <c r="K1530" s="78"/>
      <c r="L1530" s="78"/>
      <c r="V1530" s="78"/>
      <c r="W1530" s="78"/>
      <c r="X1530" s="78"/>
    </row>
    <row r="1531" spans="1:24">
      <c r="A1531" s="34"/>
      <c r="I1531" s="78"/>
      <c r="J1531" s="78"/>
      <c r="K1531" s="78"/>
      <c r="L1531" s="78"/>
      <c r="V1531" s="78"/>
      <c r="W1531" s="78"/>
      <c r="X1531" s="78"/>
    </row>
    <row r="1532" spans="1:24">
      <c r="A1532" s="34"/>
      <c r="I1532" s="78"/>
      <c r="J1532" s="78"/>
      <c r="K1532" s="78"/>
      <c r="L1532" s="78"/>
      <c r="V1532" s="78"/>
      <c r="W1532" s="78"/>
      <c r="X1532" s="78"/>
    </row>
    <row r="1533" spans="1:24">
      <c r="A1533" s="34"/>
      <c r="I1533" s="78"/>
      <c r="J1533" s="78"/>
      <c r="K1533" s="78"/>
      <c r="L1533" s="78"/>
      <c r="V1533" s="78"/>
      <c r="W1533" s="78"/>
      <c r="X1533" s="78"/>
    </row>
    <row r="1534" spans="1:24">
      <c r="A1534" s="34"/>
      <c r="I1534" s="78"/>
      <c r="J1534" s="78"/>
      <c r="K1534" s="78"/>
      <c r="L1534" s="78"/>
      <c r="V1534" s="78"/>
      <c r="W1534" s="78"/>
      <c r="X1534" s="78"/>
    </row>
    <row r="1535" spans="1:24">
      <c r="A1535" s="34"/>
      <c r="I1535" s="78"/>
      <c r="J1535" s="78"/>
      <c r="K1535" s="78"/>
      <c r="L1535" s="78"/>
      <c r="V1535" s="78"/>
      <c r="W1535" s="78"/>
      <c r="X1535" s="78"/>
    </row>
    <row r="1536" spans="1:24">
      <c r="A1536" s="34"/>
      <c r="I1536" s="78"/>
      <c r="J1536" s="78"/>
      <c r="K1536" s="78"/>
      <c r="L1536" s="78"/>
      <c r="V1536" s="78"/>
      <c r="W1536" s="78"/>
      <c r="X1536" s="78"/>
    </row>
    <row r="1537" spans="1:24">
      <c r="A1537" s="34"/>
      <c r="I1537" s="78"/>
      <c r="J1537" s="78"/>
      <c r="K1537" s="78"/>
      <c r="L1537" s="78"/>
      <c r="V1537" s="78"/>
      <c r="W1537" s="78"/>
      <c r="X1537" s="78"/>
    </row>
    <row r="1538" spans="1:24">
      <c r="A1538" s="34"/>
      <c r="I1538" s="78"/>
      <c r="J1538" s="78"/>
      <c r="K1538" s="78"/>
      <c r="L1538" s="78"/>
      <c r="V1538" s="78"/>
      <c r="W1538" s="78"/>
      <c r="X1538" s="78"/>
    </row>
    <row r="1539" spans="1:24">
      <c r="A1539" s="34"/>
      <c r="I1539" s="78"/>
      <c r="J1539" s="78"/>
      <c r="K1539" s="78"/>
      <c r="L1539" s="78"/>
      <c r="V1539" s="78"/>
      <c r="W1539" s="78"/>
      <c r="X1539" s="78"/>
    </row>
    <row r="1540" spans="1:24">
      <c r="A1540" s="34"/>
      <c r="I1540" s="78"/>
      <c r="J1540" s="78"/>
      <c r="K1540" s="78"/>
      <c r="L1540" s="78"/>
      <c r="V1540" s="78"/>
      <c r="W1540" s="78"/>
      <c r="X1540" s="78"/>
    </row>
    <row r="1541" spans="1:24">
      <c r="A1541" s="34"/>
      <c r="I1541" s="78"/>
      <c r="J1541" s="78"/>
      <c r="K1541" s="78"/>
      <c r="L1541" s="78"/>
      <c r="V1541" s="78"/>
      <c r="W1541" s="78"/>
      <c r="X1541" s="78"/>
    </row>
    <row r="1542" spans="1:24">
      <c r="A1542" s="34"/>
      <c r="I1542" s="78"/>
      <c r="J1542" s="78"/>
      <c r="K1542" s="78"/>
      <c r="L1542" s="78"/>
      <c r="V1542" s="78"/>
      <c r="W1542" s="78"/>
      <c r="X1542" s="78"/>
    </row>
    <row r="1543" spans="1:24">
      <c r="A1543" s="34"/>
      <c r="I1543" s="78"/>
      <c r="J1543" s="78"/>
      <c r="K1543" s="78"/>
      <c r="L1543" s="78"/>
      <c r="V1543" s="78"/>
      <c r="W1543" s="78"/>
      <c r="X1543" s="78"/>
    </row>
    <row r="1544" spans="1:24">
      <c r="A1544" s="34"/>
      <c r="I1544" s="78"/>
      <c r="J1544" s="78"/>
      <c r="K1544" s="78"/>
      <c r="L1544" s="78"/>
      <c r="V1544" s="78"/>
      <c r="W1544" s="78"/>
      <c r="X1544" s="78"/>
    </row>
    <row r="1545" spans="1:24">
      <c r="A1545" s="34"/>
      <c r="I1545" s="78"/>
      <c r="J1545" s="78"/>
      <c r="K1545" s="78"/>
      <c r="L1545" s="78"/>
      <c r="V1545" s="78"/>
      <c r="W1545" s="78"/>
      <c r="X1545" s="78"/>
    </row>
    <row r="1546" spans="1:24">
      <c r="A1546" s="34"/>
      <c r="I1546" s="78"/>
      <c r="J1546" s="78"/>
      <c r="K1546" s="78"/>
      <c r="L1546" s="78"/>
      <c r="V1546" s="78"/>
      <c r="W1546" s="78"/>
      <c r="X1546" s="78"/>
    </row>
    <row r="1547" spans="1:24">
      <c r="A1547" s="34"/>
      <c r="I1547" s="78"/>
      <c r="J1547" s="78"/>
      <c r="K1547" s="78"/>
      <c r="L1547" s="78"/>
      <c r="V1547" s="78"/>
      <c r="W1547" s="78"/>
      <c r="X1547" s="78"/>
    </row>
    <row r="1548" spans="1:24">
      <c r="A1548" s="34"/>
      <c r="I1548" s="78"/>
      <c r="J1548" s="78"/>
      <c r="K1548" s="78"/>
      <c r="L1548" s="78"/>
      <c r="V1548" s="78"/>
      <c r="W1548" s="78"/>
      <c r="X1548" s="78"/>
    </row>
    <row r="1549" spans="1:24">
      <c r="A1549" s="34"/>
      <c r="I1549" s="78"/>
      <c r="J1549" s="78"/>
      <c r="K1549" s="78"/>
      <c r="L1549" s="78"/>
      <c r="V1549" s="78"/>
      <c r="W1549" s="78"/>
      <c r="X1549" s="78"/>
    </row>
    <row r="1550" spans="1:24">
      <c r="A1550" s="34"/>
      <c r="I1550" s="78"/>
      <c r="J1550" s="78"/>
      <c r="K1550" s="78"/>
      <c r="L1550" s="78"/>
      <c r="V1550" s="78"/>
      <c r="W1550" s="78"/>
      <c r="X1550" s="78"/>
    </row>
    <row r="1551" spans="1:24">
      <c r="A1551" s="34"/>
      <c r="I1551" s="78"/>
      <c r="J1551" s="78"/>
      <c r="K1551" s="78"/>
      <c r="L1551" s="78"/>
      <c r="V1551" s="78"/>
      <c r="W1551" s="78"/>
      <c r="X1551" s="78"/>
    </row>
    <row r="1552" spans="1:24">
      <c r="A1552" s="34"/>
      <c r="I1552" s="78"/>
      <c r="J1552" s="78"/>
      <c r="K1552" s="78"/>
      <c r="L1552" s="78"/>
      <c r="V1552" s="78"/>
      <c r="W1552" s="78"/>
      <c r="X1552" s="78"/>
    </row>
    <row r="1553" spans="1:24">
      <c r="A1553" s="34"/>
      <c r="I1553" s="78"/>
      <c r="J1553" s="78"/>
      <c r="K1553" s="78"/>
      <c r="L1553" s="78"/>
      <c r="V1553" s="78"/>
      <c r="W1553" s="78"/>
      <c r="X1553" s="78"/>
    </row>
    <row r="1554" spans="1:24">
      <c r="A1554" s="34"/>
      <c r="I1554" s="78"/>
      <c r="J1554" s="78"/>
      <c r="K1554" s="78"/>
      <c r="L1554" s="78"/>
      <c r="V1554" s="78"/>
      <c r="W1554" s="78"/>
      <c r="X1554" s="78"/>
    </row>
    <row r="1555" spans="1:24">
      <c r="A1555" s="34"/>
      <c r="I1555" s="78"/>
      <c r="J1555" s="78"/>
      <c r="K1555" s="78"/>
      <c r="L1555" s="78"/>
      <c r="V1555" s="78"/>
      <c r="W1555" s="78"/>
      <c r="X1555" s="78"/>
    </row>
    <row r="1556" spans="1:24">
      <c r="A1556" s="34"/>
      <c r="I1556" s="78"/>
      <c r="J1556" s="78"/>
      <c r="K1556" s="78"/>
      <c r="L1556" s="78"/>
      <c r="V1556" s="78"/>
      <c r="W1556" s="78"/>
      <c r="X1556" s="78"/>
    </row>
    <row r="1557" spans="1:24">
      <c r="A1557" s="34"/>
      <c r="I1557" s="78"/>
      <c r="J1557" s="78"/>
      <c r="K1557" s="78"/>
      <c r="L1557" s="78"/>
      <c r="V1557" s="78"/>
      <c r="W1557" s="78"/>
      <c r="X1557" s="78"/>
    </row>
    <row r="1558" spans="1:24">
      <c r="A1558" s="34"/>
      <c r="I1558" s="78"/>
      <c r="J1558" s="78"/>
      <c r="K1558" s="78"/>
      <c r="L1558" s="78"/>
      <c r="V1558" s="78"/>
      <c r="W1558" s="78"/>
      <c r="X1558" s="78"/>
    </row>
    <row r="1559" spans="1:24">
      <c r="A1559" s="34"/>
      <c r="I1559" s="78"/>
      <c r="J1559" s="78"/>
      <c r="K1559" s="78"/>
      <c r="L1559" s="78"/>
      <c r="V1559" s="78"/>
      <c r="W1559" s="78"/>
      <c r="X1559" s="78"/>
    </row>
    <row r="1560" spans="1:24">
      <c r="A1560" s="34"/>
      <c r="I1560" s="78"/>
      <c r="J1560" s="78"/>
      <c r="K1560" s="78"/>
      <c r="L1560" s="78"/>
      <c r="V1560" s="78"/>
      <c r="W1560" s="78"/>
      <c r="X1560" s="78"/>
    </row>
    <row r="1561" spans="1:24">
      <c r="A1561" s="34"/>
      <c r="I1561" s="78"/>
      <c r="J1561" s="78"/>
      <c r="K1561" s="78"/>
      <c r="L1561" s="78"/>
      <c r="V1561" s="78"/>
      <c r="W1561" s="78"/>
      <c r="X1561" s="78"/>
    </row>
    <row r="1562" spans="1:24">
      <c r="A1562" s="34"/>
      <c r="I1562" s="78"/>
      <c r="J1562" s="78"/>
      <c r="K1562" s="78"/>
      <c r="L1562" s="78"/>
      <c r="V1562" s="78"/>
      <c r="W1562" s="78"/>
      <c r="X1562" s="78"/>
    </row>
    <row r="1563" spans="1:24">
      <c r="A1563" s="34"/>
      <c r="I1563" s="78"/>
      <c r="J1563" s="78"/>
      <c r="K1563" s="78"/>
      <c r="L1563" s="78"/>
      <c r="V1563" s="78"/>
      <c r="W1563" s="78"/>
      <c r="X1563" s="78"/>
    </row>
    <row r="1564" spans="1:24">
      <c r="A1564" s="34"/>
      <c r="I1564" s="78"/>
      <c r="J1564" s="78"/>
      <c r="K1564" s="78"/>
      <c r="L1564" s="78"/>
      <c r="V1564" s="78"/>
      <c r="W1564" s="78"/>
      <c r="X1564" s="78"/>
    </row>
    <row r="1565" spans="1:24">
      <c r="A1565" s="34"/>
      <c r="I1565" s="78"/>
      <c r="J1565" s="78"/>
      <c r="K1565" s="78"/>
      <c r="L1565" s="78"/>
      <c r="V1565" s="78"/>
      <c r="W1565" s="78"/>
      <c r="X1565" s="78"/>
    </row>
    <row r="1566" spans="1:24">
      <c r="A1566" s="34"/>
      <c r="I1566" s="78"/>
      <c r="J1566" s="78"/>
      <c r="K1566" s="78"/>
      <c r="L1566" s="78"/>
      <c r="V1566" s="78"/>
      <c r="W1566" s="78"/>
      <c r="X1566" s="78"/>
    </row>
    <row r="1567" spans="1:24">
      <c r="A1567" s="34"/>
      <c r="I1567" s="78"/>
      <c r="J1567" s="78"/>
      <c r="K1567" s="78"/>
      <c r="L1567" s="78"/>
      <c r="V1567" s="78"/>
      <c r="W1567" s="78"/>
      <c r="X1567" s="78"/>
    </row>
    <row r="1568" spans="1:24">
      <c r="A1568" s="34"/>
      <c r="I1568" s="78"/>
      <c r="J1568" s="78"/>
      <c r="K1568" s="78"/>
      <c r="L1568" s="78"/>
      <c r="V1568" s="78"/>
      <c r="W1568" s="78"/>
      <c r="X1568" s="78"/>
    </row>
    <row r="1569" spans="1:24">
      <c r="A1569" s="34"/>
      <c r="I1569" s="78"/>
      <c r="J1569" s="78"/>
      <c r="K1569" s="78"/>
      <c r="L1569" s="78"/>
      <c r="V1569" s="78"/>
      <c r="W1569" s="78"/>
      <c r="X1569" s="78"/>
    </row>
    <row r="1570" spans="1:24">
      <c r="A1570" s="34"/>
      <c r="I1570" s="78"/>
      <c r="J1570" s="78"/>
      <c r="K1570" s="78"/>
      <c r="L1570" s="78"/>
      <c r="V1570" s="78"/>
      <c r="W1570" s="78"/>
      <c r="X1570" s="78"/>
    </row>
    <row r="1571" spans="1:24">
      <c r="A1571" s="34"/>
      <c r="I1571" s="78"/>
      <c r="J1571" s="78"/>
      <c r="K1571" s="78"/>
      <c r="L1571" s="78"/>
      <c r="V1571" s="78"/>
      <c r="W1571" s="78"/>
      <c r="X1571" s="78"/>
    </row>
    <row r="1572" spans="1:24">
      <c r="A1572" s="34"/>
      <c r="I1572" s="78"/>
      <c r="J1572" s="78"/>
      <c r="K1572" s="78"/>
      <c r="L1572" s="78"/>
      <c r="V1572" s="78"/>
      <c r="W1572" s="78"/>
      <c r="X1572" s="78"/>
    </row>
    <row r="1573" spans="1:24">
      <c r="A1573" s="34"/>
      <c r="I1573" s="78"/>
      <c r="J1573" s="78"/>
      <c r="K1573" s="78"/>
      <c r="L1573" s="78"/>
      <c r="V1573" s="78"/>
      <c r="W1573" s="78"/>
      <c r="X1573" s="78"/>
    </row>
    <row r="1574" spans="1:24">
      <c r="A1574" s="34"/>
      <c r="I1574" s="78"/>
      <c r="J1574" s="78"/>
      <c r="K1574" s="78"/>
      <c r="L1574" s="78"/>
      <c r="V1574" s="78"/>
      <c r="W1574" s="78"/>
      <c r="X1574" s="78"/>
    </row>
    <row r="1575" spans="1:24">
      <c r="A1575" s="34"/>
      <c r="I1575" s="78"/>
      <c r="J1575" s="78"/>
      <c r="K1575" s="78"/>
      <c r="L1575" s="78"/>
      <c r="V1575" s="78"/>
      <c r="W1575" s="78"/>
      <c r="X1575" s="78"/>
    </row>
    <row r="1576" spans="1:24">
      <c r="A1576" s="34"/>
      <c r="I1576" s="78"/>
      <c r="J1576" s="78"/>
      <c r="K1576" s="78"/>
      <c r="L1576" s="78"/>
      <c r="V1576" s="78"/>
      <c r="W1576" s="78"/>
      <c r="X1576" s="78"/>
    </row>
    <row r="1577" spans="1:24">
      <c r="A1577" s="34"/>
      <c r="I1577" s="78"/>
      <c r="J1577" s="78"/>
      <c r="K1577" s="78"/>
      <c r="L1577" s="78"/>
      <c r="V1577" s="78"/>
      <c r="W1577" s="78"/>
      <c r="X1577" s="78"/>
    </row>
    <row r="1578" spans="1:24">
      <c r="A1578" s="34"/>
      <c r="I1578" s="78"/>
      <c r="J1578" s="78"/>
      <c r="K1578" s="78"/>
      <c r="L1578" s="78"/>
      <c r="V1578" s="78"/>
      <c r="W1578" s="78"/>
      <c r="X1578" s="78"/>
    </row>
    <row r="1579" spans="1:24">
      <c r="A1579" s="34"/>
      <c r="I1579" s="78"/>
      <c r="J1579" s="78"/>
      <c r="K1579" s="78"/>
      <c r="L1579" s="78"/>
      <c r="V1579" s="78"/>
      <c r="W1579" s="78"/>
      <c r="X1579" s="78"/>
    </row>
    <row r="1580" spans="1:24">
      <c r="A1580" s="34"/>
      <c r="I1580" s="78"/>
      <c r="J1580" s="78"/>
      <c r="K1580" s="78"/>
      <c r="L1580" s="78"/>
      <c r="V1580" s="78"/>
      <c r="W1580" s="78"/>
      <c r="X1580" s="78"/>
    </row>
    <row r="1581" spans="1:24">
      <c r="A1581" s="34"/>
      <c r="I1581" s="78"/>
      <c r="J1581" s="78"/>
      <c r="K1581" s="78"/>
      <c r="L1581" s="78"/>
      <c r="V1581" s="78"/>
      <c r="W1581" s="78"/>
      <c r="X1581" s="78"/>
    </row>
    <row r="1582" spans="1:24">
      <c r="A1582" s="34"/>
      <c r="I1582" s="78"/>
      <c r="J1582" s="78"/>
      <c r="K1582" s="78"/>
      <c r="L1582" s="78"/>
      <c r="V1582" s="78"/>
      <c r="W1582" s="78"/>
      <c r="X1582" s="78"/>
    </row>
    <row r="1583" spans="1:24">
      <c r="A1583" s="34"/>
      <c r="I1583" s="78"/>
      <c r="J1583" s="78"/>
      <c r="K1583" s="78"/>
      <c r="L1583" s="78"/>
      <c r="V1583" s="78"/>
      <c r="W1583" s="78"/>
      <c r="X1583" s="78"/>
    </row>
    <row r="1584" spans="1:24">
      <c r="A1584" s="34"/>
      <c r="I1584" s="78"/>
      <c r="J1584" s="78"/>
      <c r="K1584" s="78"/>
      <c r="L1584" s="78"/>
      <c r="V1584" s="78"/>
      <c r="W1584" s="78"/>
      <c r="X1584" s="78"/>
    </row>
    <row r="1585" spans="1:24">
      <c r="A1585" s="34"/>
      <c r="I1585" s="78"/>
      <c r="J1585" s="78"/>
      <c r="K1585" s="78"/>
      <c r="L1585" s="78"/>
      <c r="V1585" s="78"/>
      <c r="W1585" s="78"/>
      <c r="X1585" s="78"/>
    </row>
    <row r="1586" spans="1:24">
      <c r="A1586" s="34"/>
      <c r="I1586" s="78"/>
      <c r="J1586" s="78"/>
      <c r="K1586" s="78"/>
      <c r="L1586" s="78"/>
      <c r="V1586" s="78"/>
      <c r="W1586" s="78"/>
      <c r="X1586" s="78"/>
    </row>
    <row r="1587" spans="1:24">
      <c r="A1587" s="34"/>
      <c r="I1587" s="78"/>
      <c r="J1587" s="78"/>
      <c r="K1587" s="78"/>
      <c r="L1587" s="78"/>
      <c r="V1587" s="78"/>
      <c r="W1587" s="78"/>
      <c r="X1587" s="78"/>
    </row>
    <row r="1588" spans="1:24">
      <c r="A1588" s="34"/>
      <c r="I1588" s="78"/>
      <c r="J1588" s="78"/>
      <c r="K1588" s="78"/>
      <c r="L1588" s="78"/>
      <c r="V1588" s="78"/>
      <c r="W1588" s="78"/>
      <c r="X1588" s="78"/>
    </row>
    <row r="1589" spans="1:24">
      <c r="A1589" s="34"/>
      <c r="I1589" s="78"/>
      <c r="J1589" s="78"/>
      <c r="K1589" s="78"/>
      <c r="L1589" s="78"/>
      <c r="V1589" s="78"/>
      <c r="W1589" s="78"/>
      <c r="X1589" s="78"/>
    </row>
    <row r="1590" spans="1:24">
      <c r="A1590" s="34"/>
      <c r="I1590" s="78"/>
      <c r="J1590" s="78"/>
      <c r="K1590" s="78"/>
      <c r="L1590" s="78"/>
      <c r="V1590" s="78"/>
      <c r="W1590" s="78"/>
      <c r="X1590" s="78"/>
    </row>
    <row r="1591" spans="1:24">
      <c r="A1591" s="34"/>
      <c r="I1591" s="78"/>
      <c r="J1591" s="78"/>
      <c r="K1591" s="78"/>
      <c r="L1591" s="78"/>
      <c r="V1591" s="78"/>
      <c r="W1591" s="78"/>
      <c r="X1591" s="78"/>
    </row>
    <row r="1592" spans="1:24">
      <c r="A1592" s="34"/>
      <c r="I1592" s="78"/>
      <c r="J1592" s="78"/>
      <c r="K1592" s="78"/>
      <c r="L1592" s="78"/>
      <c r="V1592" s="78"/>
      <c r="W1592" s="78"/>
      <c r="X1592" s="78"/>
    </row>
    <row r="1593" spans="1:24">
      <c r="A1593" s="34"/>
      <c r="I1593" s="78"/>
      <c r="J1593" s="78"/>
      <c r="K1593" s="78"/>
      <c r="L1593" s="78"/>
      <c r="V1593" s="78"/>
      <c r="W1593" s="78"/>
      <c r="X1593" s="78"/>
    </row>
    <row r="1594" spans="1:24">
      <c r="A1594" s="34"/>
      <c r="I1594" s="78"/>
      <c r="J1594" s="78"/>
      <c r="K1594" s="78"/>
      <c r="L1594" s="78"/>
      <c r="V1594" s="78"/>
      <c r="W1594" s="78"/>
      <c r="X1594" s="78"/>
    </row>
    <row r="1595" spans="1:24">
      <c r="A1595" s="34"/>
      <c r="I1595" s="78"/>
      <c r="J1595" s="78"/>
      <c r="K1595" s="78"/>
      <c r="L1595" s="78"/>
      <c r="V1595" s="78"/>
      <c r="W1595" s="78"/>
      <c r="X1595" s="78"/>
    </row>
    <row r="1596" spans="1:24">
      <c r="A1596" s="34"/>
      <c r="I1596" s="78"/>
      <c r="J1596" s="78"/>
      <c r="K1596" s="78"/>
      <c r="L1596" s="78"/>
      <c r="V1596" s="78"/>
      <c r="W1596" s="78"/>
      <c r="X1596" s="78"/>
    </row>
    <row r="1597" spans="1:24">
      <c r="A1597" s="34"/>
      <c r="I1597" s="78"/>
      <c r="J1597" s="78"/>
      <c r="K1597" s="78"/>
      <c r="L1597" s="78"/>
      <c r="V1597" s="78"/>
      <c r="W1597" s="78"/>
      <c r="X1597" s="78"/>
    </row>
    <row r="1598" spans="1:24">
      <c r="A1598" s="34"/>
      <c r="I1598" s="78"/>
      <c r="J1598" s="78"/>
      <c r="K1598" s="78"/>
      <c r="L1598" s="78"/>
      <c r="V1598" s="78"/>
      <c r="W1598" s="78"/>
      <c r="X1598" s="78"/>
    </row>
    <row r="1599" spans="1:24">
      <c r="A1599" s="34"/>
      <c r="I1599" s="78"/>
      <c r="J1599" s="78"/>
      <c r="K1599" s="78"/>
      <c r="L1599" s="78"/>
      <c r="V1599" s="78"/>
      <c r="W1599" s="78"/>
      <c r="X1599" s="78"/>
    </row>
    <row r="1600" spans="1:24">
      <c r="A1600" s="34"/>
      <c r="I1600" s="78"/>
      <c r="J1600" s="78"/>
      <c r="K1600" s="78"/>
      <c r="L1600" s="78"/>
      <c r="V1600" s="78"/>
      <c r="W1600" s="78"/>
      <c r="X1600" s="78"/>
    </row>
    <row r="1601" spans="1:24">
      <c r="A1601" s="34"/>
      <c r="I1601" s="78"/>
      <c r="J1601" s="78"/>
      <c r="K1601" s="78"/>
      <c r="L1601" s="78"/>
      <c r="V1601" s="78"/>
      <c r="W1601" s="78"/>
      <c r="X1601" s="78"/>
    </row>
    <row r="1602" spans="1:24">
      <c r="A1602" s="34"/>
      <c r="I1602" s="78"/>
      <c r="J1602" s="78"/>
      <c r="K1602" s="78"/>
      <c r="L1602" s="78"/>
      <c r="V1602" s="78"/>
      <c r="W1602" s="78"/>
      <c r="X1602" s="78"/>
    </row>
    <row r="1603" spans="1:24">
      <c r="A1603" s="34"/>
      <c r="I1603" s="78"/>
      <c r="J1603" s="78"/>
      <c r="K1603" s="78"/>
      <c r="L1603" s="78"/>
      <c r="V1603" s="78"/>
      <c r="W1603" s="78"/>
      <c r="X1603" s="78"/>
    </row>
    <row r="1604" spans="1:24">
      <c r="A1604" s="34"/>
      <c r="I1604" s="78"/>
      <c r="J1604" s="78"/>
      <c r="K1604" s="78"/>
      <c r="L1604" s="78"/>
      <c r="V1604" s="78"/>
      <c r="W1604" s="78"/>
      <c r="X1604" s="78"/>
    </row>
    <row r="1605" spans="1:24">
      <c r="A1605" s="34"/>
      <c r="I1605" s="78"/>
      <c r="J1605" s="78"/>
      <c r="K1605" s="78"/>
      <c r="L1605" s="78"/>
      <c r="V1605" s="78"/>
      <c r="W1605" s="78"/>
      <c r="X1605" s="78"/>
    </row>
    <row r="1606" spans="1:24">
      <c r="A1606" s="34"/>
      <c r="I1606" s="78"/>
      <c r="J1606" s="78"/>
      <c r="K1606" s="78"/>
      <c r="L1606" s="78"/>
      <c r="V1606" s="78"/>
      <c r="W1606" s="78"/>
      <c r="X1606" s="78"/>
    </row>
    <row r="1607" spans="1:24">
      <c r="A1607" s="34"/>
      <c r="I1607" s="78"/>
      <c r="J1607" s="78"/>
      <c r="K1607" s="78"/>
      <c r="L1607" s="78"/>
      <c r="V1607" s="78"/>
      <c r="W1607" s="78"/>
      <c r="X1607" s="78"/>
    </row>
    <row r="1608" spans="1:24">
      <c r="A1608" s="34"/>
      <c r="I1608" s="78"/>
      <c r="J1608" s="78"/>
      <c r="K1608" s="78"/>
      <c r="L1608" s="78"/>
      <c r="V1608" s="78"/>
      <c r="W1608" s="78"/>
      <c r="X1608" s="78"/>
    </row>
    <row r="1609" spans="1:24">
      <c r="A1609" s="34"/>
      <c r="I1609" s="78"/>
      <c r="J1609" s="78"/>
      <c r="K1609" s="78"/>
      <c r="L1609" s="78"/>
      <c r="V1609" s="78"/>
      <c r="W1609" s="78"/>
      <c r="X1609" s="78"/>
    </row>
    <row r="1610" spans="1:24">
      <c r="A1610" s="34"/>
      <c r="I1610" s="78"/>
      <c r="J1610" s="78"/>
      <c r="K1610" s="78"/>
      <c r="L1610" s="78"/>
      <c r="V1610" s="78"/>
      <c r="W1610" s="78"/>
      <c r="X1610" s="78"/>
    </row>
    <row r="1611" spans="1:24">
      <c r="A1611" s="34"/>
      <c r="I1611" s="78"/>
      <c r="J1611" s="78"/>
      <c r="K1611" s="78"/>
      <c r="L1611" s="78"/>
      <c r="V1611" s="78"/>
      <c r="W1611" s="78"/>
      <c r="X1611" s="78"/>
    </row>
    <row r="1612" spans="1:24">
      <c r="A1612" s="34"/>
      <c r="I1612" s="78"/>
      <c r="J1612" s="78"/>
      <c r="K1612" s="78"/>
      <c r="L1612" s="78"/>
      <c r="V1612" s="78"/>
      <c r="W1612" s="78"/>
      <c r="X1612" s="78"/>
    </row>
    <row r="1613" spans="1:24">
      <c r="A1613" s="34"/>
      <c r="I1613" s="78"/>
      <c r="J1613" s="78"/>
      <c r="K1613" s="78"/>
      <c r="L1613" s="78"/>
      <c r="V1613" s="78"/>
      <c r="W1613" s="78"/>
      <c r="X1613" s="78"/>
    </row>
    <row r="1614" spans="1:24">
      <c r="A1614" s="34"/>
      <c r="I1614" s="78"/>
      <c r="J1614" s="78"/>
      <c r="K1614" s="78"/>
      <c r="L1614" s="78"/>
      <c r="V1614" s="78"/>
      <c r="W1614" s="78"/>
      <c r="X1614" s="78"/>
    </row>
    <row r="1615" spans="1:24">
      <c r="A1615" s="34"/>
      <c r="I1615" s="78"/>
      <c r="J1615" s="78"/>
      <c r="K1615" s="78"/>
      <c r="L1615" s="78"/>
      <c r="V1615" s="78"/>
      <c r="W1615" s="78"/>
      <c r="X1615" s="78"/>
    </row>
    <row r="1616" spans="1:24">
      <c r="A1616" s="34"/>
      <c r="I1616" s="78"/>
      <c r="J1616" s="78"/>
      <c r="K1616" s="78"/>
      <c r="L1616" s="78"/>
      <c r="V1616" s="78"/>
      <c r="W1616" s="78"/>
      <c r="X1616" s="78"/>
    </row>
    <row r="1617" spans="1:24">
      <c r="A1617" s="34"/>
      <c r="I1617" s="78"/>
      <c r="J1617" s="78"/>
      <c r="K1617" s="78"/>
      <c r="L1617" s="78"/>
      <c r="V1617" s="78"/>
      <c r="W1617" s="78"/>
      <c r="X1617" s="78"/>
    </row>
    <row r="1618" spans="1:24">
      <c r="A1618" s="34"/>
      <c r="I1618" s="78"/>
      <c r="J1618" s="78"/>
      <c r="K1618" s="78"/>
      <c r="L1618" s="78"/>
      <c r="V1618" s="78"/>
      <c r="W1618" s="78"/>
      <c r="X1618" s="78"/>
    </row>
    <row r="1619" spans="1:24">
      <c r="A1619" s="34"/>
      <c r="I1619" s="78"/>
      <c r="J1619" s="78"/>
      <c r="K1619" s="78"/>
      <c r="L1619" s="78"/>
      <c r="V1619" s="78"/>
      <c r="W1619" s="78"/>
      <c r="X1619" s="78"/>
    </row>
    <row r="1620" spans="1:24">
      <c r="A1620" s="34"/>
      <c r="I1620" s="78"/>
      <c r="J1620" s="78"/>
      <c r="K1620" s="78"/>
      <c r="L1620" s="78"/>
      <c r="V1620" s="78"/>
      <c r="W1620" s="78"/>
      <c r="X1620" s="78"/>
    </row>
    <row r="1621" spans="1:24">
      <c r="A1621" s="34"/>
      <c r="I1621" s="78"/>
      <c r="J1621" s="78"/>
      <c r="K1621" s="78"/>
      <c r="L1621" s="78"/>
      <c r="V1621" s="78"/>
      <c r="W1621" s="78"/>
      <c r="X1621" s="78"/>
    </row>
    <row r="1622" spans="1:24">
      <c r="A1622" s="34"/>
      <c r="I1622" s="78"/>
      <c r="J1622" s="78"/>
      <c r="K1622" s="78"/>
      <c r="L1622" s="78"/>
      <c r="V1622" s="78"/>
      <c r="W1622" s="78"/>
      <c r="X1622" s="78"/>
    </row>
    <row r="1623" spans="1:24">
      <c r="A1623" s="34"/>
      <c r="I1623" s="78"/>
      <c r="J1623" s="78"/>
      <c r="K1623" s="78"/>
      <c r="L1623" s="78"/>
      <c r="V1623" s="78"/>
      <c r="W1623" s="78"/>
      <c r="X1623" s="78"/>
    </row>
    <row r="1624" spans="1:24">
      <c r="A1624" s="34"/>
      <c r="I1624" s="78"/>
      <c r="J1624" s="78"/>
      <c r="K1624" s="78"/>
      <c r="L1624" s="78"/>
      <c r="V1624" s="78"/>
      <c r="W1624" s="78"/>
      <c r="X1624" s="78"/>
    </row>
    <row r="1625" spans="1:24">
      <c r="A1625" s="34"/>
      <c r="I1625" s="78"/>
      <c r="J1625" s="78"/>
      <c r="K1625" s="78"/>
      <c r="L1625" s="78"/>
      <c r="V1625" s="78"/>
      <c r="W1625" s="78"/>
      <c r="X1625" s="78"/>
    </row>
    <row r="1626" spans="1:24">
      <c r="A1626" s="34"/>
      <c r="I1626" s="78"/>
      <c r="J1626" s="78"/>
      <c r="K1626" s="78"/>
      <c r="L1626" s="78"/>
      <c r="V1626" s="78"/>
      <c r="W1626" s="78"/>
      <c r="X1626" s="78"/>
    </row>
  </sheetData>
  <phoneticPr fontId="1" type="noConversion"/>
  <dataValidations count="1">
    <dataValidation type="custom" allowBlank="1" showInputMessage="1" showErrorMessage="1" sqref="J2:L402 V2:X402">
      <formula1>AND(ISNUMBER(J2),(NOT(OR(NOT(ISERROR(DATEVALUE(J2))), AND(ISNUMBER(J2), LEFT(CELL("format", J2))="D")))))</formula1>
    </dataValidation>
  </dataValidations>
  <pageMargins left="0.70" right="0.70" top="0.75" bottom="0.75" header="0.30" footer="0.30"/>
  <pageSetup paperSize="9"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17"/>
  <sheetViews>
    <sheetView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P10" sqref="P10"/>
    </sheetView>
  </sheetViews>
  <sheetFormatPr defaultColWidth="12.63000000" defaultRowHeight="15.750000" customHeight="1"/>
  <cols>
    <col min="1" max="1" style="168" width="8.43357120" customWidth="1" outlineLevel="0"/>
    <col min="7" max="8" style="148" width="12.57642828" customWidth="1" outlineLevel="0"/>
    <col min="11" max="11" style="148" width="12.57642828" customWidth="1" outlineLevel="0"/>
    <col min="12" max="12" style="168" width="16.00499998" customWidth="1" outlineLevel="0"/>
    <col min="13" max="13" style="168" width="17.00499998" customWidth="1" outlineLevel="0"/>
    <col min="14" max="15" style="168" width="17.14785658" customWidth="1" outlineLevel="0"/>
    <col min="16" max="17" style="168" width="15.57642828" customWidth="1" outlineLevel="0"/>
    <col min="18" max="19" style="168" width="17.14785658" customWidth="1" outlineLevel="0"/>
    <col min="20" max="20" style="168" width="17.29071508" customWidth="1" outlineLevel="0"/>
    <col min="21" max="22" style="168" width="17.14785658" customWidth="1" outlineLevel="0"/>
  </cols>
  <sheetData>
    <row r="1" spans="1:22" s="168" customFormat="1" ht="26.400000" customHeight="1">
      <c r="A1" s="32" t="s">
        <v>5</v>
      </c>
      <c r="B1" s="32" t="s">
        <v>6</v>
      </c>
      <c r="C1" s="32" t="s">
        <v>7</v>
      </c>
      <c r="D1" s="33" t="s">
        <v>8</v>
      </c>
      <c r="E1" s="33" t="s">
        <v>9</v>
      </c>
      <c r="F1" s="33"/>
      <c r="G1" s="149"/>
      <c r="H1" s="149"/>
      <c r="I1" s="33"/>
      <c r="J1" s="33"/>
      <c r="K1" s="149"/>
      <c r="L1" s="34" t="s">
        <v>7</v>
      </c>
      <c r="M1" s="35" t="s">
        <v>10</v>
      </c>
      <c r="N1" s="36">
        <f>SUM(N3:N302)</f>
        <v>2104.56</v>
      </c>
      <c r="O1" s="37">
        <f>(N1/C3)/300</f>
        <v>0.00874713216957606</v>
      </c>
      <c r="P1" s="34"/>
      <c r="Q1" s="38">
        <f>AVERAGE(Q3:Q402)</f>
        <v>0.352797717066395</v>
      </c>
      <c r="R1" s="38">
        <f>AVERAGE(R3:R402)</f>
        <v>4.82419084406394</v>
      </c>
      <c r="S1" s="38">
        <f>AVERAGE(S3:S402)</f>
        <v>6.68002907111316</v>
      </c>
      <c r="T1" s="38">
        <f>AVERAGE(T13:T302)</f>
        <v>0.576069338862932</v>
      </c>
      <c r="U1" s="38">
        <f>AVERAGE(U3:U402)</f>
        <v>1421.96629408315</v>
      </c>
      <c r="V1" s="38">
        <f>AVERAGE(V3:V402)</f>
        <v>203527.155</v>
      </c>
    </row>
    <row r="2" spans="1:22" s="168" customFormat="1" ht="22.500000" customHeight="1">
      <c r="A2" s="40" t="s">
        <v>0</v>
      </c>
      <c r="B2" s="40" t="s">
        <v>11</v>
      </c>
      <c r="C2" s="40" t="s">
        <v>11</v>
      </c>
      <c r="D2" s="40" t="s">
        <v>11</v>
      </c>
      <c r="E2" s="40" t="s">
        <v>11</v>
      </c>
      <c r="F2" s="41" t="s">
        <v>12</v>
      </c>
      <c r="G2" s="41" t="s">
        <v>13</v>
      </c>
      <c r="H2" s="41" t="s">
        <v>14</v>
      </c>
      <c r="I2" s="41" t="s">
        <v>15</v>
      </c>
      <c r="J2" s="41" t="s">
        <v>16</v>
      </c>
      <c r="K2" s="41" t="s">
        <v>17</v>
      </c>
      <c r="L2" s="40" t="s">
        <v>18</v>
      </c>
      <c r="M2" s="35" t="s">
        <v>10</v>
      </c>
      <c r="N2" s="45" t="s">
        <v>19</v>
      </c>
      <c r="O2" s="113" t="s">
        <v>20</v>
      </c>
      <c r="P2" s="45" t="s">
        <v>21</v>
      </c>
      <c r="Q2" s="45" t="s">
        <v>22</v>
      </c>
      <c r="R2" s="45" t="s">
        <v>23</v>
      </c>
      <c r="S2" s="45" t="s">
        <v>24</v>
      </c>
      <c r="T2" s="45" t="s">
        <v>25</v>
      </c>
      <c r="U2" s="45" t="s">
        <v>26</v>
      </c>
      <c r="V2" s="45" t="s">
        <v>27</v>
      </c>
    </row>
    <row r="3" spans="1:22" s="168" customFormat="1" ht="22.500000" customHeight="1">
      <c r="A3" s="48">
        <v>1</v>
      </c>
      <c r="B3" s="49">
        <v>825</v>
      </c>
      <c r="C3" s="49">
        <v>802</v>
      </c>
      <c r="D3" s="49">
        <v>12</v>
      </c>
      <c r="E3" s="49">
        <v>15</v>
      </c>
      <c r="F3" s="50">
        <f>(C3*100)/B3</f>
        <v>97.2121212121212</v>
      </c>
      <c r="G3" s="156">
        <f>(D3*100)/B3</f>
        <v>1.45454545454545</v>
      </c>
      <c r="H3" s="151">
        <f>((B3-B4)/B3)*100</f>
        <v>2.90909090909091</v>
      </c>
      <c r="I3" s="52">
        <f>((B3-C3)/B3)*100</f>
        <v>2.78787878787879</v>
      </c>
      <c r="J3" s="52">
        <f>((C3-B4)/C3)*100</f>
        <v>0.124688279301746</v>
      </c>
      <c r="K3" s="161">
        <f>100-(((C3-C4)/C3)*100)</f>
        <v>97.2568578553616</v>
      </c>
      <c r="L3" s="54">
        <v>1.0024906600249</v>
      </c>
      <c r="M3" s="117" t="s">
        <v>28</v>
      </c>
      <c r="N3" s="54">
        <v>6.17</v>
      </c>
      <c r="O3" s="56">
        <f>N3/C3</f>
        <v>0.00769326683291771</v>
      </c>
      <c r="P3" s="57" t="e">
        <f>(Boosters_IOS!B3*100)/Boosters_IOS!N3</f>
        <v>#DIV/0!</v>
      </c>
      <c r="Q3" s="57">
        <f>Boosters_IOS!B3/(C3+D3)</f>
        <v>0</v>
      </c>
      <c r="R3" s="57">
        <f>Boosters_IOS!N3/B3</f>
        <v>0</v>
      </c>
      <c r="S3" s="54">
        <v>0.037359900373599</v>
      </c>
      <c r="T3" s="54">
        <v>0</v>
      </c>
      <c r="U3" s="58">
        <v>396.882793017456</v>
      </c>
      <c r="V3" s="54">
        <v>280300</v>
      </c>
    </row>
    <row r="4" spans="1:22" s="168" customFormat="1" ht="22.500000" customHeight="1">
      <c r="A4" s="34">
        <v>2</v>
      </c>
      <c r="B4" s="49">
        <v>801</v>
      </c>
      <c r="C4" s="49">
        <v>780</v>
      </c>
      <c r="D4" s="49">
        <v>5</v>
      </c>
      <c r="E4" s="49">
        <v>7</v>
      </c>
      <c r="F4" s="50">
        <f>(C4*100)/B4</f>
        <v>97.3782771535581</v>
      </c>
      <c r="G4" s="156">
        <f>(D4*100)/B4</f>
        <v>0.624219725343321</v>
      </c>
      <c r="H4" s="152">
        <f>((B4-B5)/B4)*100</f>
        <v>2.74656679151061</v>
      </c>
      <c r="I4" s="52">
        <f>((B4-C4)/B4)*100</f>
        <v>2.62172284644195</v>
      </c>
      <c r="J4" s="52">
        <f>((C4-B5)/C4)*100</f>
        <v>0.128205128205128</v>
      </c>
      <c r="K4" s="161">
        <f>100-(((C3-C5)/C3)*100)</f>
        <v>95.0124688279302</v>
      </c>
      <c r="L4" s="54">
        <v>1.00255754475703</v>
      </c>
      <c r="M4" s="122" t="s">
        <v>28</v>
      </c>
      <c r="N4" s="54">
        <v>2.31</v>
      </c>
      <c r="O4" s="56">
        <f>N4/C4</f>
        <v>0.00296153846153846</v>
      </c>
      <c r="P4" s="57" t="e">
        <f>(Boosters_IOS!B4*100)/Boosters_IOS!N4</f>
        <v>#DIV/0!</v>
      </c>
      <c r="Q4" s="57">
        <f>Boosters_IOS!B4/(C4+D4)</f>
        <v>0</v>
      </c>
      <c r="R4" s="57">
        <f>Boosters_IOS!N4/B4</f>
        <v>0</v>
      </c>
      <c r="S4" s="54">
        <v>0.00639386189258312</v>
      </c>
      <c r="T4" s="54">
        <v>0</v>
      </c>
      <c r="U4" s="58">
        <v>419.076923076923</v>
      </c>
      <c r="V4" s="54">
        <v>295580</v>
      </c>
    </row>
    <row r="5" spans="1:22" s="168" customFormat="1" ht="22.500000" customHeight="1">
      <c r="A5" s="34">
        <v>3</v>
      </c>
      <c r="B5" s="49">
        <v>779</v>
      </c>
      <c r="C5" s="49">
        <v>762</v>
      </c>
      <c r="D5" s="49">
        <v>6</v>
      </c>
      <c r="E5" s="49">
        <v>7</v>
      </c>
      <c r="F5" s="50">
        <f>(C5*100)/B5</f>
        <v>97.8177150192555</v>
      </c>
      <c r="G5" s="156">
        <f>(D5*100)/B5</f>
        <v>0.770218228498074</v>
      </c>
      <c r="H5" s="152">
        <f>((B5-B6)/B5)*100</f>
        <v>2.31065468549422</v>
      </c>
      <c r="I5" s="52">
        <f>((B5-C5)/B5)*100</f>
        <v>2.18228498074454</v>
      </c>
      <c r="J5" s="52">
        <f>((C5-B6)/C5)*100</f>
        <v>0.131233595800525</v>
      </c>
      <c r="K5" s="161">
        <f>100-(((C3-C6)/C3)*100)</f>
        <v>93.640897755611</v>
      </c>
      <c r="L5" s="54">
        <v>1.00393184796854</v>
      </c>
      <c r="M5" s="123" t="s">
        <v>28</v>
      </c>
      <c r="N5" s="54">
        <v>2.3</v>
      </c>
      <c r="O5" s="56">
        <f>N5/C5</f>
        <v>0.00301837270341207</v>
      </c>
      <c r="P5" s="57" t="e">
        <f>(Boosters_IOS!B5*100)/Boosters_IOS!N5</f>
        <v>#DIV/0!</v>
      </c>
      <c r="Q5" s="57">
        <f>Boosters_IOS!B5/(C5+D5)</f>
        <v>0</v>
      </c>
      <c r="R5" s="57">
        <f>Boosters_IOS!N5/B5</f>
        <v>0</v>
      </c>
      <c r="S5" s="54">
        <v>3.76277850589777</v>
      </c>
      <c r="T5" s="54">
        <v>0</v>
      </c>
      <c r="U5" s="58">
        <v>441.496062992126</v>
      </c>
      <c r="V5" s="54">
        <v>310880</v>
      </c>
    </row>
    <row r="6" spans="1:22" s="168" customFormat="1" ht="22.500000" customHeight="1">
      <c r="A6" s="34">
        <v>4</v>
      </c>
      <c r="B6" s="49">
        <v>761</v>
      </c>
      <c r="C6" s="49">
        <v>751</v>
      </c>
      <c r="D6" s="49">
        <v>9</v>
      </c>
      <c r="E6" s="49">
        <v>8</v>
      </c>
      <c r="F6" s="50">
        <f>(C6*100)/B6</f>
        <v>98.6859395532194</v>
      </c>
      <c r="G6" s="156">
        <f>(D6*100)/B6</f>
        <v>1.1826544021025</v>
      </c>
      <c r="H6" s="152">
        <f>((B6-B7)/B6)*100</f>
        <v>0.919842312746386</v>
      </c>
      <c r="I6" s="52">
        <f>((B6-C6)/B6)*100</f>
        <v>1.31406044678055</v>
      </c>
      <c r="J6" s="52">
        <f>((C6-B7)/C6)*100</f>
        <v>-0.399467376830892</v>
      </c>
      <c r="K6" s="161">
        <f>100-(((C3-C7)/C3)*100)</f>
        <v>92.643391521197</v>
      </c>
      <c r="L6" s="54">
        <v>1.01196808510638</v>
      </c>
      <c r="M6" s="122" t="s">
        <v>28</v>
      </c>
      <c r="N6" s="54">
        <v>0</v>
      </c>
      <c r="O6" s="56">
        <f>N6/C6</f>
        <v>0</v>
      </c>
      <c r="P6" s="57" t="e">
        <f>(Boosters_IOS!B6*100)/Boosters_IOS!N6</f>
        <v>#DIV/0!</v>
      </c>
      <c r="Q6" s="57">
        <f>Boosters_IOS!B6/(C6+D6)</f>
        <v>0</v>
      </c>
      <c r="R6" s="57">
        <f>Boosters_IOS!N6/B6</f>
        <v>0</v>
      </c>
      <c r="S6" s="54">
        <v>4.72074468085106</v>
      </c>
      <c r="T6" s="54">
        <v>0</v>
      </c>
      <c r="U6" s="58">
        <v>461.651131824234</v>
      </c>
      <c r="V6" s="54">
        <v>330980</v>
      </c>
    </row>
    <row r="7" spans="1:22" s="168" customFormat="1" ht="22.500000" customHeight="1">
      <c r="A7" s="34">
        <v>5</v>
      </c>
      <c r="B7" s="49">
        <v>754</v>
      </c>
      <c r="C7" s="49">
        <v>743</v>
      </c>
      <c r="D7" s="49">
        <v>11</v>
      </c>
      <c r="E7" s="49">
        <v>12</v>
      </c>
      <c r="F7" s="50">
        <f>(C7*100)/B7</f>
        <v>98.5411140583554</v>
      </c>
      <c r="G7" s="156">
        <f>(D7*100)/B7</f>
        <v>1.45888594164456</v>
      </c>
      <c r="H7" s="152">
        <f>((B7-B8)/B7)*100</f>
        <v>0.530503978779841</v>
      </c>
      <c r="I7" s="52">
        <f>((B7-C7)/B7)*100</f>
        <v>1.45888594164456</v>
      </c>
      <c r="J7" s="52">
        <f>((C7-B8)/C7)*100</f>
        <v>-0.942126514131898</v>
      </c>
      <c r="K7" s="161">
        <f>100-(((C3-C8)/C3)*100)</f>
        <v>92.14463840399</v>
      </c>
      <c r="L7" s="54">
        <v>1.00672043010752</v>
      </c>
      <c r="M7" s="123" t="s">
        <v>28</v>
      </c>
      <c r="N7" s="54">
        <v>0</v>
      </c>
      <c r="O7" s="56">
        <f>N7/C7</f>
        <v>0</v>
      </c>
      <c r="P7" s="57" t="e">
        <f>(Boosters_IOS!B7*100)/Boosters_IOS!N7</f>
        <v>#DIV/0!</v>
      </c>
      <c r="Q7" s="57">
        <f>Boosters_IOS!B7/(C7+D7)</f>
        <v>0</v>
      </c>
      <c r="R7" s="57">
        <f>Boosters_IOS!N7/B7</f>
        <v>0</v>
      </c>
      <c r="S7" s="54">
        <v>4.08467741935483</v>
      </c>
      <c r="T7" s="54">
        <v>0.00134589502018843</v>
      </c>
      <c r="U7" s="58">
        <v>481.278600269179</v>
      </c>
      <c r="V7" s="54">
        <v>344990</v>
      </c>
    </row>
    <row r="8" spans="1:22" s="168" customFormat="1" ht="22.500000" customHeight="1">
      <c r="A8" s="34">
        <v>6</v>
      </c>
      <c r="B8" s="49">
        <v>750</v>
      </c>
      <c r="C8" s="49">
        <v>739</v>
      </c>
      <c r="D8" s="49">
        <v>28</v>
      </c>
      <c r="E8" s="49">
        <v>28</v>
      </c>
      <c r="F8" s="50">
        <f>(C8*100)/B8</f>
        <v>98.5333333333333</v>
      </c>
      <c r="G8" s="157">
        <f>(D8*100)/B8</f>
        <v>3.73333333333333</v>
      </c>
      <c r="H8" s="152">
        <f>((B8-B9)/B8)*100</f>
        <v>0.933333333333334</v>
      </c>
      <c r="I8" s="52">
        <f>((B8-C8)/B8)*100</f>
        <v>1.46666666666667</v>
      </c>
      <c r="J8" s="52">
        <f>((C8-B9)/C8)*100</f>
        <v>-0.54127198917456</v>
      </c>
      <c r="K8" s="161">
        <f>100-(((C3-C9)/C3)*100)</f>
        <v>90.3990024937656</v>
      </c>
      <c r="L8" s="54">
        <v>1.01486486486486</v>
      </c>
      <c r="M8" s="122" t="s">
        <v>28</v>
      </c>
      <c r="N8" s="54">
        <v>2.25</v>
      </c>
      <c r="O8" s="56">
        <f>N8/C8</f>
        <v>0.0030446549391069</v>
      </c>
      <c r="P8" s="57" t="e">
        <f>(Boosters_IOS!B8*100)/Boosters_IOS!N8</f>
        <v>#DIV/0!</v>
      </c>
      <c r="Q8" s="57">
        <f>Boosters_IOS!B8/(C8+D8)</f>
        <v>0</v>
      </c>
      <c r="R8" s="57">
        <f>Boosters_IOS!N8/B8</f>
        <v>0</v>
      </c>
      <c r="S8" s="54">
        <v>4.0027027027027</v>
      </c>
      <c r="T8" s="54">
        <v>0</v>
      </c>
      <c r="U8" s="58">
        <v>501.27198917456</v>
      </c>
      <c r="V8" s="54">
        <v>357210</v>
      </c>
    </row>
    <row r="9" spans="1:22" s="168" customFormat="1" ht="22.500000" customHeight="1">
      <c r="A9" s="34">
        <v>7</v>
      </c>
      <c r="B9" s="49">
        <v>743</v>
      </c>
      <c r="C9" s="49">
        <v>725</v>
      </c>
      <c r="D9" s="49">
        <v>20</v>
      </c>
      <c r="E9" s="49">
        <v>19</v>
      </c>
      <c r="F9" s="50">
        <f>(C9*100)/B9</f>
        <v>97.5773889636608</v>
      </c>
      <c r="G9" s="156">
        <f>(D9*100)/B9</f>
        <v>2.69179004037685</v>
      </c>
      <c r="H9" s="152">
        <f>((B9-B10)/B9)*100</f>
        <v>2.01884253028264</v>
      </c>
      <c r="I9" s="52">
        <f>((B9-C9)/B9)*100</f>
        <v>2.42261103633917</v>
      </c>
      <c r="J9" s="52">
        <f>((C9-B10)/C9)*100</f>
        <v>-0.413793103448276</v>
      </c>
      <c r="K9" s="161">
        <f>100-(((C3-C10)/C3)*100)</f>
        <v>89.2768079800499</v>
      </c>
      <c r="L9" s="54">
        <v>1.00412654745529</v>
      </c>
      <c r="M9" s="123" t="s">
        <v>28</v>
      </c>
      <c r="N9" s="54">
        <v>1.99</v>
      </c>
      <c r="O9" s="56">
        <f>N9/C9</f>
        <v>0.0027448275862069</v>
      </c>
      <c r="P9" s="57" t="e">
        <f>(Boosters_IOS!B9*100)/Boosters_IOS!N9</f>
        <v>#DIV/0!</v>
      </c>
      <c r="Q9" s="57">
        <f>Boosters_IOS!B9/(C9+D9)</f>
        <v>0</v>
      </c>
      <c r="R9" s="57">
        <f>Boosters_IOS!N9/B9</f>
        <v>0</v>
      </c>
      <c r="S9" s="54">
        <v>4.43603851444291</v>
      </c>
      <c r="T9" s="54">
        <v>0</v>
      </c>
      <c r="U9" s="58">
        <v>523.531034482759</v>
      </c>
      <c r="V9" s="54">
        <v>369730</v>
      </c>
    </row>
    <row r="10" spans="1:22" s="168" customFormat="1" ht="22.500000" customHeight="1">
      <c r="A10" s="34">
        <v>8</v>
      </c>
      <c r="B10" s="49">
        <v>728</v>
      </c>
      <c r="C10" s="49">
        <v>716</v>
      </c>
      <c r="D10" s="49">
        <v>3</v>
      </c>
      <c r="E10" s="49">
        <v>6</v>
      </c>
      <c r="F10" s="50">
        <f>(C10*100)/B10</f>
        <v>98.3516483516484</v>
      </c>
      <c r="G10" s="156">
        <f>(D10*100)/B10</f>
        <v>0.412087912087912</v>
      </c>
      <c r="H10" s="152">
        <f>((B10-B11)/B10)*100</f>
        <v>1.51098901098901</v>
      </c>
      <c r="I10" s="52">
        <f>((B10-C10)/B10)*100</f>
        <v>1.64835164835165</v>
      </c>
      <c r="J10" s="52">
        <f>((C10-B11)/C10)*100</f>
        <v>-0.139664804469274</v>
      </c>
      <c r="K10" s="161">
        <f>100-(((C3-C11)/C3)*100)</f>
        <v>88.1546134663342</v>
      </c>
      <c r="L10" s="54">
        <v>1.00278551532033</v>
      </c>
      <c r="M10" s="122" t="s">
        <v>28</v>
      </c>
      <c r="N10" s="54">
        <v>0</v>
      </c>
      <c r="O10" s="56">
        <f>N10/C10</f>
        <v>0</v>
      </c>
      <c r="P10" s="57">
        <f>(Boosters_IOS!B10*100)/Boosters_IOS!N10</f>
        <v>98.8254532728682</v>
      </c>
      <c r="Q10" s="57">
        <f>Boosters_IOS!B10/(C10+D10)</f>
        <v>0.997218358831711</v>
      </c>
      <c r="R10" s="57">
        <f>Boosters_IOS!N10/B10</f>
        <v>0.996595590784409</v>
      </c>
      <c r="S10" s="54">
        <v>5.04596100278551</v>
      </c>
      <c r="T10" s="54">
        <v>0.00139664804469274</v>
      </c>
      <c r="U10" s="58">
        <v>542.625698324022</v>
      </c>
      <c r="V10" s="54">
        <v>383010</v>
      </c>
    </row>
    <row r="11" spans="1:22" s="168" customFormat="1" ht="22.500000" customHeight="1">
      <c r="A11" s="34">
        <v>9</v>
      </c>
      <c r="B11" s="49">
        <v>717</v>
      </c>
      <c r="C11" s="49">
        <v>707</v>
      </c>
      <c r="D11" s="49">
        <v>40</v>
      </c>
      <c r="E11" s="49">
        <v>43</v>
      </c>
      <c r="F11" s="50">
        <f>(C11*100)/B11</f>
        <v>98.60529986053</v>
      </c>
      <c r="G11" s="157">
        <f>(D11*100)/B11</f>
        <v>5.57880055788006</v>
      </c>
      <c r="H11" s="152">
        <f>((B11-B12)/B11)*100</f>
        <v>2.64993026499303</v>
      </c>
      <c r="I11" s="52">
        <f>((B11-C11)/B11)*100</f>
        <v>1.39470013947001</v>
      </c>
      <c r="J11" s="52">
        <f>((C11-B12)/C11)*100</f>
        <v>1.27298444130127</v>
      </c>
      <c r="K11" s="161">
        <f>100-(((C3-C12)/C3)*100)</f>
        <v>86.9077306733167</v>
      </c>
      <c r="L11" s="54">
        <v>1.04090267983074</v>
      </c>
      <c r="M11" s="123" t="s">
        <v>28</v>
      </c>
      <c r="N11" s="54">
        <v>0</v>
      </c>
      <c r="O11" s="56">
        <f>N11/C11</f>
        <v>0</v>
      </c>
      <c r="P11" s="57">
        <f>(Boosters_IOS!B11*100)/Boosters_IOS!N11</f>
        <v>2.58213672150348</v>
      </c>
      <c r="Q11" s="57">
        <f>Boosters_IOS!B11/(C11+D11)</f>
        <v>0.0254350736278447</v>
      </c>
      <c r="R11" s="57">
        <f>Boosters_IOS!N11/B11</f>
        <v>1.02625482335036</v>
      </c>
      <c r="S11" s="54">
        <v>4.00423131170662</v>
      </c>
      <c r="T11" s="54">
        <v>0.00424328147100424</v>
      </c>
      <c r="U11" s="58">
        <v>564.384724186704</v>
      </c>
      <c r="V11" s="54">
        <v>397250</v>
      </c>
    </row>
    <row r="12" spans="1:22" s="168" customFormat="1" ht="22.500000" customHeight="1">
      <c r="A12" s="34">
        <v>10</v>
      </c>
      <c r="B12" s="49">
        <v>698</v>
      </c>
      <c r="C12" s="49">
        <v>697</v>
      </c>
      <c r="D12" s="49">
        <v>16</v>
      </c>
      <c r="E12" s="49">
        <v>12</v>
      </c>
      <c r="F12" s="50">
        <f>(C12*100)/B12</f>
        <v>99.8567335243553</v>
      </c>
      <c r="G12" s="157">
        <f>(D12*100)/B12</f>
        <v>2.29226361031519</v>
      </c>
      <c r="H12" s="152">
        <f>((B12-B13)/B12)*100</f>
        <v>1.71919770773639</v>
      </c>
      <c r="I12" s="52">
        <f>((B12-C12)/B12)*100</f>
        <v>0.143266475644699</v>
      </c>
      <c r="J12" s="52">
        <f>((C12-B13)/C12)*100</f>
        <v>1.57819225251076</v>
      </c>
      <c r="K12" s="161">
        <f>100-(((C3-C13)/C3)*100)</f>
        <v>80.7980049875312</v>
      </c>
      <c r="L12" s="54">
        <v>1.02292263610315</v>
      </c>
      <c r="M12" s="122" t="s">
        <v>28</v>
      </c>
      <c r="N12" s="54">
        <v>0</v>
      </c>
      <c r="O12" s="56">
        <f>N12/C12</f>
        <v>0</v>
      </c>
      <c r="P12" s="57">
        <f>(Boosters_IOS!B12*100)/Boosters_IOS!N12</f>
        <v>1.89240660292524</v>
      </c>
      <c r="Q12" s="57">
        <f>Boosters_IOS!B12/(C12+D12)</f>
        <v>0.0182328190743338</v>
      </c>
      <c r="R12" s="57">
        <f>Boosters_IOS!N12/B12</f>
        <v>0.984177597194033</v>
      </c>
      <c r="S12" s="54">
        <v>2.73638968481375</v>
      </c>
      <c r="T12" s="54">
        <v>0.00717360114777618</v>
      </c>
      <c r="U12" s="58">
        <v>590.674318507891</v>
      </c>
      <c r="V12" s="54">
        <v>411960</v>
      </c>
    </row>
    <row r="13" spans="1:22" s="168" customFormat="1" ht="22.500000" customHeight="1">
      <c r="A13" s="64">
        <v>11</v>
      </c>
      <c r="B13" s="49">
        <v>686</v>
      </c>
      <c r="C13" s="49">
        <v>648</v>
      </c>
      <c r="D13" s="49">
        <v>205</v>
      </c>
      <c r="E13" s="49">
        <v>144</v>
      </c>
      <c r="F13" s="50">
        <f>(C13*100)/B13</f>
        <v>94.4606413994169</v>
      </c>
      <c r="G13" s="158">
        <f>(D13*100)/B13</f>
        <v>29.8833819241983</v>
      </c>
      <c r="H13" s="151">
        <f>((B13-B14)/B13)*100</f>
        <v>8.16326530612245</v>
      </c>
      <c r="I13" s="52">
        <f>((B13-C13)/B13)*100</f>
        <v>5.53935860058309</v>
      </c>
      <c r="J13" s="52">
        <f>((C13-B14)/C13)*100</f>
        <v>2.77777777777778</v>
      </c>
      <c r="K13" s="161">
        <f>100-(((C3-C14)/C3)*100)</f>
        <v>78.1795511221945</v>
      </c>
      <c r="L13" s="54">
        <v>1.17592592592592</v>
      </c>
      <c r="M13" s="123" t="s">
        <v>28</v>
      </c>
      <c r="N13" s="54">
        <v>9.6</v>
      </c>
      <c r="O13" s="56">
        <f>N13/C13</f>
        <v>0.0148148148148148</v>
      </c>
      <c r="P13" s="57">
        <f>(Boosters_IOS!B13*100)/Boosters_IOS!N13</f>
        <v>5.25733116880203</v>
      </c>
      <c r="Q13" s="57">
        <f>Boosters_IOS!B13/(C13+D13)</f>
        <v>0.0550996483001172</v>
      </c>
      <c r="R13" s="57">
        <f>Boosters_IOS!N13/B13</f>
        <v>1.30319200624258</v>
      </c>
      <c r="S13" s="54">
        <v>2.89351851851851</v>
      </c>
      <c r="T13" s="54">
        <v>0.137345679012346</v>
      </c>
      <c r="U13" s="58">
        <v>862.808641975309</v>
      </c>
      <c r="V13" s="54">
        <v>620340</v>
      </c>
    </row>
    <row r="14" spans="1:22" s="168" customFormat="1" ht="22.500000" customHeight="1">
      <c r="A14" s="34">
        <v>12</v>
      </c>
      <c r="B14" s="49">
        <v>630</v>
      </c>
      <c r="C14" s="49">
        <v>627</v>
      </c>
      <c r="D14" s="49">
        <v>2</v>
      </c>
      <c r="E14" s="49">
        <v>3</v>
      </c>
      <c r="F14" s="50">
        <f>(C14*100)/B14</f>
        <v>99.5238095238095</v>
      </c>
      <c r="G14" s="156">
        <f>(D14*100)/B14</f>
        <v>0.317460317460317</v>
      </c>
      <c r="H14" s="152">
        <f>((B14-B15)/B14)*100</f>
        <v>2.6984126984127</v>
      </c>
      <c r="I14" s="52">
        <f>((B14-C14)/B14)*100</f>
        <v>0.476190476190476</v>
      </c>
      <c r="J14" s="52">
        <f>((C14-B15)/C14)*100</f>
        <v>2.23285486443381</v>
      </c>
      <c r="K14" s="161">
        <f>100-(((C3-C15)/C3)*100)</f>
        <v>76.4339152119701</v>
      </c>
      <c r="L14" s="54">
        <v>1.00637958532695</v>
      </c>
      <c r="M14" s="122" t="s">
        <v>28</v>
      </c>
      <c r="N14" s="54">
        <v>0</v>
      </c>
      <c r="O14" s="56">
        <f>N14/C14</f>
        <v>0</v>
      </c>
      <c r="P14" s="57">
        <f>(Boosters_IOS!B14*100)/Boosters_IOS!N14</f>
        <v>55.487116373004</v>
      </c>
      <c r="Q14" s="57">
        <f>Boosters_IOS!B14/(C14+D14)</f>
        <v>1.03974562798092</v>
      </c>
      <c r="R14" s="57">
        <f>Boosters_IOS!N14/B14</f>
        <v>1.87087617081557</v>
      </c>
      <c r="S14" s="54">
        <v>0.00318979266347687</v>
      </c>
      <c r="T14" s="54">
        <v>0.12280701754386</v>
      </c>
      <c r="U14" s="58">
        <v>983.381180223286</v>
      </c>
      <c r="V14" s="54">
        <v>666200</v>
      </c>
    </row>
    <row r="15" spans="1:22" s="168" customFormat="1" ht="22.500000" customHeight="1">
      <c r="A15" s="34">
        <v>13</v>
      </c>
      <c r="B15" s="49">
        <v>613</v>
      </c>
      <c r="C15" s="49">
        <v>613</v>
      </c>
      <c r="D15" s="49">
        <v>0</v>
      </c>
      <c r="E15" s="49">
        <v>0</v>
      </c>
      <c r="F15" s="50">
        <f>(C15*100)/B15</f>
        <v>100</v>
      </c>
      <c r="G15" s="156">
        <f>(D15*100)/B15</f>
        <v>0</v>
      </c>
      <c r="H15" s="152">
        <f>((B15-B16)/B15)*100</f>
        <v>0</v>
      </c>
      <c r="I15" s="52">
        <f>((B15-C15)/B15)*100</f>
        <v>0</v>
      </c>
      <c r="J15" s="52">
        <f>((C15-B16)/C15)*100</f>
        <v>0</v>
      </c>
      <c r="K15" s="161">
        <f>100-(((C3-C16)/C3)*100)</f>
        <v>74.1895261845387</v>
      </c>
      <c r="L15" s="54">
        <v>1</v>
      </c>
      <c r="M15" s="123" t="s">
        <v>28</v>
      </c>
      <c r="N15" s="54">
        <v>14.41</v>
      </c>
      <c r="O15" s="56">
        <f>N15/C15</f>
        <v>0.0235073409461664</v>
      </c>
      <c r="P15" s="57">
        <f>(Boosters_IOS!B15*100)/Boosters_IOS!N15</f>
        <v>0.439753737906772</v>
      </c>
      <c r="Q15" s="57">
        <f>Boosters_IOS!B15/(C15+D15)</f>
        <v>0.00815660685154976</v>
      </c>
      <c r="R15" s="57">
        <f>Boosters_IOS!N15/B15</f>
        <v>1.85481239804241</v>
      </c>
      <c r="S15" s="54">
        <v>4.30505709624796</v>
      </c>
      <c r="T15" s="54">
        <v>0.114192495921697</v>
      </c>
      <c r="U15" s="58">
        <v>1019.85318107667</v>
      </c>
      <c r="V15" s="54">
        <v>685950</v>
      </c>
    </row>
    <row r="16" spans="1:22" s="168" customFormat="1" ht="22.500000" customHeight="1">
      <c r="A16" s="67">
        <v>14</v>
      </c>
      <c r="B16" s="49">
        <v>613</v>
      </c>
      <c r="C16" s="49">
        <v>595</v>
      </c>
      <c r="D16" s="49">
        <v>206</v>
      </c>
      <c r="E16" s="49">
        <v>131</v>
      </c>
      <c r="F16" s="50">
        <f>(C16*100)/B16</f>
        <v>97.0636215334421</v>
      </c>
      <c r="G16" s="158">
        <f>(D16*100)/B16</f>
        <v>33.605220228385</v>
      </c>
      <c r="H16" s="151">
        <f>((B16-B17)/B16)*100</f>
        <v>4.56769983686786</v>
      </c>
      <c r="I16" s="52">
        <f>((B16-C16)/B16)*100</f>
        <v>2.93637846655791</v>
      </c>
      <c r="J16" s="52">
        <f>((C16-B17)/C16)*100</f>
        <v>1.68067226890756</v>
      </c>
      <c r="K16" s="161">
        <f>100-(((C3-C17)/C3)*100)</f>
        <v>72.6932668329177</v>
      </c>
      <c r="L16" s="54">
        <v>1.24033613445378</v>
      </c>
      <c r="M16" s="124" t="s">
        <v>29</v>
      </c>
      <c r="N16" s="54">
        <v>4.72</v>
      </c>
      <c r="O16" s="56">
        <f>N16/C16</f>
        <v>0.0079327731092437</v>
      </c>
      <c r="P16" s="57">
        <f>(Boosters_IOS!B16*100)/Boosters_IOS!N16</f>
        <v>2.49704131070514</v>
      </c>
      <c r="Q16" s="57">
        <f>Boosters_IOS!B16/(C16+D16)</f>
        <v>0.0503170726936624</v>
      </c>
      <c r="R16" s="57">
        <f>Boosters_IOS!N16/B16</f>
        <v>2.63306561310747</v>
      </c>
      <c r="S16" s="54">
        <v>2.64873949579831</v>
      </c>
      <c r="T16" s="54">
        <v>0.129411764705882</v>
      </c>
      <c r="U16" s="58">
        <v>959.781512605042</v>
      </c>
      <c r="V16" s="54">
        <v>646560</v>
      </c>
    </row>
    <row r="17" spans="1:22" s="168" customFormat="1" ht="22.500000" customHeight="1">
      <c r="A17" s="34">
        <v>15</v>
      </c>
      <c r="B17" s="49">
        <v>585</v>
      </c>
      <c r="C17" s="49">
        <v>583</v>
      </c>
      <c r="D17" s="49">
        <v>19</v>
      </c>
      <c r="E17" s="49">
        <v>15</v>
      </c>
      <c r="F17" s="50">
        <f>(C17*100)/B17</f>
        <v>99.6581196581197</v>
      </c>
      <c r="G17" s="156">
        <f>(D17*100)/B17</f>
        <v>3.24786324786325</v>
      </c>
      <c r="H17" s="152">
        <f>((B17-B18)/B17)*100</f>
        <v>2.05128205128205</v>
      </c>
      <c r="I17" s="52">
        <f>((B17-C17)/B17)*100</f>
        <v>0.341880341880342</v>
      </c>
      <c r="J17" s="52">
        <f>((C17-B18)/C17)*100</f>
        <v>1.71526586620926</v>
      </c>
      <c r="K17" s="161">
        <f>100-(((C3-C18)/C3)*100)</f>
        <v>70.074812967581</v>
      </c>
      <c r="L17" s="54">
        <v>1.02229845626072</v>
      </c>
      <c r="M17" s="117" t="s">
        <v>28</v>
      </c>
      <c r="N17" s="54">
        <v>0</v>
      </c>
      <c r="O17" s="56">
        <f>N17/C17</f>
        <v>0</v>
      </c>
      <c r="P17" s="57">
        <f>(Boosters_IOS!B17*100)/Boosters_IOS!N17</f>
        <v>0.458899192510107</v>
      </c>
      <c r="Q17" s="57">
        <f>Boosters_IOS!B17/(C17+D17)</f>
        <v>0.00830564784053156</v>
      </c>
      <c r="R17" s="57">
        <f>Boosters_IOS!N17/B17</f>
        <v>1.86250241589176</v>
      </c>
      <c r="S17" s="54">
        <v>2.91766723842195</v>
      </c>
      <c r="T17" s="54">
        <v>0.101200686106347</v>
      </c>
      <c r="U17" s="58">
        <v>983.070325900515</v>
      </c>
      <c r="V17" s="54">
        <v>651180</v>
      </c>
    </row>
    <row r="18" spans="1:22" s="168" customFormat="1" ht="22.500000" customHeight="1">
      <c r="A18" s="34">
        <v>16</v>
      </c>
      <c r="B18" s="49">
        <v>573</v>
      </c>
      <c r="C18" s="49">
        <v>562</v>
      </c>
      <c r="D18" s="49">
        <v>31</v>
      </c>
      <c r="E18" s="49">
        <v>28</v>
      </c>
      <c r="F18" s="50">
        <f>(C18*100)/B18</f>
        <v>98.0802792321117</v>
      </c>
      <c r="G18" s="157">
        <f>(D18*100)/B18</f>
        <v>5.41012216404887</v>
      </c>
      <c r="H18" s="152">
        <f>((B18-B19)/B18)*100</f>
        <v>2.26876090750436</v>
      </c>
      <c r="I18" s="52">
        <f>((B18-C18)/B18)*100</f>
        <v>1.91972076788831</v>
      </c>
      <c r="J18" s="52">
        <f>((C18-B19)/C18)*100</f>
        <v>0.355871886120996</v>
      </c>
      <c r="K18" s="161">
        <f>100-(((C3-C19)/C3)*100)</f>
        <v>69.2019950124688</v>
      </c>
      <c r="L18" s="54">
        <v>1.01957295373665</v>
      </c>
      <c r="M18" s="125" t="s">
        <v>28</v>
      </c>
      <c r="N18" s="54">
        <v>0</v>
      </c>
      <c r="O18" s="56">
        <f>N18/C18</f>
        <v>0</v>
      </c>
      <c r="P18" s="57">
        <f>(Boosters_IOS!B18*100)/Boosters_IOS!N18</f>
        <v>33.6492903904165</v>
      </c>
      <c r="Q18" s="57">
        <f>Boosters_IOS!B18/(C18+D18)</f>
        <v>0.973603972023141</v>
      </c>
      <c r="R18" s="57">
        <f>Boosters_IOS!N18/B18</f>
        <v>2.99437713831456</v>
      </c>
      <c r="S18" s="54">
        <v>0.185053380782918</v>
      </c>
      <c r="T18" s="54">
        <v>0.110320284697509</v>
      </c>
      <c r="U18" s="58">
        <v>1027.77580071174</v>
      </c>
      <c r="V18" s="54">
        <v>656630</v>
      </c>
    </row>
    <row r="19" spans="1:22" s="168" customFormat="1" ht="22.500000" customHeight="1">
      <c r="A19" s="34">
        <v>17</v>
      </c>
      <c r="B19" s="49">
        <v>560</v>
      </c>
      <c r="C19" s="49">
        <v>555</v>
      </c>
      <c r="D19" s="49">
        <v>26</v>
      </c>
      <c r="E19" s="49">
        <v>20</v>
      </c>
      <c r="F19" s="50">
        <f>(C19*100)/B19</f>
        <v>99.1071428571429</v>
      </c>
      <c r="G19" s="157">
        <f>(D19*100)/B19</f>
        <v>4.64285714285714</v>
      </c>
      <c r="H19" s="152">
        <f>((B19-B20)/B19)*100</f>
        <v>1.07142857142857</v>
      </c>
      <c r="I19" s="52">
        <f>((B19-C19)/B19)*100</f>
        <v>0.892857142857143</v>
      </c>
      <c r="J19" s="52">
        <f>((C19-B20)/C19)*100</f>
        <v>0.18018018018018</v>
      </c>
      <c r="K19" s="161">
        <f>100-(((C3-C20)/C3)*100)</f>
        <v>68.9526184538653</v>
      </c>
      <c r="L19" s="54">
        <v>1.02882882882882</v>
      </c>
      <c r="M19" s="117" t="s">
        <v>28</v>
      </c>
      <c r="N19" s="54">
        <v>0</v>
      </c>
      <c r="O19" s="56">
        <f>N19/C19</f>
        <v>0</v>
      </c>
      <c r="P19" s="57">
        <f>(Boosters_IOS!B19*100)/Boosters_IOS!N19</f>
        <v>0.433093221675963</v>
      </c>
      <c r="Q19" s="57">
        <f>Boosters_IOS!B19/(C19+D19)</f>
        <v>0.0122726291269576</v>
      </c>
      <c r="R19" s="57">
        <f>Boosters_IOS!N19/B19</f>
        <v>2.93997968149802</v>
      </c>
      <c r="S19" s="54">
        <v>3.96216216216216</v>
      </c>
      <c r="T19" s="54">
        <v>0.104504504504505</v>
      </c>
      <c r="U19" s="58">
        <v>1061.47747747748</v>
      </c>
      <c r="V19" s="54">
        <v>668830</v>
      </c>
    </row>
    <row r="20" spans="1:22" s="168" customFormat="1" ht="22.500000" customHeight="1">
      <c r="A20" s="34">
        <v>18</v>
      </c>
      <c r="B20" s="49">
        <v>554</v>
      </c>
      <c r="C20" s="49">
        <v>553</v>
      </c>
      <c r="D20" s="49">
        <v>2</v>
      </c>
      <c r="E20" s="49">
        <v>4</v>
      </c>
      <c r="F20" s="50">
        <f>(C20*100)/B20</f>
        <v>99.8194945848375</v>
      </c>
      <c r="G20" s="156">
        <f>(D20*100)/B20</f>
        <v>0.36101083032491</v>
      </c>
      <c r="H20" s="152">
        <f>((B20-B21)/B20)*100</f>
        <v>1.08303249097473</v>
      </c>
      <c r="I20" s="52">
        <f>((B20-C20)/B20)*100</f>
        <v>0.180505415162455</v>
      </c>
      <c r="J20" s="52">
        <f>((C20-B21)/C20)*100</f>
        <v>0.904159132007233</v>
      </c>
      <c r="K20" s="161">
        <f>100-(((C3-C21)/C3)*100)</f>
        <v>67.8304239401496</v>
      </c>
      <c r="L20" s="54">
        <v>1.0126582278481</v>
      </c>
      <c r="M20" s="125" t="s">
        <v>28</v>
      </c>
      <c r="N20" s="54">
        <v>0</v>
      </c>
      <c r="O20" s="56">
        <f>N20/C20</f>
        <v>0</v>
      </c>
      <c r="P20" s="57">
        <f>(Boosters_IOS!B20*100)/Boosters_IOS!N20</f>
        <v>0.253681169811745</v>
      </c>
      <c r="Q20" s="57">
        <f>Boosters_IOS!B20/(C20+D20)</f>
        <v>0.00720720720720721</v>
      </c>
      <c r="R20" s="57">
        <f>Boosters_IOS!N20/B20</f>
        <v>2.84617759049923</v>
      </c>
      <c r="S20" s="54">
        <v>3.26220614828209</v>
      </c>
      <c r="T20" s="54">
        <v>0.110307414104883</v>
      </c>
      <c r="U20" s="58">
        <v>1097.2061482821</v>
      </c>
      <c r="V20" s="54">
        <v>681970</v>
      </c>
    </row>
    <row r="21" spans="1:22" s="168" customFormat="1" ht="22.500000" customHeight="1">
      <c r="A21" s="34">
        <v>19</v>
      </c>
      <c r="B21" s="49">
        <v>548</v>
      </c>
      <c r="C21" s="49">
        <v>544</v>
      </c>
      <c r="D21" s="49">
        <v>5</v>
      </c>
      <c r="E21" s="49">
        <v>4</v>
      </c>
      <c r="F21" s="50">
        <f>(C21*100)/B21</f>
        <v>99.2700729927007</v>
      </c>
      <c r="G21" s="156">
        <f>(D21*100)/B21</f>
        <v>0.912408759124088</v>
      </c>
      <c r="H21" s="151">
        <f>((B21-B22)/B21)*100</f>
        <v>2.37226277372263</v>
      </c>
      <c r="I21" s="52">
        <f>((B21-C21)/B21)*100</f>
        <v>0.72992700729927</v>
      </c>
      <c r="J21" s="52">
        <f>((C21-B22)/C21)*100</f>
        <v>1.65441176470588</v>
      </c>
      <c r="K21" s="152">
        <f>100-(((C3-C22)/C3)*100)</f>
        <v>65.5860349127182</v>
      </c>
      <c r="L21" s="54">
        <v>1.00919117647058</v>
      </c>
      <c r="M21" s="117" t="s">
        <v>28</v>
      </c>
      <c r="N21" s="54">
        <v>3.07</v>
      </c>
      <c r="O21" s="56">
        <f>N21/C21</f>
        <v>0.00564338235294118</v>
      </c>
      <c r="P21" s="57">
        <f>(Boosters_IOS!B21*100)/Boosters_IOS!N21</f>
        <v>0.387238085427875</v>
      </c>
      <c r="Q21" s="57">
        <f>Boosters_IOS!B21/(C21+D21)</f>
        <v>0.0109289617486339</v>
      </c>
      <c r="R21" s="57">
        <f>Boosters_IOS!N21/B21</f>
        <v>2.82743498677078</v>
      </c>
      <c r="S21" s="54">
        <v>2.90073529411764</v>
      </c>
      <c r="T21" s="54">
        <v>0.202205882352941</v>
      </c>
      <c r="U21" s="58">
        <v>1131.51654411765</v>
      </c>
      <c r="V21" s="54">
        <v>713850</v>
      </c>
    </row>
    <row r="22" spans="1:22" s="168" customFormat="1" ht="22.500000" customHeight="1">
      <c r="A22" s="34">
        <v>20</v>
      </c>
      <c r="B22" s="49">
        <v>535</v>
      </c>
      <c r="C22" s="49">
        <v>526</v>
      </c>
      <c r="D22" s="49">
        <v>43</v>
      </c>
      <c r="E22" s="49">
        <v>27</v>
      </c>
      <c r="F22" s="50">
        <f>(C22*100)/B22</f>
        <v>98.3177570093458</v>
      </c>
      <c r="G22" s="157">
        <f>(D22*100)/B22</f>
        <v>8.03738317757009</v>
      </c>
      <c r="H22" s="151">
        <f>((B22-B23)/B22)*100</f>
        <v>1.86915887850467</v>
      </c>
      <c r="I22" s="52">
        <f>((B22-C22)/B22)*100</f>
        <v>1.68224299065421</v>
      </c>
      <c r="J22" s="52">
        <f>((C22-B23)/C22)*100</f>
        <v>0.190114068441065</v>
      </c>
      <c r="K22" s="151">
        <f>100-(((C3-C23)/C3)*100)</f>
        <v>64.713216957606</v>
      </c>
      <c r="L22" s="54">
        <v>1.02851711026615</v>
      </c>
      <c r="M22" s="125" t="s">
        <v>28</v>
      </c>
      <c r="N22" s="54">
        <v>17.17</v>
      </c>
      <c r="O22" s="56">
        <f>N22/C22</f>
        <v>0.0326425855513308</v>
      </c>
      <c r="P22" s="57">
        <f>(Boosters_IOS!B22*100)/Boosters_IOS!N22</f>
        <v>5.52479670526991</v>
      </c>
      <c r="Q22" s="57">
        <f>Boosters_IOS!B22/(C22+D22)</f>
        <v>0.151064961057004</v>
      </c>
      <c r="R22" s="57">
        <f>Boosters_IOS!N22/B22</f>
        <v>2.9080771596941</v>
      </c>
      <c r="S22" s="54">
        <v>3.88022813688212</v>
      </c>
      <c r="T22" s="54">
        <v>0.144486692015209</v>
      </c>
      <c r="U22" s="58">
        <v>1137.65209125475</v>
      </c>
      <c r="V22" s="54">
        <v>712820</v>
      </c>
    </row>
    <row r="23" spans="1:22" s="168" customFormat="1" ht="22.500000" customHeight="1">
      <c r="A23" s="34">
        <v>21</v>
      </c>
      <c r="B23" s="49">
        <v>525</v>
      </c>
      <c r="C23" s="49">
        <v>519</v>
      </c>
      <c r="D23" s="49">
        <v>11</v>
      </c>
      <c r="E23" s="49">
        <v>9</v>
      </c>
      <c r="F23" s="50">
        <f>(C23*100)/B23</f>
        <v>98.8571428571429</v>
      </c>
      <c r="G23" s="156">
        <f>(D23*100)/B23</f>
        <v>2.0952380952381</v>
      </c>
      <c r="H23" s="152">
        <f>((B23-B24)/B23)*100</f>
        <v>3.23809523809524</v>
      </c>
      <c r="I23" s="52">
        <f>((B23-C23)/B23)*100</f>
        <v>1.14285714285714</v>
      </c>
      <c r="J23" s="52">
        <f>((C23-B24)/C23)*100</f>
        <v>2.11946050096339</v>
      </c>
      <c r="K23" s="161">
        <f>100-(((C3-C24)/C3)*100)</f>
        <v>63.3416458852868</v>
      </c>
      <c r="L23" s="54">
        <v>1.01348747591522</v>
      </c>
      <c r="M23" s="117" t="s">
        <v>28</v>
      </c>
      <c r="N23" s="54">
        <v>4.6</v>
      </c>
      <c r="O23" s="56">
        <f>N23/C23</f>
        <v>0.00886319845857418</v>
      </c>
      <c r="P23" s="57">
        <f>(Boosters_IOS!B23*100)/Boosters_IOS!N23</f>
        <v>1.31054228729984</v>
      </c>
      <c r="Q23" s="57">
        <f>Boosters_IOS!B23/(C23+D23)</f>
        <v>0.0358490566037736</v>
      </c>
      <c r="R23" s="57">
        <f>Boosters_IOS!N23/B23</f>
        <v>2.76148862506687</v>
      </c>
      <c r="S23" s="54">
        <v>3.07899807321772</v>
      </c>
      <c r="T23" s="54">
        <v>0.317919075144509</v>
      </c>
      <c r="U23" s="58">
        <v>1249.99036608863</v>
      </c>
      <c r="V23" s="54">
        <v>761350</v>
      </c>
    </row>
    <row r="24" spans="1:22" s="168" customFormat="1" ht="22.500000" customHeight="1">
      <c r="A24" s="34">
        <v>22</v>
      </c>
      <c r="B24" s="49">
        <v>508</v>
      </c>
      <c r="C24" s="49">
        <v>508</v>
      </c>
      <c r="D24" s="49">
        <v>6</v>
      </c>
      <c r="E24" s="49">
        <v>6</v>
      </c>
      <c r="F24" s="50">
        <f>(C24*100)/B24</f>
        <v>100</v>
      </c>
      <c r="G24" s="156">
        <f>(D24*100)/B24</f>
        <v>1.18110236220472</v>
      </c>
      <c r="H24" s="152">
        <f>((B24-B25)/B24)*100</f>
        <v>2.36220472440945</v>
      </c>
      <c r="I24" s="52">
        <f>((B24-C24)/B24)*100</f>
        <v>0</v>
      </c>
      <c r="J24" s="52">
        <f>((C24-B25)/C24)*100</f>
        <v>2.36220472440945</v>
      </c>
      <c r="K24" s="161">
        <f>100-(((C3-C25)/C3)*100)</f>
        <v>59.8503740648379</v>
      </c>
      <c r="L24" s="54">
        <v>1.00984251968503</v>
      </c>
      <c r="M24" s="125" t="s">
        <v>28</v>
      </c>
      <c r="N24" s="54">
        <v>0.94</v>
      </c>
      <c r="O24" s="56">
        <f>N24/C24</f>
        <v>0.0018503937007874</v>
      </c>
      <c r="P24" s="57">
        <f>(Boosters_IOS!B24*100)/Boosters_IOS!N24</f>
        <v>0.281897402368293</v>
      </c>
      <c r="Q24" s="57">
        <f>Boosters_IOS!B24/(C24+D24)</f>
        <v>0.00778210116731518</v>
      </c>
      <c r="R24" s="57">
        <f>Boosters_IOS!N24/B24</f>
        <v>2.79322039929416</v>
      </c>
      <c r="S24" s="54">
        <v>2.89763779527559</v>
      </c>
      <c r="T24" s="54">
        <v>0.139763779527559</v>
      </c>
      <c r="U24" s="58">
        <v>1293.60236220472</v>
      </c>
      <c r="V24" s="54">
        <v>770940</v>
      </c>
    </row>
    <row r="25" spans="1:22" s="168" customFormat="1" ht="22.500000" customHeight="1">
      <c r="A25" s="34">
        <v>23</v>
      </c>
      <c r="B25" s="49">
        <v>496</v>
      </c>
      <c r="C25" s="49">
        <v>480</v>
      </c>
      <c r="D25" s="49">
        <v>95</v>
      </c>
      <c r="E25" s="49">
        <v>70</v>
      </c>
      <c r="F25" s="50">
        <f>(C25*100)/B25</f>
        <v>96.7741935483871</v>
      </c>
      <c r="G25" s="158">
        <f>(D25*100)/B25</f>
        <v>19.1532258064516</v>
      </c>
      <c r="H25" s="152">
        <f>((B25-B26)/B25)*100</f>
        <v>4.23387096774194</v>
      </c>
      <c r="I25" s="52">
        <f>((B25-C25)/B25)*100</f>
        <v>3.2258064516129</v>
      </c>
      <c r="J25" s="52">
        <f>((C25-B26)/C25)*100</f>
        <v>1.04166666666667</v>
      </c>
      <c r="K25" s="161">
        <f>100-(((C3-C26)/C3)*100)</f>
        <v>58.7281795511222</v>
      </c>
      <c r="L25" s="54">
        <v>1.16666666666666</v>
      </c>
      <c r="M25" s="126" t="s">
        <v>29</v>
      </c>
      <c r="N25" s="54">
        <v>2.21</v>
      </c>
      <c r="O25" s="56">
        <f>N25/C25</f>
        <v>0.00460416666666667</v>
      </c>
      <c r="P25" s="57">
        <f>(Boosters_IOS!B25*100)/Boosters_IOS!N25</f>
        <v>16.0777079817887</v>
      </c>
      <c r="Q25" s="57">
        <f>Boosters_IOS!B25/(C25+D25)</f>
        <v>0.453684774783951</v>
      </c>
      <c r="R25" s="57">
        <f>Boosters_IOS!N25/B25</f>
        <v>3.27126884011444</v>
      </c>
      <c r="S25" s="54">
        <v>5.01666666666666</v>
      </c>
      <c r="T25" s="54">
        <v>0.141666666666667</v>
      </c>
      <c r="U25" s="58">
        <v>1263.53125</v>
      </c>
      <c r="V25" s="54">
        <v>744710</v>
      </c>
    </row>
    <row r="26" spans="1:22" s="168" customFormat="1" ht="22.500000" customHeight="1">
      <c r="A26" s="64">
        <v>24</v>
      </c>
      <c r="B26" s="49">
        <v>475</v>
      </c>
      <c r="C26" s="49">
        <v>471</v>
      </c>
      <c r="D26" s="49">
        <v>54</v>
      </c>
      <c r="E26" s="49">
        <v>35</v>
      </c>
      <c r="F26" s="50">
        <f>(C26*100)/B26</f>
        <v>99.1578947368421</v>
      </c>
      <c r="G26" s="156">
        <f>(D26*100)/B26</f>
        <v>11.3684210526316</v>
      </c>
      <c r="H26" s="153">
        <f>((B26-B27)/B26)*100</f>
        <v>3.36842105263158</v>
      </c>
      <c r="I26" s="52">
        <f>((B26-C26)/B26)*100</f>
        <v>0.842105263157895</v>
      </c>
      <c r="J26" s="52">
        <f>((C26-B27)/C26)*100</f>
        <v>2.54777070063694</v>
      </c>
      <c r="K26" s="161">
        <f>100-(((C3-C27)/C3)*100)</f>
        <v>57.1072319201995</v>
      </c>
      <c r="L26" s="54">
        <v>1.0488322717622</v>
      </c>
      <c r="M26" s="125" t="s">
        <v>28</v>
      </c>
      <c r="N26" s="54">
        <v>1.99</v>
      </c>
      <c r="O26" s="56">
        <f>N26/C26</f>
        <v>0.00422505307855626</v>
      </c>
      <c r="P26" s="57">
        <f>(Boosters_IOS!B26*100)/Boosters_IOS!N26</f>
        <v>11.7129839323355</v>
      </c>
      <c r="Q26" s="57">
        <f>Boosters_IOS!B26/(C26+D26)</f>
        <v>0.265919905629042</v>
      </c>
      <c r="R26" s="57">
        <f>Boosters_IOS!N26/B26</f>
        <v>2.50927924379061</v>
      </c>
      <c r="S26" s="54">
        <v>2.99150743099787</v>
      </c>
      <c r="T26" s="54">
        <v>0.171974522292994</v>
      </c>
      <c r="U26" s="58">
        <v>1342.2186836518</v>
      </c>
      <c r="V26" s="54">
        <v>764700</v>
      </c>
    </row>
    <row r="27" spans="1:22" s="168" customFormat="1" ht="22.500000" customHeight="1">
      <c r="A27" s="34">
        <v>25</v>
      </c>
      <c r="B27" s="49">
        <v>459</v>
      </c>
      <c r="C27" s="49">
        <v>458</v>
      </c>
      <c r="D27" s="49">
        <v>2</v>
      </c>
      <c r="E27" s="49">
        <v>2</v>
      </c>
      <c r="F27" s="50">
        <f>(C27*100)/B27</f>
        <v>99.7821350762527</v>
      </c>
      <c r="G27" s="156">
        <f>(D27*100)/B27</f>
        <v>0.435729847494553</v>
      </c>
      <c r="H27" s="152">
        <f>((B27-B28)/B27)*100</f>
        <v>0.217864923747277</v>
      </c>
      <c r="I27" s="52">
        <f>((B27-C27)/B27)*100</f>
        <v>0.217864923747277</v>
      </c>
      <c r="J27" s="52">
        <f>((C27-B28)/C27)*100</f>
        <v>0</v>
      </c>
      <c r="K27" s="161">
        <f>100-(((C3-C28)/C3)*100)</f>
        <v>57.1072319201995</v>
      </c>
      <c r="L27" s="54">
        <v>1.00655021834061</v>
      </c>
      <c r="M27" s="117" t="s">
        <v>28</v>
      </c>
      <c r="N27" s="54">
        <v>0</v>
      </c>
      <c r="O27" s="56">
        <f>N27/C27</f>
        <v>0</v>
      </c>
      <c r="P27" s="57">
        <f>(Boosters_IOS!B27*100)/Boosters_IOS!N27</f>
        <v>0.09952403772127</v>
      </c>
      <c r="Q27" s="57">
        <f>Boosters_IOS!B27/(C27+D27)</f>
        <v>0.00217391304347826</v>
      </c>
      <c r="R27" s="57">
        <f>Boosters_IOS!N27/B27</f>
        <v>2.18906837720386</v>
      </c>
      <c r="S27" s="54">
        <v>5.31659388646288</v>
      </c>
      <c r="T27" s="54">
        <v>0.111353711790393</v>
      </c>
      <c r="U27" s="58">
        <v>1368.35152838428</v>
      </c>
      <c r="V27" s="54">
        <v>773730</v>
      </c>
    </row>
    <row r="28" spans="1:22" s="168" customFormat="1" ht="22.500000" customHeight="1">
      <c r="A28" s="34">
        <v>26</v>
      </c>
      <c r="B28" s="49">
        <v>458</v>
      </c>
      <c r="C28" s="49">
        <v>458</v>
      </c>
      <c r="D28" s="49">
        <v>0</v>
      </c>
      <c r="E28" s="49">
        <v>0</v>
      </c>
      <c r="F28" s="50">
        <f>(C28*100)/B28</f>
        <v>100</v>
      </c>
      <c r="G28" s="156">
        <f>(D28*100)/B28</f>
        <v>0</v>
      </c>
      <c r="H28" s="152">
        <f>((B28-B29)/B28)*100</f>
        <v>0.655021834061135</v>
      </c>
      <c r="I28" s="52">
        <f>((B28-C28)/B28)*100</f>
        <v>0</v>
      </c>
      <c r="J28" s="52">
        <f>((C28-B29)/C28)*100</f>
        <v>0.655021834061135</v>
      </c>
      <c r="K28" s="161">
        <f>100-(((C3-C29)/C3)*100)</f>
        <v>55.7356608478803</v>
      </c>
      <c r="L28" s="54">
        <v>1.00873362445414</v>
      </c>
      <c r="M28" s="125" t="s">
        <v>28</v>
      </c>
      <c r="N28" s="54">
        <v>0</v>
      </c>
      <c r="O28" s="56">
        <f>N28/C28</f>
        <v>0</v>
      </c>
      <c r="P28" s="57">
        <f>(Boosters_IOS!B28*100)/Boosters_IOS!N28</f>
        <v>0</v>
      </c>
      <c r="Q28" s="57">
        <f>Boosters_IOS!B28/(C28+D28)</f>
        <v>0</v>
      </c>
      <c r="R28" s="57">
        <f>Boosters_IOS!N28/B28</f>
        <v>2.18122270742358</v>
      </c>
      <c r="S28" s="54">
        <v>2.00218340611353</v>
      </c>
      <c r="T28" s="54">
        <v>0.117903930131004</v>
      </c>
      <c r="U28" s="58">
        <v>1399.34497816594</v>
      </c>
      <c r="V28" s="54">
        <v>786390</v>
      </c>
    </row>
    <row r="29" spans="1:22" s="168" customFormat="1" ht="22.500000" customHeight="1">
      <c r="A29" s="64">
        <v>27</v>
      </c>
      <c r="B29" s="49">
        <v>455</v>
      </c>
      <c r="C29" s="49">
        <v>447</v>
      </c>
      <c r="D29" s="49">
        <v>114</v>
      </c>
      <c r="E29" s="49">
        <v>77</v>
      </c>
      <c r="F29" s="50">
        <f>(C29*100)/B29</f>
        <v>98.2417582417583</v>
      </c>
      <c r="G29" s="158">
        <f>(D29*100)/B29</f>
        <v>25.0549450549451</v>
      </c>
      <c r="H29" s="152">
        <f>((B29-B30)/B29)*100</f>
        <v>2.63736263736264</v>
      </c>
      <c r="I29" s="52">
        <f>((B29-C29)/B29)*100</f>
        <v>1.75824175824176</v>
      </c>
      <c r="J29" s="52">
        <f>((C29-B30)/C29)*100</f>
        <v>0.894854586129754</v>
      </c>
      <c r="K29" s="161">
        <f>100-(((C3-C30)/C3)*100)</f>
        <v>55.3615960099751</v>
      </c>
      <c r="L29" s="54">
        <v>1.19419642857142</v>
      </c>
      <c r="M29" s="117" t="s">
        <v>28</v>
      </c>
      <c r="N29" s="54">
        <v>5.01</v>
      </c>
      <c r="O29" s="56">
        <f>N29/C29</f>
        <v>0.0112080536912752</v>
      </c>
      <c r="P29" s="57">
        <f>(Boosters_IOS!B29*100)/Boosters_IOS!N29</f>
        <v>0.639816153214327</v>
      </c>
      <c r="Q29" s="57">
        <f>Boosters_IOS!B29/(C29+D29)</f>
        <v>0.0147251248583328</v>
      </c>
      <c r="R29" s="57">
        <f>Boosters_IOS!N29/B29</f>
        <v>2.83762662374763</v>
      </c>
      <c r="S29" s="54">
        <v>2.33705357142857</v>
      </c>
      <c r="T29" s="54">
        <v>0.131991051454139</v>
      </c>
      <c r="U29" s="58">
        <v>1360.55928411633</v>
      </c>
      <c r="V29" s="54">
        <v>734560</v>
      </c>
    </row>
    <row r="30" spans="1:22" s="168" customFormat="1" ht="22.500000" customHeight="1">
      <c r="A30" s="64">
        <v>28</v>
      </c>
      <c r="B30" s="49">
        <v>443</v>
      </c>
      <c r="C30" s="49">
        <v>444</v>
      </c>
      <c r="D30" s="49">
        <v>3</v>
      </c>
      <c r="E30" s="49">
        <v>3</v>
      </c>
      <c r="F30" s="50">
        <f>(C30*100)/B30</f>
        <v>100.225733634312</v>
      </c>
      <c r="G30" s="156">
        <f>(D30*100)/B30</f>
        <v>0.677200902934537</v>
      </c>
      <c r="H30" s="152">
        <f>((B30-B31)/B30)*100</f>
        <v>-0.90293453724605</v>
      </c>
      <c r="I30" s="52">
        <f>((B30-C30)/B30)*100</f>
        <v>-0.225733634311512</v>
      </c>
      <c r="J30" s="52">
        <f>((C30-B31)/C30)*100</f>
        <v>-0.675675675675676</v>
      </c>
      <c r="K30" s="161">
        <f>100-(((C3-C31)/C3)*100)</f>
        <v>55.6109725685786</v>
      </c>
      <c r="L30" s="54">
        <v>1.009009009009</v>
      </c>
      <c r="M30" s="125" t="s">
        <v>28</v>
      </c>
      <c r="N30" s="54">
        <v>0</v>
      </c>
      <c r="O30" s="56">
        <f>N30/C30</f>
        <v>0</v>
      </c>
      <c r="P30" s="57">
        <f>(Boosters_IOS!B30*100)/Boosters_IOS!N30</f>
        <v>0.101581174700973</v>
      </c>
      <c r="Q30" s="57">
        <f>Boosters_IOS!B30/(C30+D30)</f>
        <v>0.00223713646532438</v>
      </c>
      <c r="R30" s="57">
        <f>Boosters_IOS!N30/B30</f>
        <v>2.22219948702119</v>
      </c>
      <c r="S30" s="54">
        <v>2.44594594594594</v>
      </c>
      <c r="T30" s="54">
        <v>0.0945945945945946</v>
      </c>
      <c r="U30" s="58">
        <v>1404.63963963964</v>
      </c>
      <c r="V30" s="54">
        <v>745250</v>
      </c>
    </row>
    <row r="31" spans="1:22" s="168" customFormat="1" ht="22.500000" customHeight="1">
      <c r="A31" s="64">
        <v>29</v>
      </c>
      <c r="B31" s="49">
        <v>447</v>
      </c>
      <c r="C31" s="49">
        <v>446</v>
      </c>
      <c r="D31" s="49">
        <v>14</v>
      </c>
      <c r="E31" s="49">
        <v>9</v>
      </c>
      <c r="F31" s="50">
        <f>(C31*100)/B31</f>
        <v>99.7762863534676</v>
      </c>
      <c r="G31" s="156">
        <f>(D31*100)/B31</f>
        <v>3.13199105145414</v>
      </c>
      <c r="H31" s="152">
        <f>((B31-B32)/B31)*100</f>
        <v>1.11856823266219</v>
      </c>
      <c r="I31" s="52">
        <f>((B31-C31)/B31)*100</f>
        <v>0.223713646532438</v>
      </c>
      <c r="J31" s="52">
        <f>((C31-B32)/C31)*100</f>
        <v>0.896860986547085</v>
      </c>
      <c r="K31" s="161">
        <f>100-(((C3-C32)/C3)*100)</f>
        <v>54.8628428927681</v>
      </c>
      <c r="L31" s="54">
        <v>1.02914798206278</v>
      </c>
      <c r="M31" s="117" t="s">
        <v>28</v>
      </c>
      <c r="N31" s="54">
        <v>0.99</v>
      </c>
      <c r="O31" s="56">
        <f>N31/C31</f>
        <v>0.00221973094170404</v>
      </c>
      <c r="P31" s="57">
        <f>(Boosters_IOS!B31*100)/Boosters_IOS!N31</f>
        <v>0.0979266268772541</v>
      </c>
      <c r="Q31" s="57">
        <f>Boosters_IOS!B31/(C31+D31)</f>
        <v>0.00217391304347826</v>
      </c>
      <c r="R31" s="57">
        <f>Boosters_IOS!N31/B31</f>
        <v>2.28450273093601</v>
      </c>
      <c r="S31" s="54">
        <v>3.47982062780269</v>
      </c>
      <c r="T31" s="54">
        <v>0.114349775784753</v>
      </c>
      <c r="U31" s="58">
        <v>1435.70627802691</v>
      </c>
      <c r="V31" s="54">
        <v>746090</v>
      </c>
    </row>
    <row r="32" spans="1:22" s="168" customFormat="1" ht="22.500000" customHeight="1">
      <c r="A32" s="34">
        <v>30</v>
      </c>
      <c r="B32" s="49">
        <v>442</v>
      </c>
      <c r="C32" s="49">
        <v>440</v>
      </c>
      <c r="D32" s="49">
        <v>35</v>
      </c>
      <c r="E32" s="49">
        <v>23</v>
      </c>
      <c r="F32" s="50">
        <f>(C32*100)/B32</f>
        <v>99.5475113122172</v>
      </c>
      <c r="G32" s="156">
        <f>(D32*100)/B32</f>
        <v>7.9185520361991</v>
      </c>
      <c r="H32" s="152">
        <f>((B32-B33)/B32)*100</f>
        <v>0</v>
      </c>
      <c r="I32" s="52">
        <f>((B32-C32)/B32)*100</f>
        <v>0.452488687782806</v>
      </c>
      <c r="J32" s="52">
        <f>((C32-B33)/C32)*100</f>
        <v>-0.454545454545455</v>
      </c>
      <c r="K32" s="151">
        <f>100-(((C3-C33)/C3)*100)</f>
        <v>52.6184538653367</v>
      </c>
      <c r="L32" s="54">
        <v>1.04772727272727</v>
      </c>
      <c r="M32" s="125" t="s">
        <v>28</v>
      </c>
      <c r="N32" s="54">
        <v>0</v>
      </c>
      <c r="O32" s="56">
        <f>N32/C32</f>
        <v>0</v>
      </c>
      <c r="P32" s="57">
        <f>(Boosters_IOS!B32*100)/Boosters_IOS!N32</f>
        <v>0.0904517878545526</v>
      </c>
      <c r="Q32" s="57">
        <f>Boosters_IOS!B32/(C32+D32)</f>
        <v>0.00210526315789474</v>
      </c>
      <c r="R32" s="57">
        <f>Boosters_IOS!N32/B32</f>
        <v>2.50127000535585</v>
      </c>
      <c r="S32" s="54">
        <v>3.32727272727272</v>
      </c>
      <c r="T32" s="54">
        <v>0.1</v>
      </c>
      <c r="U32" s="58">
        <v>1458.23863636364</v>
      </c>
      <c r="V32" s="54">
        <v>753300</v>
      </c>
    </row>
    <row r="33" spans="1:22" s="168" customFormat="1" ht="22.500000" customHeight="1">
      <c r="A33" s="34">
        <v>31</v>
      </c>
      <c r="B33" s="49">
        <v>442</v>
      </c>
      <c r="C33" s="49">
        <v>422</v>
      </c>
      <c r="D33" s="49">
        <v>162</v>
      </c>
      <c r="E33" s="49">
        <v>99</v>
      </c>
      <c r="F33" s="50">
        <f>(C33*100)/B33</f>
        <v>95.475113122172</v>
      </c>
      <c r="G33" s="158">
        <f>(D33*100)/B33</f>
        <v>36.6515837104072</v>
      </c>
      <c r="H33" s="151">
        <f>((B33-B34)/B33)*100</f>
        <v>4.97737556561086</v>
      </c>
      <c r="I33" s="52">
        <f>((B33-C33)/B33)*100</f>
        <v>4.52488687782805</v>
      </c>
      <c r="J33" s="52">
        <f>((C33-B34)/C33)*100</f>
        <v>0.4739336492891</v>
      </c>
      <c r="K33" s="161">
        <f>100-(((C3-C34)/C3)*100)</f>
        <v>51.496259351621</v>
      </c>
      <c r="L33" s="54">
        <v>1.21985815602836</v>
      </c>
      <c r="M33" s="117" t="s">
        <v>28</v>
      </c>
      <c r="N33" s="54">
        <v>0</v>
      </c>
      <c r="O33" s="56">
        <f>N33/C33</f>
        <v>0</v>
      </c>
      <c r="P33" s="57">
        <f>(Boosters_IOS!B33*100)/Boosters_IOS!N33</f>
        <v>0.360055199149372</v>
      </c>
      <c r="Q33" s="57">
        <f>Boosters_IOS!B33/(C33+D33)</f>
        <v>0.0104972560321273</v>
      </c>
      <c r="R33" s="57">
        <f>Boosters_IOS!N33/B33</f>
        <v>3.8520975911681</v>
      </c>
      <c r="S33" s="54">
        <v>3.30260047281323</v>
      </c>
      <c r="T33" s="54">
        <v>0.139810426540284</v>
      </c>
      <c r="U33" s="58">
        <v>1350.30805687204</v>
      </c>
      <c r="V33" s="54">
        <v>665840</v>
      </c>
    </row>
    <row r="34" spans="1:22" s="168" customFormat="1" ht="22.500000" customHeight="1">
      <c r="A34" s="34">
        <v>32</v>
      </c>
      <c r="B34" s="49">
        <v>420</v>
      </c>
      <c r="C34" s="49">
        <v>413</v>
      </c>
      <c r="D34" s="49">
        <v>63</v>
      </c>
      <c r="E34" s="49">
        <v>49</v>
      </c>
      <c r="F34" s="50">
        <f>(C34*100)/B34</f>
        <v>98.3333333333333</v>
      </c>
      <c r="G34" s="158">
        <f>(D34*100)/B34</f>
        <v>15</v>
      </c>
      <c r="H34" s="152">
        <f>((B34-B35)/B34)*100</f>
        <v>-1.66666666666667</v>
      </c>
      <c r="I34" s="52">
        <f>((B34-C34)/B34)*100</f>
        <v>1.66666666666667</v>
      </c>
      <c r="J34" s="52">
        <f>((C34-B35)/C34)*100</f>
        <v>-3.38983050847458</v>
      </c>
      <c r="K34" s="161">
        <f>100-(((C3-C35)/C3)*100)</f>
        <v>52.6184538653367</v>
      </c>
      <c r="L34" s="54">
        <v>1.08958837772397</v>
      </c>
      <c r="M34" s="125" t="s">
        <v>28</v>
      </c>
      <c r="N34" s="54">
        <v>0</v>
      </c>
      <c r="O34" s="56">
        <f>N34/C34</f>
        <v>0</v>
      </c>
      <c r="P34" s="57">
        <f>(Boosters_IOS!B34*100)/Boosters_IOS!N34</f>
        <v>2.01787692899607</v>
      </c>
      <c r="Q34" s="57">
        <f>Boosters_IOS!B34/(C34+D34)</f>
        <v>0.046218487394958</v>
      </c>
      <c r="R34" s="57">
        <f>Boosters_IOS!N34/B34</f>
        <v>2.59584475288158</v>
      </c>
      <c r="S34" s="54">
        <v>4.17917675544794</v>
      </c>
      <c r="T34" s="54">
        <v>0.12590799031477</v>
      </c>
      <c r="U34" s="58">
        <v>1388.5593220339</v>
      </c>
      <c r="V34" s="54">
        <v>653035</v>
      </c>
    </row>
    <row r="35" spans="1:22" s="168" customFormat="1" ht="22.500000" customHeight="1">
      <c r="A35" s="64">
        <v>33</v>
      </c>
      <c r="B35" s="49">
        <v>427</v>
      </c>
      <c r="C35" s="49">
        <v>422</v>
      </c>
      <c r="D35" s="49">
        <v>58</v>
      </c>
      <c r="E35" s="49">
        <v>43</v>
      </c>
      <c r="F35" s="50">
        <f>(C35*100)/B35</f>
        <v>98.8290398126464</v>
      </c>
      <c r="G35" s="156">
        <f>(D35*100)/B35</f>
        <v>13.5831381733021</v>
      </c>
      <c r="H35" s="151">
        <f>((B35-B36)/B35)*100</f>
        <v>0.468384074941452</v>
      </c>
      <c r="I35" s="52">
        <f>((B35-C35)/B35)*100</f>
        <v>1.17096018735363</v>
      </c>
      <c r="J35" s="52">
        <f>((C35-B36)/C35)*100</f>
        <v>-0.710900473933649</v>
      </c>
      <c r="K35" s="161">
        <f>100-(((C3-C36)/C3)*100)</f>
        <v>52.9925187032419</v>
      </c>
      <c r="L35" s="54">
        <v>1.07582938388625</v>
      </c>
      <c r="M35" s="117" t="s">
        <v>28</v>
      </c>
      <c r="N35" s="54">
        <v>9.4</v>
      </c>
      <c r="O35" s="56">
        <f>N35/C35</f>
        <v>0.0222748815165877</v>
      </c>
      <c r="P35" s="57">
        <f>(Boosters_IOS!B35*100)/Boosters_IOS!N35</f>
        <v>0.2634708267157</v>
      </c>
      <c r="Q35" s="57">
        <f>Boosters_IOS!B35/(C35+D35)</f>
        <v>0.00625</v>
      </c>
      <c r="R35" s="57">
        <f>Boosters_IOS!N35/B35</f>
        <v>2.66661824069918</v>
      </c>
      <c r="S35" s="54">
        <v>3.2345971563981</v>
      </c>
      <c r="T35" s="54">
        <v>0.118483412322275</v>
      </c>
      <c r="U35" s="58">
        <v>1372.23933649289</v>
      </c>
      <c r="V35" s="54">
        <v>639730</v>
      </c>
    </row>
    <row r="36" spans="1:22" s="168" customFormat="1" ht="22.500000" customHeight="1">
      <c r="A36" s="64">
        <v>34</v>
      </c>
      <c r="B36" s="49">
        <v>425</v>
      </c>
      <c r="C36" s="49">
        <v>425</v>
      </c>
      <c r="D36" s="49">
        <v>12</v>
      </c>
      <c r="E36" s="49">
        <v>10</v>
      </c>
      <c r="F36" s="50">
        <f>(C36*100)/B36</f>
        <v>100</v>
      </c>
      <c r="G36" s="156">
        <f>(D36*100)/B36</f>
        <v>2.82352941176471</v>
      </c>
      <c r="H36" s="152">
        <f>((B36-B37)/B36)*100</f>
        <v>0</v>
      </c>
      <c r="I36" s="52">
        <f>((B36-C36)/B36)*100</f>
        <v>0</v>
      </c>
      <c r="J36" s="52">
        <f>((C36-B37)/C36)*100</f>
        <v>0</v>
      </c>
      <c r="K36" s="161">
        <f>100-(((C3-C37)/C3)*100)</f>
        <v>52.1197007481297</v>
      </c>
      <c r="L36" s="54">
        <v>1.02588235294117</v>
      </c>
      <c r="M36" s="125" t="s">
        <v>28</v>
      </c>
      <c r="N36" s="54">
        <v>0.99</v>
      </c>
      <c r="O36" s="56">
        <f>N36/C36</f>
        <v>0.00232941176470588</v>
      </c>
      <c r="P36" s="57">
        <f>(Boosters_IOS!B36*100)/Boosters_IOS!N36</f>
        <v>0.199134332110903</v>
      </c>
      <c r="Q36" s="57">
        <f>Boosters_IOS!B36/(C36+D36)</f>
        <v>0.0045766590389016</v>
      </c>
      <c r="R36" s="57">
        <f>Boosters_IOS!N36/B36</f>
        <v>2.36316977743464</v>
      </c>
      <c r="S36" s="54">
        <v>3.05647058823529</v>
      </c>
      <c r="T36" s="54">
        <v>0.124705882352941</v>
      </c>
      <c r="U36" s="58">
        <v>1422.24705882353</v>
      </c>
      <c r="V36" s="54">
        <v>645380</v>
      </c>
    </row>
    <row r="37" spans="1:22" s="168" customFormat="1" ht="22.500000" customHeight="1">
      <c r="A37" s="34">
        <v>35</v>
      </c>
      <c r="B37" s="49">
        <v>425</v>
      </c>
      <c r="C37" s="49">
        <v>418</v>
      </c>
      <c r="D37" s="49">
        <v>89</v>
      </c>
      <c r="E37" s="49">
        <v>50</v>
      </c>
      <c r="F37" s="50">
        <f>(C37*100)/B37</f>
        <v>98.3529411764706</v>
      </c>
      <c r="G37" s="156">
        <f>(D37*100)/B37</f>
        <v>20.9411764705882</v>
      </c>
      <c r="H37" s="152">
        <f>((B37-B38)/B37)*100</f>
        <v>4.23529411764706</v>
      </c>
      <c r="I37" s="52">
        <f>((B37-C37)/B37)*100</f>
        <v>1.64705882352941</v>
      </c>
      <c r="J37" s="52">
        <f>((C37-B38)/C37)*100</f>
        <v>2.63157894736842</v>
      </c>
      <c r="K37" s="161">
        <f>100-(((C3-C38)/C3)*100)</f>
        <v>50.6234413965087</v>
      </c>
      <c r="L37" s="54">
        <v>1.10765550239234</v>
      </c>
      <c r="M37" s="117" t="s">
        <v>28</v>
      </c>
      <c r="N37" s="54">
        <v>0</v>
      </c>
      <c r="O37" s="56">
        <f>N37/C37</f>
        <v>0</v>
      </c>
      <c r="P37" s="57">
        <f>(Boosters_IOS!B37*100)/Boosters_IOS!N37</f>
        <v>0.581126477695925</v>
      </c>
      <c r="Q37" s="57">
        <f>Boosters_IOS!B37/(C37+D37)</f>
        <v>0.0138067061143984</v>
      </c>
      <c r="R37" s="57">
        <f>Boosters_IOS!N37/B37</f>
        <v>2.8342518999646</v>
      </c>
      <c r="S37" s="54">
        <v>3.97368421052631</v>
      </c>
      <c r="T37" s="54">
        <v>0.143540669856459</v>
      </c>
      <c r="U37" s="58">
        <v>1377.46411483254</v>
      </c>
      <c r="V37" s="54">
        <v>614495</v>
      </c>
    </row>
    <row r="38" spans="1:22" s="168" customFormat="1" ht="22.500000" customHeight="1">
      <c r="A38" s="34">
        <v>36</v>
      </c>
      <c r="B38" s="49">
        <v>407</v>
      </c>
      <c r="C38" s="49">
        <v>406</v>
      </c>
      <c r="D38" s="49">
        <v>0</v>
      </c>
      <c r="E38" s="49">
        <v>0</v>
      </c>
      <c r="F38" s="50">
        <f>(C38*100)/B38</f>
        <v>99.7542997542998</v>
      </c>
      <c r="G38" s="156">
        <f>(D38*100)/B38</f>
        <v>0</v>
      </c>
      <c r="H38" s="152">
        <f>((B38-B39)/B38)*100</f>
        <v>1.47420147420147</v>
      </c>
      <c r="I38" s="52">
        <f>((B38-C38)/B38)*100</f>
        <v>0.245700245700246</v>
      </c>
      <c r="J38" s="52">
        <f>((C38-B39)/C38)*100</f>
        <v>1.23152709359606</v>
      </c>
      <c r="K38" s="161">
        <f>100-(((C3-C39)/C3)*100)</f>
        <v>50</v>
      </c>
      <c r="L38" s="54">
        <v>1.01477832512315</v>
      </c>
      <c r="M38" s="125" t="s">
        <v>28</v>
      </c>
      <c r="N38" s="54">
        <v>0</v>
      </c>
      <c r="O38" s="56">
        <f>N38/C38</f>
        <v>0</v>
      </c>
      <c r="P38" s="57">
        <f>(Boosters_IOS!B38*100)/Boosters_IOS!N38</f>
        <v>0.106723585912487</v>
      </c>
      <c r="Q38" s="57">
        <f>Boosters_IOS!B38/(C38+D38)</f>
        <v>0.00246305418719212</v>
      </c>
      <c r="R38" s="57">
        <f>Boosters_IOS!N38/B38</f>
        <v>2.3022113022113</v>
      </c>
      <c r="S38" s="54">
        <v>5.65024630541871</v>
      </c>
      <c r="T38" s="54">
        <v>0.12807881773399</v>
      </c>
      <c r="U38" s="58">
        <v>1422.1921182266</v>
      </c>
      <c r="V38" s="54">
        <v>633570</v>
      </c>
    </row>
    <row r="39" spans="1:22" s="168" customFormat="1" ht="22.500000" customHeight="1">
      <c r="A39" s="34">
        <v>37</v>
      </c>
      <c r="B39" s="49">
        <v>401</v>
      </c>
      <c r="C39" s="49">
        <v>401</v>
      </c>
      <c r="D39" s="49">
        <v>1</v>
      </c>
      <c r="E39" s="49">
        <v>1</v>
      </c>
      <c r="F39" s="50">
        <f>(C39*100)/B39</f>
        <v>100</v>
      </c>
      <c r="G39" s="156">
        <f>(D39*100)/B39</f>
        <v>0.249376558603491</v>
      </c>
      <c r="H39" s="152">
        <f>((B39-B40)/B39)*100</f>
        <v>0.498753117206983</v>
      </c>
      <c r="I39" s="52">
        <f>((B39-C39)/B39)*100</f>
        <v>0</v>
      </c>
      <c r="J39" s="52">
        <f>((C39-B40)/C39)*100</f>
        <v>0.498753117206983</v>
      </c>
      <c r="K39" s="161">
        <f>100-(((C3-C40)/C3)*100)</f>
        <v>49.6259351620948</v>
      </c>
      <c r="L39" s="54">
        <v>1.00746268656716</v>
      </c>
      <c r="M39" s="117" t="s">
        <v>28</v>
      </c>
      <c r="N39" s="54">
        <v>1.93</v>
      </c>
      <c r="O39" s="56">
        <f>N39/C39</f>
        <v>0.00481296758104738</v>
      </c>
      <c r="P39" s="57">
        <f>(Boosters_IOS!B39*100)/Boosters_IOS!N39</f>
        <v>0.107642626480086</v>
      </c>
      <c r="Q39" s="57">
        <f>Boosters_IOS!B39/(C39+D39)</f>
        <v>0.00248756218905473</v>
      </c>
      <c r="R39" s="57">
        <f>Boosters_IOS!N39/B39</f>
        <v>2.31670822942643</v>
      </c>
      <c r="S39" s="54">
        <v>2.78606965174129</v>
      </c>
      <c r="T39" s="54">
        <v>0.107231920199501</v>
      </c>
      <c r="U39" s="58">
        <v>1446.88279301746</v>
      </c>
      <c r="V39" s="54">
        <v>640875</v>
      </c>
    </row>
    <row r="40" spans="1:22" s="168" customFormat="1" ht="22.500000" customHeight="1">
      <c r="A40" s="64">
        <v>38</v>
      </c>
      <c r="B40" s="49">
        <v>399</v>
      </c>
      <c r="C40" s="49">
        <v>398</v>
      </c>
      <c r="D40" s="49">
        <v>2</v>
      </c>
      <c r="E40" s="49">
        <v>3</v>
      </c>
      <c r="F40" s="50">
        <f>(C40*100)/B40</f>
        <v>99.749373433584</v>
      </c>
      <c r="G40" s="156">
        <f>(D40*100)/B40</f>
        <v>0.50125313283208</v>
      </c>
      <c r="H40" s="152">
        <f>((B40-B41)/B40)*100</f>
        <v>-5.26315789473684</v>
      </c>
      <c r="I40" s="52">
        <f>((B40-C40)/B40)*100</f>
        <v>0.25062656641604</v>
      </c>
      <c r="J40" s="52">
        <f>((C40-B41)/C40)*100</f>
        <v>-5.52763819095477</v>
      </c>
      <c r="K40" s="161">
        <f>100-(((C3-C41)/C3)*100)</f>
        <v>47.7556109725686</v>
      </c>
      <c r="L40" s="54">
        <v>1.0251256281407</v>
      </c>
      <c r="M40" s="125" t="s">
        <v>28</v>
      </c>
      <c r="N40" s="54">
        <v>0</v>
      </c>
      <c r="O40" s="56">
        <f>N40/C40</f>
        <v>0</v>
      </c>
      <c r="P40" s="57">
        <f>(Boosters_IOS!B40*100)/Boosters_IOS!N40</f>
        <v>0.211241783898578</v>
      </c>
      <c r="Q40" s="57">
        <f>Boosters_IOS!B40/(C40+D40)</f>
        <v>0.005</v>
      </c>
      <c r="R40" s="57">
        <f>Boosters_IOS!N40/B40</f>
        <v>2.37288818329968</v>
      </c>
      <c r="S40" s="54">
        <v>5.23869346733668</v>
      </c>
      <c r="T40" s="54">
        <v>0.113065326633166</v>
      </c>
      <c r="U40" s="58">
        <v>1515.43969849246</v>
      </c>
      <c r="V40" s="54">
        <v>656415</v>
      </c>
    </row>
    <row r="41" spans="1:22" s="168" customFormat="1" ht="22.500000" customHeight="1">
      <c r="A41" s="34">
        <v>39</v>
      </c>
      <c r="B41" s="49">
        <v>420</v>
      </c>
      <c r="C41" s="49">
        <v>383</v>
      </c>
      <c r="D41" s="49">
        <v>245</v>
      </c>
      <c r="E41" s="49">
        <v>166</v>
      </c>
      <c r="F41" s="50">
        <f>(C41*100)/B41</f>
        <v>91.1904761904762</v>
      </c>
      <c r="G41" s="158">
        <f>(D41*100)/B41</f>
        <v>58.3333333333333</v>
      </c>
      <c r="H41" s="151">
        <f>((B41-B42)/B41)*100</f>
        <v>-3.57142857142857</v>
      </c>
      <c r="I41" s="52">
        <f>((B41-C41)/B41)*100</f>
        <v>8.80952380952381</v>
      </c>
      <c r="J41" s="52">
        <f>((C41-B42)/C41)*100</f>
        <v>-13.5770234986945</v>
      </c>
      <c r="K41" s="161">
        <f>100-(((C3-C42)/C3)*100)</f>
        <v>46.1346633416459</v>
      </c>
      <c r="L41" s="54">
        <v>1.65274151436031</v>
      </c>
      <c r="M41" s="127" t="s">
        <v>30</v>
      </c>
      <c r="N41" s="54">
        <v>18.81</v>
      </c>
      <c r="O41" s="56">
        <f>N41/C41</f>
        <v>0.04911227154047</v>
      </c>
      <c r="P41" s="57">
        <f>(Boosters_IOS!B41*100)/Boosters_IOS!N41</f>
        <v>3.53438581532402</v>
      </c>
      <c r="Q41" s="57">
        <f>Boosters_IOS!B41/(C41+D41)</f>
        <v>0.144416327775444</v>
      </c>
      <c r="R41" s="57">
        <f>Boosters_IOS!N41/B41</f>
        <v>6.10959884254854</v>
      </c>
      <c r="S41" s="54">
        <v>4.78328981723237</v>
      </c>
      <c r="T41" s="54">
        <v>0.227154046997389</v>
      </c>
      <c r="U41" s="58">
        <v>1267.98955613577</v>
      </c>
      <c r="V41" s="54">
        <v>552250</v>
      </c>
    </row>
    <row r="42" spans="1:22" s="168" customFormat="1" ht="22.500000" customHeight="1">
      <c r="A42" s="34">
        <v>40</v>
      </c>
      <c r="B42" s="49">
        <v>435</v>
      </c>
      <c r="C42" s="49">
        <v>370</v>
      </c>
      <c r="D42" s="49">
        <v>361</v>
      </c>
      <c r="E42" s="49">
        <v>233</v>
      </c>
      <c r="F42" s="50">
        <f>(C42*100)/B42</f>
        <v>85.0574712643678</v>
      </c>
      <c r="G42" s="158">
        <f>(D42*100)/B42</f>
        <v>82.9885057471264</v>
      </c>
      <c r="H42" s="151">
        <f>((B42-B43)/B42)*100</f>
        <v>16.551724137931</v>
      </c>
      <c r="I42" s="52">
        <f>((B42-C42)/B42)*100</f>
        <v>14.9425287356322</v>
      </c>
      <c r="J42" s="52">
        <f>((C42-B43)/C42)*100</f>
        <v>1.89189189189189</v>
      </c>
      <c r="K42" s="161">
        <f>100-(((C3-C43)/C3)*100)</f>
        <v>45.2618453865337</v>
      </c>
      <c r="L42" s="54">
        <v>1.9081081081081</v>
      </c>
      <c r="M42" s="124" t="s">
        <v>29</v>
      </c>
      <c r="N42" s="54">
        <v>38.56</v>
      </c>
      <c r="O42" s="56">
        <f>N42/C42</f>
        <v>0.104216216216216</v>
      </c>
      <c r="P42" s="57">
        <f>(Boosters_IOS!B42*100)/Boosters_IOS!N42</f>
        <v>18.7474008873712</v>
      </c>
      <c r="Q42" s="57">
        <f>Boosters_IOS!B42/(C42+D42)</f>
        <v>0.685172411371518</v>
      </c>
      <c r="R42" s="57">
        <f>Boosters_IOS!N42/B42</f>
        <v>6.14167627725987</v>
      </c>
      <c r="S42" s="54">
        <v>5.54054054054054</v>
      </c>
      <c r="T42" s="54">
        <v>0.42972972972973</v>
      </c>
      <c r="U42" s="58">
        <v>895.351351351351</v>
      </c>
      <c r="V42" s="54">
        <v>377915</v>
      </c>
    </row>
    <row r="43" spans="1:22" s="168" customFormat="1" ht="22.500000" customHeight="1">
      <c r="A43" s="34">
        <v>41</v>
      </c>
      <c r="B43" s="49">
        <v>363</v>
      </c>
      <c r="C43" s="49">
        <v>363</v>
      </c>
      <c r="D43" s="49">
        <v>7</v>
      </c>
      <c r="E43" s="49">
        <v>7</v>
      </c>
      <c r="F43" s="50">
        <f>(C43*100)/B43</f>
        <v>100</v>
      </c>
      <c r="G43" s="156">
        <f>(D43*100)/B43</f>
        <v>1.92837465564738</v>
      </c>
      <c r="H43" s="152">
        <f>((B43-B44)/B43)*100</f>
        <v>-7.16253443526171</v>
      </c>
      <c r="I43" s="52">
        <f>((B43-C43)/B43)*100</f>
        <v>0</v>
      </c>
      <c r="J43" s="52">
        <f>((C43-B44)/C43)*100</f>
        <v>-7.16253443526171</v>
      </c>
      <c r="K43" s="161">
        <f>100-(((C3-C44)/C3)*100)</f>
        <v>42.643391521197</v>
      </c>
      <c r="L43" s="54">
        <v>1.02203856749311</v>
      </c>
      <c r="M43" s="117" t="s">
        <v>28</v>
      </c>
      <c r="N43" s="54">
        <v>0</v>
      </c>
      <c r="O43" s="56">
        <f>N43/C43</f>
        <v>0</v>
      </c>
      <c r="P43" s="57">
        <f>(Boosters_IOS!B43*100)/Boosters_IOS!N43</f>
        <v>1.52768615865761</v>
      </c>
      <c r="Q43" s="57">
        <f>Boosters_IOS!B43/(C43+D43)</f>
        <v>0.0297297297297297</v>
      </c>
      <c r="R43" s="57">
        <f>Boosters_IOS!N43/B43</f>
        <v>1.98359002804986</v>
      </c>
      <c r="S43" s="54">
        <v>3.39393939393939</v>
      </c>
      <c r="T43" s="54">
        <v>0.192837465564738</v>
      </c>
      <c r="U43" s="58">
        <v>957.203856749311</v>
      </c>
      <c r="V43" s="54">
        <v>404540</v>
      </c>
    </row>
    <row r="44" spans="1:22" s="168" customFormat="1" ht="22.500000" customHeight="1">
      <c r="A44" s="34">
        <v>42</v>
      </c>
      <c r="B44" s="49">
        <v>389</v>
      </c>
      <c r="C44" s="49">
        <v>342</v>
      </c>
      <c r="D44" s="49">
        <v>278</v>
      </c>
      <c r="E44" s="49">
        <v>223</v>
      </c>
      <c r="F44" s="50">
        <f>(C44*100)/B44</f>
        <v>87.9177377892031</v>
      </c>
      <c r="G44" s="156">
        <f>(D44*100)/B44</f>
        <v>71.4652956298201</v>
      </c>
      <c r="H44" s="151">
        <f>((B44-B45)/B44)*100</f>
        <v>11.0539845758355</v>
      </c>
      <c r="I44" s="52">
        <f>((B44-C44)/B44)*100</f>
        <v>12.0822622107969</v>
      </c>
      <c r="J44" s="52">
        <f>((C44-B45)/C44)*100</f>
        <v>-1.16959064327485</v>
      </c>
      <c r="K44" s="161">
        <f>100-(((C3-C45)/C3)*100)</f>
        <v>42.3940149625935</v>
      </c>
      <c r="L44" s="54">
        <v>2.35087719298245</v>
      </c>
      <c r="M44" s="128" t="s">
        <v>30</v>
      </c>
      <c r="N44" s="54">
        <v>21.25</v>
      </c>
      <c r="O44" s="56">
        <f>N44/C44</f>
        <v>0.0621345029239766</v>
      </c>
      <c r="P44" s="57">
        <f>(Boosters_IOS!B44*100)/Boosters_IOS!N44</f>
        <v>11.5706447503867</v>
      </c>
      <c r="Q44" s="57">
        <f>Boosters_IOS!B44/(C44+D44)</f>
        <v>0.366406231857951</v>
      </c>
      <c r="R44" s="57">
        <f>Boosters_IOS!N44/B44</f>
        <v>5.04716357273025</v>
      </c>
      <c r="S44" s="54">
        <v>5.15204678362573</v>
      </c>
      <c r="T44" s="54">
        <v>0.324561403508772</v>
      </c>
      <c r="U44" s="58">
        <v>779.298245614035</v>
      </c>
      <c r="V44" s="54">
        <v>314385</v>
      </c>
    </row>
    <row r="45" spans="1:22" s="168" customFormat="1" ht="22.500000" customHeight="1">
      <c r="A45" s="64">
        <v>43</v>
      </c>
      <c r="B45" s="49">
        <v>346</v>
      </c>
      <c r="C45" s="49">
        <v>340</v>
      </c>
      <c r="D45" s="49">
        <v>34</v>
      </c>
      <c r="E45" s="49">
        <v>29</v>
      </c>
      <c r="F45" s="50">
        <f>(C45*100)/B45</f>
        <v>98.2658959537572</v>
      </c>
      <c r="G45" s="156">
        <f>(D45*100)/B45</f>
        <v>9.82658959537572</v>
      </c>
      <c r="H45" s="152">
        <f>((B45-B46)/B45)*100</f>
        <v>0.867052023121387</v>
      </c>
      <c r="I45" s="52">
        <f>((B45-C45)/B45)*100</f>
        <v>1.73410404624277</v>
      </c>
      <c r="J45" s="52">
        <f>((C45-B46)/C45)*100</f>
        <v>-0.882352941176471</v>
      </c>
      <c r="K45" s="161">
        <f>100-(((C3-C46)/C3)*100)</f>
        <v>42.643391521197</v>
      </c>
      <c r="L45" s="54">
        <v>1.07058823529411</v>
      </c>
      <c r="M45" s="117" t="s">
        <v>28</v>
      </c>
      <c r="N45" s="54">
        <v>3.61</v>
      </c>
      <c r="O45" s="56">
        <f>N45/C45</f>
        <v>0.0106176470588235</v>
      </c>
      <c r="P45" s="57">
        <f>(Boosters_IOS!B45*100)/Boosters_IOS!N45</f>
        <v>5.8642959845997</v>
      </c>
      <c r="Q45" s="57">
        <f>Boosters_IOS!B45/(C45+D45)</f>
        <v>0.10427807486631</v>
      </c>
      <c r="R45" s="57">
        <f>Boosters_IOS!N45/B45</f>
        <v>1.92208516251204</v>
      </c>
      <c r="S45" s="54">
        <v>4.36470588235294</v>
      </c>
      <c r="T45" s="54">
        <v>0.247058823529412</v>
      </c>
      <c r="U45" s="58">
        <v>802.323529411765</v>
      </c>
      <c r="V45" s="54">
        <v>318580</v>
      </c>
    </row>
    <row r="46" spans="1:22" s="168" customFormat="1" ht="22.500000" customHeight="1">
      <c r="A46" s="34">
        <v>44</v>
      </c>
      <c r="B46" s="49">
        <v>343</v>
      </c>
      <c r="C46" s="49">
        <v>342</v>
      </c>
      <c r="D46" s="49">
        <v>1</v>
      </c>
      <c r="E46" s="49">
        <v>3</v>
      </c>
      <c r="F46" s="50">
        <f>(C46*100)/B46</f>
        <v>99.7084548104956</v>
      </c>
      <c r="G46" s="156">
        <f>(D46*100)/B46</f>
        <v>0.291545189504373</v>
      </c>
      <c r="H46" s="152">
        <f>((B46-B47)/B46)*100</f>
        <v>0.583090379008746</v>
      </c>
      <c r="I46" s="52">
        <f>((B46-C46)/B46)*100</f>
        <v>0.291545189504373</v>
      </c>
      <c r="J46" s="52">
        <f>((C46-B47)/C46)*100</f>
        <v>0.292397660818713</v>
      </c>
      <c r="K46" s="161">
        <f>100-(((C3-C47)/C3)*100)</f>
        <v>42.5187032418953</v>
      </c>
      <c r="L46" s="54">
        <v>1.02339181286549</v>
      </c>
      <c r="M46" s="124" t="s">
        <v>29</v>
      </c>
      <c r="N46" s="54">
        <v>0</v>
      </c>
      <c r="O46" s="56">
        <f>N46/C46</f>
        <v>0</v>
      </c>
      <c r="P46" s="57">
        <f>(Boosters_IOS!B46*100)/Boosters_IOS!N46</f>
        <v>0</v>
      </c>
      <c r="Q46" s="57">
        <f>Boosters_IOS!B46/(C46+D46)</f>
        <v>0</v>
      </c>
      <c r="R46" s="57">
        <f>Boosters_IOS!N46/B46</f>
        <v>1.82583322170707</v>
      </c>
      <c r="S46" s="54">
        <v>6.00292397660818</v>
      </c>
      <c r="T46" s="54">
        <v>0.192982456140351</v>
      </c>
      <c r="U46" s="58">
        <v>863.786549707602</v>
      </c>
      <c r="V46" s="54">
        <v>337750</v>
      </c>
    </row>
    <row r="47" spans="1:22" s="168" customFormat="1" ht="22.500000" customHeight="1">
      <c r="A47" s="64">
        <v>45</v>
      </c>
      <c r="B47" s="49">
        <v>341</v>
      </c>
      <c r="C47" s="49">
        <v>341</v>
      </c>
      <c r="D47" s="49">
        <v>1</v>
      </c>
      <c r="E47" s="49">
        <v>1</v>
      </c>
      <c r="F47" s="50">
        <f>(C47*100)/B47</f>
        <v>100</v>
      </c>
      <c r="G47" s="156">
        <f>(D47*100)/B47</f>
        <v>0.293255131964809</v>
      </c>
      <c r="H47" s="152">
        <f>((B47-B48)/B47)*100</f>
        <v>0</v>
      </c>
      <c r="I47" s="52">
        <f>((B47-C47)/B47)*100</f>
        <v>0</v>
      </c>
      <c r="J47" s="52">
        <f>((C47-B48)/C47)*100</f>
        <v>0</v>
      </c>
      <c r="K47" s="161">
        <f>100-(((C3-C48)/C3)*100)</f>
        <v>42.3940149625935</v>
      </c>
      <c r="L47" s="54">
        <v>1.02346041055718</v>
      </c>
      <c r="M47" s="117" t="s">
        <v>28</v>
      </c>
      <c r="N47" s="54">
        <v>9.99</v>
      </c>
      <c r="O47" s="56">
        <f>N47/C47</f>
        <v>0.0292961876832845</v>
      </c>
      <c r="P47" s="57">
        <f>(Boosters_IOS!B47*100)/Boosters_IOS!N47</f>
        <v>0</v>
      </c>
      <c r="Q47" s="57">
        <f>Boosters_IOS!B47/(C47+D47)</f>
        <v>0</v>
      </c>
      <c r="R47" s="57">
        <f>Boosters_IOS!N47/B47</f>
        <v>1.90105804998688</v>
      </c>
      <c r="S47" s="54">
        <v>3.38123167155425</v>
      </c>
      <c r="T47" s="54">
        <v>0.167155425219941</v>
      </c>
      <c r="U47" s="58">
        <v>911.539589442815</v>
      </c>
      <c r="V47" s="54">
        <v>350810</v>
      </c>
    </row>
    <row r="48" spans="1:22" s="168" customFormat="1" ht="22.500000" customHeight="1">
      <c r="A48" s="34">
        <v>46</v>
      </c>
      <c r="B48" s="49">
        <v>341</v>
      </c>
      <c r="C48" s="49">
        <v>340</v>
      </c>
      <c r="D48" s="49">
        <v>2</v>
      </c>
      <c r="E48" s="49">
        <v>1</v>
      </c>
      <c r="F48" s="50">
        <f>(C48*100)/B48</f>
        <v>99.7067448680352</v>
      </c>
      <c r="G48" s="156">
        <f>(D48*100)/B48</f>
        <v>0.586510263929619</v>
      </c>
      <c r="H48" s="152">
        <f>((B48-B49)/B48)*100</f>
        <v>0.586510263929619</v>
      </c>
      <c r="I48" s="52">
        <f>((B48-C48)/B48)*100</f>
        <v>0.293255131964809</v>
      </c>
      <c r="J48" s="52">
        <f>((C48-B49)/C48)*100</f>
        <v>0.294117647058824</v>
      </c>
      <c r="K48" s="161">
        <f>100-(((C3-C49)/C3)*100)</f>
        <v>42.2693266832918</v>
      </c>
      <c r="L48" s="54">
        <v>1.0235294117647</v>
      </c>
      <c r="M48" s="125" t="s">
        <v>28</v>
      </c>
      <c r="N48" s="54">
        <v>0</v>
      </c>
      <c r="O48" s="56">
        <f>N48/C48</f>
        <v>0</v>
      </c>
      <c r="P48" s="57">
        <f>(Boosters_IOS!B48*100)/Boosters_IOS!N48</f>
        <v>0</v>
      </c>
      <c r="Q48" s="57">
        <f>Boosters_IOS!B48/(C48+D48)</f>
        <v>0</v>
      </c>
      <c r="R48" s="57">
        <f>Boosters_IOS!N48/B48</f>
        <v>1.96595657644659</v>
      </c>
      <c r="S48" s="54">
        <v>4.69117647058823</v>
      </c>
      <c r="T48" s="54">
        <v>0.155882352941177</v>
      </c>
      <c r="U48" s="58">
        <v>981.5</v>
      </c>
      <c r="V48" s="54">
        <v>361995</v>
      </c>
    </row>
    <row r="49" spans="1:22" s="168" customFormat="1" ht="22.500000" customHeight="1">
      <c r="A49" s="34">
        <v>47</v>
      </c>
      <c r="B49" s="49">
        <v>339</v>
      </c>
      <c r="C49" s="49">
        <v>339</v>
      </c>
      <c r="D49" s="49">
        <v>0</v>
      </c>
      <c r="E49" s="49">
        <v>0</v>
      </c>
      <c r="F49" s="50">
        <f>(C49*100)/B49</f>
        <v>100</v>
      </c>
      <c r="G49" s="156">
        <f>(D49*100)/B49</f>
        <v>0</v>
      </c>
      <c r="H49" s="152">
        <f>((B49-B50)/B49)*100</f>
        <v>-0.589970501474926</v>
      </c>
      <c r="I49" s="52">
        <f>((B49-C49)/B49)*100</f>
        <v>0</v>
      </c>
      <c r="J49" s="52">
        <f>((C49-B50)/C49)*100</f>
        <v>-0.589970501474926</v>
      </c>
      <c r="K49" s="161">
        <f>100-(((C3-C50)/C3)*100)</f>
        <v>41.8952618453865</v>
      </c>
      <c r="L49" s="54">
        <v>1.00884955752212</v>
      </c>
      <c r="M49" s="117" t="s">
        <v>28</v>
      </c>
      <c r="N49" s="54">
        <v>0.99</v>
      </c>
      <c r="O49" s="56">
        <f>N49/C49</f>
        <v>0.00292035398230089</v>
      </c>
      <c r="P49" s="57">
        <f>(Boosters_IOS!B49*100)/Boosters_IOS!N49</f>
        <v>0</v>
      </c>
      <c r="Q49" s="57">
        <f>Boosters_IOS!B49/(C49+D49)</f>
        <v>0</v>
      </c>
      <c r="R49" s="57">
        <f>Boosters_IOS!N49/B49</f>
        <v>1.94985250737463</v>
      </c>
      <c r="S49" s="54">
        <v>3.33923303834808</v>
      </c>
      <c r="T49" s="54">
        <v>0.162241887905605</v>
      </c>
      <c r="U49" s="58">
        <v>1017.09439528024</v>
      </c>
      <c r="V49" s="54">
        <v>376540</v>
      </c>
    </row>
    <row r="50" spans="1:22" s="168" customFormat="1" ht="22.500000" customHeight="1">
      <c r="A50" s="64">
        <v>48</v>
      </c>
      <c r="B50" s="49">
        <v>341</v>
      </c>
      <c r="C50" s="49">
        <v>336</v>
      </c>
      <c r="D50" s="49">
        <v>60</v>
      </c>
      <c r="E50" s="49">
        <v>42</v>
      </c>
      <c r="F50" s="50">
        <f>(C50*100)/B50</f>
        <v>98.533724340176</v>
      </c>
      <c r="G50" s="156">
        <f>(D50*100)/B50</f>
        <v>17.5953079178886</v>
      </c>
      <c r="H50" s="152">
        <f>((B50-B51)/B50)*100</f>
        <v>-0.879765395894428</v>
      </c>
      <c r="I50" s="52">
        <f>((B50-C50)/B50)*100</f>
        <v>1.46627565982405</v>
      </c>
      <c r="J50" s="52">
        <f>((C50-B51)/C50)*100</f>
        <v>-2.38095238095238</v>
      </c>
      <c r="K50" s="161">
        <f>100-(((C3-C51)/C3)*100)</f>
        <v>40.3990024937656</v>
      </c>
      <c r="L50" s="54">
        <v>1.11011904761904</v>
      </c>
      <c r="M50" s="125" t="s">
        <v>28</v>
      </c>
      <c r="N50" s="54">
        <v>4.99</v>
      </c>
      <c r="O50" s="56">
        <f>N50/C50</f>
        <v>0.0148511904761905</v>
      </c>
      <c r="P50" s="57">
        <f>(Boosters_IOS!B50*100)/Boosters_IOS!N50</f>
        <v>0.484774380391363</v>
      </c>
      <c r="Q50" s="57">
        <f>Boosters_IOS!B50/(C50+D50)</f>
        <v>0.0101010101010101</v>
      </c>
      <c r="R50" s="57">
        <f>Boosters_IOS!N50/B50</f>
        <v>2.4197246704998</v>
      </c>
      <c r="S50" s="54">
        <v>3.79166666666666</v>
      </c>
      <c r="T50" s="54">
        <v>0.18452380952381</v>
      </c>
      <c r="U50" s="58">
        <v>1027.05357142857</v>
      </c>
      <c r="V50" s="54">
        <v>366680</v>
      </c>
    </row>
    <row r="51" spans="1:22" s="168" customFormat="1" ht="22.500000" customHeight="1">
      <c r="A51" s="34">
        <v>49</v>
      </c>
      <c r="B51" s="49">
        <v>344</v>
      </c>
      <c r="C51" s="49">
        <v>324</v>
      </c>
      <c r="D51" s="49">
        <v>207</v>
      </c>
      <c r="E51" s="49">
        <v>138</v>
      </c>
      <c r="F51" s="50">
        <f>(C51*100)/B51</f>
        <v>94.1860465116279</v>
      </c>
      <c r="G51" s="156">
        <f>(D51*100)/B51</f>
        <v>60.1744186046512</v>
      </c>
      <c r="H51" s="152">
        <f>((B51-B52)/B51)*100</f>
        <v>-2.03488372093023</v>
      </c>
      <c r="I51" s="52">
        <f>((B51-C51)/B51)*100</f>
        <v>5.81395348837209</v>
      </c>
      <c r="J51" s="52">
        <f>((C51-B52)/C51)*100</f>
        <v>-8.33333333333333</v>
      </c>
      <c r="K51" s="161">
        <f>100-(((C3-C52)/C3)*100)</f>
        <v>41.1471321695761</v>
      </c>
      <c r="L51" s="54">
        <v>1.54012345679012</v>
      </c>
      <c r="M51" s="126" t="s">
        <v>29</v>
      </c>
      <c r="N51" s="54">
        <v>14.03</v>
      </c>
      <c r="O51" s="56">
        <f>N51/C51</f>
        <v>0.0433024691358025</v>
      </c>
      <c r="P51" s="57">
        <f>(Boosters_IOS!B51*100)/Boosters_IOS!N51</f>
        <v>2.7062013890082</v>
      </c>
      <c r="Q51" s="57">
        <f>Boosters_IOS!B51/(C51+D51)</f>
        <v>0.0840074396520661</v>
      </c>
      <c r="R51" s="57">
        <f>Boosters_IOS!N51/B51</f>
        <v>4.79174517853348</v>
      </c>
      <c r="S51" s="54">
        <v>7.61111111111111</v>
      </c>
      <c r="T51" s="54">
        <v>0.351851851851852</v>
      </c>
      <c r="U51" s="58">
        <v>864.891975308642</v>
      </c>
      <c r="V51" s="54">
        <v>284975</v>
      </c>
    </row>
    <row r="52" spans="1:22" s="168" customFormat="1" ht="22.500000" customHeight="1">
      <c r="A52" s="64">
        <v>50</v>
      </c>
      <c r="B52" s="49">
        <v>351</v>
      </c>
      <c r="C52" s="49">
        <v>330</v>
      </c>
      <c r="D52" s="49">
        <v>200</v>
      </c>
      <c r="E52" s="49">
        <v>134</v>
      </c>
      <c r="F52" s="50">
        <f>(C52*100)/B52</f>
        <v>94.017094017094</v>
      </c>
      <c r="G52" s="156">
        <f>(D52*100)/B52</f>
        <v>56.980056980057</v>
      </c>
      <c r="H52" s="151">
        <f>((B52-B53)/B52)*100</f>
        <v>0</v>
      </c>
      <c r="I52" s="52">
        <f>((B52-C52)/B52)*100</f>
        <v>5.98290598290598</v>
      </c>
      <c r="J52" s="52">
        <f>((C52-B53)/C52)*100</f>
        <v>-6.36363636363636</v>
      </c>
      <c r="K52" s="151">
        <f>100-(((C3-C53)/C3)*100)</f>
        <v>39.0274314214464</v>
      </c>
      <c r="L52" s="54">
        <v>1.44242424242424</v>
      </c>
      <c r="M52" s="125" t="s">
        <v>28</v>
      </c>
      <c r="N52" s="54">
        <v>9.98</v>
      </c>
      <c r="O52" s="56">
        <f>N52/C52</f>
        <v>0.0302424242424242</v>
      </c>
      <c r="P52" s="57">
        <f>(Boosters_IOS!B52*100)/Boosters_IOS!N52</f>
        <v>7.45315225465443</v>
      </c>
      <c r="Q52" s="57">
        <f>Boosters_IOS!B52/(C52+D52)</f>
        <v>0.21017044451287</v>
      </c>
      <c r="R52" s="57">
        <f>Boosters_IOS!N52/B52</f>
        <v>4.2579484842041</v>
      </c>
      <c r="S52" s="54">
        <v>5.15454545454545</v>
      </c>
      <c r="T52" s="54">
        <v>0.333333333333333</v>
      </c>
      <c r="U52" s="58">
        <v>774.166666666667</v>
      </c>
      <c r="V52" s="54">
        <v>245610</v>
      </c>
    </row>
    <row r="53" spans="1:22" s="168" customFormat="1" ht="22.500000" customHeight="1">
      <c r="A53" s="34">
        <v>51</v>
      </c>
      <c r="B53" s="49">
        <v>351</v>
      </c>
      <c r="C53" s="49">
        <v>313</v>
      </c>
      <c r="D53" s="49">
        <v>201</v>
      </c>
      <c r="E53" s="49">
        <v>170</v>
      </c>
      <c r="F53" s="50">
        <f>(C53*100)/B53</f>
        <v>89.1737891737892</v>
      </c>
      <c r="G53" s="156">
        <f>(D53*100)/B53</f>
        <v>57.2649572649573</v>
      </c>
      <c r="H53" s="151">
        <f>((B53-B54)/B53)*100</f>
        <v>10.2564102564103</v>
      </c>
      <c r="I53" s="52">
        <f>((B53-C53)/B53)*100</f>
        <v>10.8262108262108</v>
      </c>
      <c r="J53" s="52">
        <f>((C53-B54)/C53)*100</f>
        <v>-0.638977635782748</v>
      </c>
      <c r="K53" s="161">
        <f>100-(((C3-C54)/C3)*100)</f>
        <v>37.9052369077307</v>
      </c>
      <c r="L53" s="54">
        <v>1.64217252396166</v>
      </c>
      <c r="M53" s="127" t="s">
        <v>30</v>
      </c>
      <c r="N53" s="54">
        <v>63.85</v>
      </c>
      <c r="O53" s="56">
        <f>N53/C53</f>
        <v>0.203993610223642</v>
      </c>
      <c r="P53" s="57">
        <f>(Boosters_IOS!B53*100)/Boosters_IOS!N53</f>
        <v>20.3972530459468</v>
      </c>
      <c r="Q53" s="57">
        <f>Boosters_IOS!B53/(C53+D53)</f>
        <v>0.709938711628419</v>
      </c>
      <c r="R53" s="57">
        <f>Boosters_IOS!N53/B53</f>
        <v>5.09688901466382</v>
      </c>
      <c r="S53" s="54">
        <v>5.24281150159744</v>
      </c>
      <c r="T53" s="54">
        <v>0.463258785942492</v>
      </c>
      <c r="U53" s="58">
        <v>786.134185303514</v>
      </c>
      <c r="V53" s="54">
        <v>226625</v>
      </c>
    </row>
    <row r="54" spans="1:22" s="168" customFormat="1" ht="22.500000" customHeight="1">
      <c r="A54" s="34">
        <v>52</v>
      </c>
      <c r="B54" s="49">
        <v>315</v>
      </c>
      <c r="C54" s="49">
        <v>304</v>
      </c>
      <c r="D54" s="49">
        <v>80</v>
      </c>
      <c r="E54" s="49">
        <v>64</v>
      </c>
      <c r="F54" s="50">
        <f>(C54*100)/B54</f>
        <v>96.5079365079365</v>
      </c>
      <c r="G54" s="156">
        <f>(D54*100)/B54</f>
        <v>25.3968253968254</v>
      </c>
      <c r="H54" s="152">
        <f>((B54-B55)/B54)*100</f>
        <v>4.12698412698413</v>
      </c>
      <c r="I54" s="52">
        <f>((B54-C54)/B54)*100</f>
        <v>3.49206349206349</v>
      </c>
      <c r="J54" s="52">
        <f>((C54-B55)/C54)*100</f>
        <v>0.657894736842105</v>
      </c>
      <c r="K54" s="161">
        <f>100-(((C3-C55)/C3)*100)</f>
        <v>37.6558603491272</v>
      </c>
      <c r="L54" s="54">
        <v>1.1875</v>
      </c>
      <c r="M54" s="125" t="s">
        <v>28</v>
      </c>
      <c r="N54" s="54">
        <v>2.64</v>
      </c>
      <c r="O54" s="56">
        <f>N54/C54</f>
        <v>0.00868421052631579</v>
      </c>
      <c r="P54" s="57">
        <f>(Boosters_IOS!B54*100)/Boosters_IOS!N54</f>
        <v>15.2412426097075</v>
      </c>
      <c r="Q54" s="57">
        <f>Boosters_IOS!B54/(C54+D54)</f>
        <v>0.356316576350711</v>
      </c>
      <c r="R54" s="57">
        <f>Boosters_IOS!N54/B54</f>
        <v>2.84994396553254</v>
      </c>
      <c r="S54" s="54">
        <v>7.09210526315789</v>
      </c>
      <c r="T54" s="54">
        <v>0.292763157894737</v>
      </c>
      <c r="U54" s="58">
        <v>841.595394736842</v>
      </c>
      <c r="V54" s="54">
        <v>232085</v>
      </c>
    </row>
    <row r="55" spans="1:22" s="168" customFormat="1" ht="22.500000" customHeight="1">
      <c r="A55" s="34">
        <v>53</v>
      </c>
      <c r="B55" s="49">
        <v>302</v>
      </c>
      <c r="C55" s="49">
        <v>302</v>
      </c>
      <c r="D55" s="49">
        <v>5</v>
      </c>
      <c r="E55" s="49">
        <v>4</v>
      </c>
      <c r="F55" s="50">
        <f>(C55*100)/B55</f>
        <v>100</v>
      </c>
      <c r="G55" s="156">
        <f>(D55*100)/B55</f>
        <v>1.65562913907285</v>
      </c>
      <c r="H55" s="152">
        <f>((B55-B56)/B55)*100</f>
        <v>2.31788079470199</v>
      </c>
      <c r="I55" s="52">
        <f>((B55-C55)/B55)*100</f>
        <v>0</v>
      </c>
      <c r="J55" s="52">
        <f>((C55-B56)/C55)*100</f>
        <v>2.31788079470199</v>
      </c>
      <c r="K55" s="161">
        <f>100-(((C3-C56)/C3)*100)</f>
        <v>36.783042394015</v>
      </c>
      <c r="L55" s="54">
        <v>1.02317880794701</v>
      </c>
      <c r="M55" s="117" t="s">
        <v>28</v>
      </c>
      <c r="N55" s="54">
        <v>0</v>
      </c>
      <c r="O55" s="56">
        <f>N55/C55</f>
        <v>0</v>
      </c>
      <c r="P55" s="57">
        <f>(Boosters_IOS!B55*100)/Boosters_IOS!N55</f>
        <v>0</v>
      </c>
      <c r="Q55" s="57">
        <f>Boosters_IOS!B55/(C55+D55)</f>
        <v>0</v>
      </c>
      <c r="R55" s="57">
        <f>Boosters_IOS!N55/B55</f>
        <v>2.42067278205993</v>
      </c>
      <c r="S55" s="54">
        <v>4.04635761589403</v>
      </c>
      <c r="T55" s="54">
        <v>0.221854304635762</v>
      </c>
      <c r="U55" s="58">
        <v>902.94701986755</v>
      </c>
      <c r="V55" s="54">
        <v>249180</v>
      </c>
    </row>
    <row r="56" spans="1:22" s="168" customFormat="1" ht="22.500000" customHeight="1">
      <c r="A56" s="34">
        <v>54</v>
      </c>
      <c r="B56" s="49">
        <v>295</v>
      </c>
      <c r="C56" s="49">
        <v>295</v>
      </c>
      <c r="D56" s="49">
        <v>0</v>
      </c>
      <c r="E56" s="49">
        <v>0</v>
      </c>
      <c r="F56" s="50">
        <f>(C56*100)/B56</f>
        <v>100</v>
      </c>
      <c r="G56" s="156">
        <f>(D56*100)/B56</f>
        <v>0</v>
      </c>
      <c r="H56" s="152">
        <f>((B56-B57)/B56)*100</f>
        <v>-18.9830508474576</v>
      </c>
      <c r="I56" s="52">
        <f>((B56-C56)/B56)*100</f>
        <v>0</v>
      </c>
      <c r="J56" s="52">
        <f>((C56-B57)/C56)*100</f>
        <v>-18.9830508474576</v>
      </c>
      <c r="K56" s="161">
        <f>100-(((C3-C57)/C3)*100)</f>
        <v>35.0374064837905</v>
      </c>
      <c r="L56" s="54">
        <v>1.01694915254237</v>
      </c>
      <c r="M56" s="125" t="s">
        <v>28</v>
      </c>
      <c r="N56" s="54">
        <v>0</v>
      </c>
      <c r="O56" s="56">
        <f>N56/C56</f>
        <v>0</v>
      </c>
      <c r="P56" s="57">
        <f>(Boosters_IOS!B56*100)/Boosters_IOS!N56</f>
        <v>0.137362637362637</v>
      </c>
      <c r="Q56" s="57">
        <f>Boosters_IOS!B56/(C56+D56)</f>
        <v>0.00338983050847458</v>
      </c>
      <c r="R56" s="57">
        <f>Boosters_IOS!N56/B56</f>
        <v>2.46779661016949</v>
      </c>
      <c r="S56" s="54">
        <v>4.26440677966101</v>
      </c>
      <c r="T56" s="54">
        <v>0.203389830508475</v>
      </c>
      <c r="U56" s="58">
        <v>952.745762711864</v>
      </c>
      <c r="V56" s="54">
        <v>264615</v>
      </c>
    </row>
    <row r="57" spans="1:22" s="168" customFormat="1" ht="22.500000" customHeight="1">
      <c r="A57" s="76">
        <v>55</v>
      </c>
      <c r="B57" s="49">
        <v>351</v>
      </c>
      <c r="C57" s="49">
        <v>281</v>
      </c>
      <c r="D57" s="49">
        <v>307</v>
      </c>
      <c r="E57" s="49">
        <v>245</v>
      </c>
      <c r="F57" s="50">
        <f>(C57*100)/B57</f>
        <v>80.0569800569801</v>
      </c>
      <c r="G57" s="156">
        <f>(D57*100)/B57</f>
        <v>87.4643874643875</v>
      </c>
      <c r="H57" s="152">
        <f>((B57-B58)/B57)*100</f>
        <v>19.9430199430199</v>
      </c>
      <c r="I57" s="52">
        <f>((B57-C57)/B57)*100</f>
        <v>19.9430199430199</v>
      </c>
      <c r="J57" s="52">
        <f>((C57-B58)/C57)*100</f>
        <v>0</v>
      </c>
      <c r="K57" s="161">
        <f>100-(((C3-C58)/C3)*100)</f>
        <v>35.0374064837905</v>
      </c>
      <c r="L57" s="54">
        <v>2.85053380782918</v>
      </c>
      <c r="M57" s="117" t="s">
        <v>28</v>
      </c>
      <c r="N57" s="54">
        <v>39.86</v>
      </c>
      <c r="O57" s="56">
        <f>N57/C57</f>
        <v>0.141850533807829</v>
      </c>
      <c r="P57" s="57">
        <f>(Boosters_IOS!B57*100)/Boosters_IOS!N57</f>
        <v>7.99789982350084</v>
      </c>
      <c r="Q57" s="57">
        <f>Boosters_IOS!B57/(C57+D57)</f>
        <v>0.464497276679423</v>
      </c>
      <c r="R57" s="57">
        <f>Boosters_IOS!N57/B57</f>
        <v>9.72920650626849</v>
      </c>
      <c r="S57" s="54">
        <v>13.7686832740213</v>
      </c>
      <c r="T57" s="54">
        <v>0.555160142348754</v>
      </c>
      <c r="U57" s="58">
        <v>686.395017793594</v>
      </c>
      <c r="V57" s="54">
        <v>224890</v>
      </c>
    </row>
    <row r="58" spans="1:22" s="168" customFormat="1" ht="22.500000" customHeight="1">
      <c r="A58" s="34">
        <v>56</v>
      </c>
      <c r="B58" s="49">
        <v>281</v>
      </c>
      <c r="C58" s="49">
        <v>281</v>
      </c>
      <c r="D58" s="49">
        <v>0</v>
      </c>
      <c r="E58" s="49">
        <v>0</v>
      </c>
      <c r="F58" s="50">
        <f>(C58*100)/B58</f>
        <v>100</v>
      </c>
      <c r="G58" s="156">
        <f>(D58*100)/B58</f>
        <v>0</v>
      </c>
      <c r="H58" s="152">
        <f>((B58-B59)/B58)*100</f>
        <v>0.711743772241993</v>
      </c>
      <c r="I58" s="52">
        <f>((B58-C58)/B58)*100</f>
        <v>0</v>
      </c>
      <c r="J58" s="52">
        <f>((C58-B59)/C58)*100</f>
        <v>0.711743772241993</v>
      </c>
      <c r="K58" s="161">
        <f>100-(((C3-C59)/C3)*100)</f>
        <v>34.788029925187</v>
      </c>
      <c r="L58" s="54">
        <v>1.01779359430604</v>
      </c>
      <c r="M58" s="125" t="s">
        <v>28</v>
      </c>
      <c r="N58" s="54">
        <v>0</v>
      </c>
      <c r="O58" s="56">
        <f>N58/C58</f>
        <v>0</v>
      </c>
      <c r="P58" s="57">
        <f>(Boosters_IOS!B58*100)/Boosters_IOS!N58</f>
        <v>0</v>
      </c>
      <c r="Q58" s="57">
        <f>Boosters_IOS!B58/(C58+D58)</f>
        <v>0</v>
      </c>
      <c r="R58" s="57">
        <f>Boosters_IOS!N58/B58</f>
        <v>2.31316725978648</v>
      </c>
      <c r="S58" s="54">
        <v>6.27402135231316</v>
      </c>
      <c r="T58" s="54">
        <v>0.281138790035587</v>
      </c>
      <c r="U58" s="58">
        <v>739.259786476868</v>
      </c>
      <c r="V58" s="54">
        <v>237935</v>
      </c>
    </row>
    <row r="59" spans="1:22" s="168" customFormat="1" ht="22.500000" customHeight="1">
      <c r="A59" s="34">
        <v>57</v>
      </c>
      <c r="B59" s="49">
        <v>279</v>
      </c>
      <c r="C59" s="49">
        <v>279</v>
      </c>
      <c r="D59" s="49">
        <v>0</v>
      </c>
      <c r="E59" s="49">
        <v>0</v>
      </c>
      <c r="F59" s="50">
        <f>(C59*100)/B59</f>
        <v>100</v>
      </c>
      <c r="G59" s="156">
        <f>(D59*100)/B59</f>
        <v>0</v>
      </c>
      <c r="H59" s="152">
        <f>((B59-B60)/B59)*100</f>
        <v>2.1505376344086</v>
      </c>
      <c r="I59" s="52">
        <f>((B59-C59)/B59)*100</f>
        <v>0</v>
      </c>
      <c r="J59" s="52">
        <f>((C59-B60)/C59)*100</f>
        <v>2.1505376344086</v>
      </c>
      <c r="K59" s="161">
        <f>100-(((C3-C60)/C3)*100)</f>
        <v>33.9152119700748</v>
      </c>
      <c r="L59" s="54">
        <v>1.02150537634408</v>
      </c>
      <c r="M59" s="117" t="s">
        <v>28</v>
      </c>
      <c r="N59" s="54">
        <v>0</v>
      </c>
      <c r="O59" s="56">
        <f>N59/C59</f>
        <v>0</v>
      </c>
      <c r="P59" s="57">
        <f>(Boosters_IOS!B59*100)/Boosters_IOS!N59</f>
        <v>0.305343511450382</v>
      </c>
      <c r="Q59" s="57">
        <f>Boosters_IOS!B59/(C59+D59)</f>
        <v>0.00716845878136201</v>
      </c>
      <c r="R59" s="57">
        <f>Boosters_IOS!N59/B59</f>
        <v>2.34767025089606</v>
      </c>
      <c r="S59" s="54">
        <v>5.14695340501792</v>
      </c>
      <c r="T59" s="54">
        <v>0.268817204301075</v>
      </c>
      <c r="U59" s="58">
        <v>777.749103942652</v>
      </c>
      <c r="V59" s="54">
        <v>253420</v>
      </c>
    </row>
    <row r="60" spans="1:22" s="168" customFormat="1" ht="22.500000" customHeight="1">
      <c r="A60" s="34">
        <v>58</v>
      </c>
      <c r="B60" s="49">
        <v>273</v>
      </c>
      <c r="C60" s="49">
        <v>272</v>
      </c>
      <c r="D60" s="49">
        <v>28</v>
      </c>
      <c r="E60" s="49">
        <v>12</v>
      </c>
      <c r="F60" s="50">
        <f>(C60*100)/B60</f>
        <v>99.6336996336996</v>
      </c>
      <c r="G60" s="156">
        <f>(D60*100)/B60</f>
        <v>10.2564102564103</v>
      </c>
      <c r="H60" s="152">
        <f>((B60-B61)/B60)*100</f>
        <v>-2.93040293040293</v>
      </c>
      <c r="I60" s="52">
        <f>((B60-C60)/B60)*100</f>
        <v>0.366300366300366</v>
      </c>
      <c r="J60" s="52">
        <f>((C60-B61)/C60)*100</f>
        <v>-3.30882352941177</v>
      </c>
      <c r="K60" s="161">
        <f>100-(((C3-C61)/C3)*100)</f>
        <v>33.9152119700748</v>
      </c>
      <c r="L60" s="54">
        <v>1.04411764705882</v>
      </c>
      <c r="M60" s="125" t="s">
        <v>28</v>
      </c>
      <c r="N60" s="54">
        <v>0</v>
      </c>
      <c r="O60" s="56">
        <f>N60/C60</f>
        <v>0</v>
      </c>
      <c r="P60" s="57">
        <f>(Boosters_IOS!B60*100)/Boosters_IOS!N60</f>
        <v>0.664550188054247</v>
      </c>
      <c r="Q60" s="57">
        <f>Boosters_IOS!B60/(C60+D60)</f>
        <v>0.0166666666666667</v>
      </c>
      <c r="R60" s="57">
        <f>Boosters_IOS!N60/B60</f>
        <v>2.75600227706553</v>
      </c>
      <c r="S60" s="54">
        <v>3.70588235294117</v>
      </c>
      <c r="T60" s="54">
        <v>0.275735294117647</v>
      </c>
      <c r="U60" s="58">
        <v>800.522058823529</v>
      </c>
      <c r="V60" s="54">
        <v>260280</v>
      </c>
    </row>
    <row r="61" spans="1:22" s="168" customFormat="1" ht="22.500000" customHeight="1">
      <c r="A61" s="34">
        <v>59</v>
      </c>
      <c r="B61" s="49">
        <v>281</v>
      </c>
      <c r="C61" s="49">
        <v>272</v>
      </c>
      <c r="D61" s="49">
        <v>141</v>
      </c>
      <c r="E61" s="49">
        <v>100</v>
      </c>
      <c r="F61" s="50">
        <f>(C61*100)/B61</f>
        <v>96.797153024911</v>
      </c>
      <c r="G61" s="156">
        <f>(D61*100)/B61</f>
        <v>50.1779359430605</v>
      </c>
      <c r="H61" s="152">
        <f>((B61-B62)/B61)*100</f>
        <v>3.20284697508897</v>
      </c>
      <c r="I61" s="52">
        <f>((B61-C61)/B61)*100</f>
        <v>3.20284697508897</v>
      </c>
      <c r="J61" s="52">
        <f>((C61-B62)/C61)*100</f>
        <v>0</v>
      </c>
      <c r="K61" s="161">
        <f>100-(((C3-C62)/C3)*100)</f>
        <v>33.4164588528678</v>
      </c>
      <c r="L61" s="54">
        <v>1.43014705882352</v>
      </c>
      <c r="M61" s="117" t="s">
        <v>28</v>
      </c>
      <c r="N61" s="54">
        <v>2.98</v>
      </c>
      <c r="O61" s="56">
        <f>N61/C61</f>
        <v>0.0109558823529412</v>
      </c>
      <c r="P61" s="57">
        <f>(Boosters_IOS!B61*100)/Boosters_IOS!N61</f>
        <v>12.7726533231083</v>
      </c>
      <c r="Q61" s="57">
        <f>Boosters_IOS!B61/(C61+D61)</f>
        <v>0.389196968469756</v>
      </c>
      <c r="R61" s="57">
        <f>Boosters_IOS!N61/B61</f>
        <v>4.47849461031069</v>
      </c>
      <c r="S61" s="54">
        <v>5.23161764705882</v>
      </c>
      <c r="T61" s="54">
        <v>0.386029411764706</v>
      </c>
      <c r="U61" s="58">
        <v>789.180147058824</v>
      </c>
      <c r="V61" s="54">
        <v>227150</v>
      </c>
    </row>
    <row r="62" spans="1:22" s="168" customFormat="1" ht="22.500000" customHeight="1">
      <c r="A62" s="34">
        <v>60</v>
      </c>
      <c r="B62" s="49">
        <v>272</v>
      </c>
      <c r="C62" s="49">
        <v>268</v>
      </c>
      <c r="D62" s="49">
        <v>47</v>
      </c>
      <c r="E62" s="49">
        <v>24</v>
      </c>
      <c r="F62" s="50">
        <f>(C62*100)/B62</f>
        <v>98.5294117647059</v>
      </c>
      <c r="G62" s="156">
        <f>(D62*100)/B62</f>
        <v>17.2794117647059</v>
      </c>
      <c r="H62" s="152">
        <f>((B62-B63)/B62)*100</f>
        <v>-2.57352941176471</v>
      </c>
      <c r="I62" s="52">
        <f>((B62-C62)/B62)*100</f>
        <v>1.47058823529412</v>
      </c>
      <c r="J62" s="52">
        <f>((C62-B63)/C62)*100</f>
        <v>-4.1044776119403</v>
      </c>
      <c r="K62" s="161">
        <f>100-(((C3-C63)/C3)*100)</f>
        <v>32.2942643391521</v>
      </c>
      <c r="L62" s="54">
        <v>1.10447761194029</v>
      </c>
      <c r="M62" s="125" t="s">
        <v>28</v>
      </c>
      <c r="N62" s="54">
        <v>0</v>
      </c>
      <c r="O62" s="56">
        <f>N62/C62</f>
        <v>0</v>
      </c>
      <c r="P62" s="57">
        <f>(Boosters_IOS!B62*100)/Boosters_IOS!N62</f>
        <v>2.9559024486199</v>
      </c>
      <c r="Q62" s="57">
        <f>Boosters_IOS!B62/(C62+D62)</f>
        <v>0.0734298334055948</v>
      </c>
      <c r="R62" s="57">
        <f>Boosters_IOS!N62/B62</f>
        <v>2.87689555608746</v>
      </c>
      <c r="S62" s="54">
        <v>8.95522388059701</v>
      </c>
      <c r="T62" s="54">
        <v>0.302238805970149</v>
      </c>
      <c r="U62" s="58">
        <v>811.238805970149</v>
      </c>
      <c r="V62" s="54">
        <v>237170</v>
      </c>
    </row>
    <row r="63" spans="1:22" s="168" customFormat="1" ht="22.500000" customHeight="1">
      <c r="A63" s="34">
        <v>61</v>
      </c>
      <c r="B63" s="49">
        <v>279</v>
      </c>
      <c r="C63" s="49">
        <v>259</v>
      </c>
      <c r="D63" s="49">
        <v>135</v>
      </c>
      <c r="E63" s="49">
        <v>94</v>
      </c>
      <c r="F63" s="50">
        <f>(C63*100)/B63</f>
        <v>92.831541218638</v>
      </c>
      <c r="G63" s="156">
        <f>(D63*100)/B63</f>
        <v>48.3870967741936</v>
      </c>
      <c r="H63" s="152">
        <f>((B63-B64)/B63)*100</f>
        <v>3.9426523297491</v>
      </c>
      <c r="I63" s="52">
        <f>((B63-C63)/B63)*100</f>
        <v>7.16845878136201</v>
      </c>
      <c r="J63" s="52">
        <f>((C63-B64)/C63)*100</f>
        <v>-3.47490347490348</v>
      </c>
      <c r="K63" s="161">
        <f>100-(((C3-C64)/C3)*100)</f>
        <v>31.2967581047382</v>
      </c>
      <c r="L63" s="54">
        <v>1.45173745173745</v>
      </c>
      <c r="M63" s="126" t="s">
        <v>29</v>
      </c>
      <c r="N63" s="54">
        <v>15.4</v>
      </c>
      <c r="O63" s="56">
        <f>N63/C63</f>
        <v>0.0594594594594595</v>
      </c>
      <c r="P63" s="57">
        <f>(Boosters_IOS!B63*100)/Boosters_IOS!N63</f>
        <v>4.24144391583227</v>
      </c>
      <c r="Q63" s="57">
        <f>Boosters_IOS!B63/(C63+D63)</f>
        <v>0.127344105849902</v>
      </c>
      <c r="R63" s="57">
        <f>Boosters_IOS!N63/B63</f>
        <v>4.23991488309219</v>
      </c>
      <c r="S63" s="54">
        <v>7.53281853281853</v>
      </c>
      <c r="T63" s="54">
        <v>0.362934362934363</v>
      </c>
      <c r="U63" s="58">
        <v>832.073359073359</v>
      </c>
      <c r="V63" s="54">
        <v>221700</v>
      </c>
    </row>
    <row r="64" spans="1:22" s="168" customFormat="1" ht="22.500000" customHeight="1">
      <c r="A64" s="34">
        <v>62</v>
      </c>
      <c r="B64" s="49">
        <v>268</v>
      </c>
      <c r="C64" s="49">
        <v>251</v>
      </c>
      <c r="D64" s="49">
        <v>129</v>
      </c>
      <c r="E64" s="49">
        <v>78</v>
      </c>
      <c r="F64" s="50">
        <f>(C64*100)/B64</f>
        <v>93.6567164179105</v>
      </c>
      <c r="G64" s="156">
        <f>(D64*100)/B64</f>
        <v>48.134328358209</v>
      </c>
      <c r="H64" s="152">
        <f>((B64-B65)/B64)*100</f>
        <v>6.71641791044776</v>
      </c>
      <c r="I64" s="52">
        <f>((B64-C64)/B64)*100</f>
        <v>6.34328358208955</v>
      </c>
      <c r="J64" s="52">
        <f>((C64-B65)/C64)*100</f>
        <v>0.398406374501992</v>
      </c>
      <c r="K64" s="161">
        <f>100-(((C3-C65)/C3)*100)</f>
        <v>31.0473815461347</v>
      </c>
      <c r="L64" s="54">
        <v>1.34262948207171</v>
      </c>
      <c r="M64" s="128" t="s">
        <v>30</v>
      </c>
      <c r="N64" s="54">
        <v>13.14</v>
      </c>
      <c r="O64" s="56">
        <f>N64/C64</f>
        <v>0.0523505976095618</v>
      </c>
      <c r="P64" s="57">
        <f>(Boosters_IOS!B64*100)/Boosters_IOS!N64</f>
        <v>3.86796893795844</v>
      </c>
      <c r="Q64" s="57">
        <f>Boosters_IOS!B64/(C64+D64)</f>
        <v>0.103088362381214</v>
      </c>
      <c r="R64" s="57">
        <f>Boosters_IOS!N64/B64</f>
        <v>3.77898758773552</v>
      </c>
      <c r="S64" s="54">
        <v>4.70916334661354</v>
      </c>
      <c r="T64" s="54">
        <v>0.382470119521912</v>
      </c>
      <c r="U64" s="58">
        <v>843.414342629482</v>
      </c>
      <c r="V64" s="54">
        <v>211503</v>
      </c>
    </row>
    <row r="65" spans="1:22" s="168" customFormat="1" ht="22.500000" customHeight="1">
      <c r="A65" s="64">
        <v>63</v>
      </c>
      <c r="B65" s="49">
        <v>250</v>
      </c>
      <c r="C65" s="49">
        <v>249</v>
      </c>
      <c r="D65" s="49">
        <v>0</v>
      </c>
      <c r="E65" s="49">
        <v>1</v>
      </c>
      <c r="F65" s="50">
        <f>(C65*100)/B65</f>
        <v>99.6</v>
      </c>
      <c r="G65" s="156">
        <f>(D65*100)/B65</f>
        <v>0</v>
      </c>
      <c r="H65" s="152">
        <f>((B65-B66)/B65)*100</f>
        <v>-3.6</v>
      </c>
      <c r="I65" s="52">
        <f>((B65-C65)/B65)*100</f>
        <v>0.4</v>
      </c>
      <c r="J65" s="52">
        <f>((C65-B66)/C65)*100</f>
        <v>-4.01606425702811</v>
      </c>
      <c r="K65" s="161">
        <f>100-(((C3-C66)/C3)*100)</f>
        <v>31.5461346633416</v>
      </c>
      <c r="L65" s="54">
        <v>1.02008032128514</v>
      </c>
      <c r="M65" s="117" t="s">
        <v>28</v>
      </c>
      <c r="N65" s="54">
        <v>0</v>
      </c>
      <c r="O65" s="56">
        <f>N65/C65</f>
        <v>0</v>
      </c>
      <c r="P65" s="57">
        <f>(Boosters_IOS!B65*100)/Boosters_IOS!N65</f>
        <v>0.505902192242833</v>
      </c>
      <c r="Q65" s="57">
        <f>Boosters_IOS!B65/(C65+D65)</f>
        <v>0.0120481927710843</v>
      </c>
      <c r="R65" s="57">
        <f>Boosters_IOS!N65/B65</f>
        <v>2.372</v>
      </c>
      <c r="S65" s="54">
        <v>4.44578313253012</v>
      </c>
      <c r="T65" s="54">
        <v>0.253012048192771</v>
      </c>
      <c r="U65" s="58">
        <v>913.461847389558</v>
      </c>
      <c r="V65" s="54">
        <v>227038</v>
      </c>
    </row>
    <row r="66" spans="1:22" s="168" customFormat="1" ht="22.500000" customHeight="1">
      <c r="A66" s="64">
        <v>64</v>
      </c>
      <c r="B66" s="49">
        <v>259</v>
      </c>
      <c r="C66" s="49">
        <v>253</v>
      </c>
      <c r="D66" s="49">
        <v>79</v>
      </c>
      <c r="E66" s="49">
        <v>53</v>
      </c>
      <c r="F66" s="50">
        <f>(C66*100)/B66</f>
        <v>97.6833976833977</v>
      </c>
      <c r="G66" s="156">
        <f>(D66*100)/B66</f>
        <v>30.5019305019305</v>
      </c>
      <c r="H66" s="152">
        <f>((B66-B67)/B66)*100</f>
        <v>-44.7876447876448</v>
      </c>
      <c r="I66" s="52">
        <f>((B66-C66)/B66)*100</f>
        <v>2.31660231660232</v>
      </c>
      <c r="J66" s="52">
        <f>((C66-B67)/C66)*100</f>
        <v>-48.2213438735178</v>
      </c>
      <c r="K66" s="161">
        <f>100-(((C3-C67)/C3)*100)</f>
        <v>25.6857855361596</v>
      </c>
      <c r="L66" s="54">
        <v>1.2292490118577</v>
      </c>
      <c r="M66" s="125" t="s">
        <v>28</v>
      </c>
      <c r="N66" s="54">
        <v>2.49</v>
      </c>
      <c r="O66" s="56">
        <f>N66/C66</f>
        <v>0.00984189723320158</v>
      </c>
      <c r="P66" s="57">
        <f>(Boosters_IOS!B66*100)/Boosters_IOS!N66</f>
        <v>2.99460146133911</v>
      </c>
      <c r="Q66" s="57">
        <f>Boosters_IOS!B66/(C66+D66)</f>
        <v>0.0825035920731538</v>
      </c>
      <c r="R66" s="57">
        <f>Boosters_IOS!N66/B66</f>
        <v>3.5316051778177</v>
      </c>
      <c r="S66" s="54">
        <v>4.01581027667984</v>
      </c>
      <c r="T66" s="54">
        <v>0.312252964426877</v>
      </c>
      <c r="U66" s="58">
        <v>914.118577075099</v>
      </c>
      <c r="V66" s="54">
        <v>229978</v>
      </c>
    </row>
    <row r="67" spans="1:22" s="168" customFormat="1" ht="22.500000" customHeight="1">
      <c r="A67" s="76">
        <v>65</v>
      </c>
      <c r="B67" s="49">
        <v>375</v>
      </c>
      <c r="C67" s="49">
        <v>206</v>
      </c>
      <c r="D67" s="49">
        <v>367</v>
      </c>
      <c r="E67" s="49">
        <v>315</v>
      </c>
      <c r="F67" s="50">
        <f>(C67*100)/B67</f>
        <v>54.9333333333333</v>
      </c>
      <c r="G67" s="156">
        <f>(D67*100)/B67</f>
        <v>97.8666666666667</v>
      </c>
      <c r="H67" s="152">
        <f>((B67-B68)/B67)*100</f>
        <v>44.5333333333333</v>
      </c>
      <c r="I67" s="52">
        <f>((B67-C67)/B67)*100</f>
        <v>45.0666666666667</v>
      </c>
      <c r="J67" s="52">
        <f>((C67-B68)/C67)*100</f>
        <v>-0.970873786407767</v>
      </c>
      <c r="K67" s="161">
        <f>100-(((C3-C68)/C3)*100)</f>
        <v>25.9351620947631</v>
      </c>
      <c r="L67" s="54">
        <v>5.57281553398058</v>
      </c>
      <c r="M67" s="117" t="s">
        <v>28</v>
      </c>
      <c r="N67" s="54">
        <v>200.11</v>
      </c>
      <c r="O67" s="56">
        <f>N67/C67</f>
        <v>0.971407766990291</v>
      </c>
      <c r="P67" s="57">
        <f>(Boosters_IOS!B67*100)/Boosters_IOS!N67</f>
        <v>18.0184783464757</v>
      </c>
      <c r="Q67" s="57">
        <f>Boosters_IOS!B67/(C67+D67)</f>
        <v>1.70327550023634</v>
      </c>
      <c r="R67" s="57">
        <f>Boosters_IOS!N67/B67</f>
        <v>14.444088531317</v>
      </c>
      <c r="S67" s="54">
        <v>8.30582524271844</v>
      </c>
      <c r="T67" s="54">
        <v>1.20873786407767</v>
      </c>
      <c r="U67" s="58">
        <v>595.339805825243</v>
      </c>
      <c r="V67" s="54">
        <v>205718</v>
      </c>
    </row>
    <row r="68" spans="1:22" s="168" customFormat="1" ht="22.500000" customHeight="1">
      <c r="A68" s="34">
        <v>66</v>
      </c>
      <c r="B68" s="49">
        <v>208</v>
      </c>
      <c r="C68" s="49">
        <v>208</v>
      </c>
      <c r="D68" s="49">
        <v>3</v>
      </c>
      <c r="E68" s="49">
        <v>2</v>
      </c>
      <c r="F68" s="50">
        <f>(C68*100)/B68</f>
        <v>100</v>
      </c>
      <c r="G68" s="156">
        <f>(D68*100)/B68</f>
        <v>1.44230769230769</v>
      </c>
      <c r="H68" s="152">
        <f>((B68-B69)/B68)*100</f>
        <v>0.480769230769231</v>
      </c>
      <c r="I68" s="52">
        <f>((B68-C68)/B68)*100</f>
        <v>0</v>
      </c>
      <c r="J68" s="52">
        <f>((C68-B69)/C68)*100</f>
        <v>0.480769230769231</v>
      </c>
      <c r="K68" s="161">
        <f>100-(((C3-C69)/C3)*100)</f>
        <v>25.8104738154614</v>
      </c>
      <c r="L68" s="54">
        <v>1.02884615384615</v>
      </c>
      <c r="M68" s="125" t="s">
        <v>28</v>
      </c>
      <c r="N68" s="54">
        <v>0</v>
      </c>
      <c r="O68" s="56">
        <f>N68/C68</f>
        <v>0</v>
      </c>
      <c r="P68" s="57">
        <f>(Boosters_IOS!B68*100)/Boosters_IOS!N68</f>
        <v>0</v>
      </c>
      <c r="Q68" s="57">
        <f>Boosters_IOS!B68/(C68+D68)</f>
        <v>0</v>
      </c>
      <c r="R68" s="57">
        <f>Boosters_IOS!N68/B68</f>
        <v>2.57044224814333</v>
      </c>
      <c r="S68" s="54">
        <v>5.21153846153846</v>
      </c>
      <c r="T68" s="54">
        <v>0.254807692307692</v>
      </c>
      <c r="U68" s="58">
        <v>669.951923076923</v>
      </c>
      <c r="V68" s="54">
        <v>215968</v>
      </c>
    </row>
    <row r="69" spans="1:22" s="168" customFormat="1" ht="22.500000" customHeight="1">
      <c r="A69" s="34">
        <v>67</v>
      </c>
      <c r="B69" s="49">
        <v>207</v>
      </c>
      <c r="C69" s="49">
        <v>207</v>
      </c>
      <c r="D69" s="49">
        <v>34</v>
      </c>
      <c r="E69" s="49">
        <v>27</v>
      </c>
      <c r="F69" s="50">
        <f>(C69*100)/B69</f>
        <v>100</v>
      </c>
      <c r="G69" s="156">
        <f>(D69*100)/B69</f>
        <v>16.4251207729469</v>
      </c>
      <c r="H69" s="152">
        <f>((B69-B70)/B69)*100</f>
        <v>0</v>
      </c>
      <c r="I69" s="52">
        <f>((B69-C69)/B69)*100</f>
        <v>0</v>
      </c>
      <c r="J69" s="52">
        <f>((C69-B70)/C69)*100</f>
        <v>0</v>
      </c>
      <c r="K69" s="161">
        <f>100-(((C3-C70)/C3)*100)</f>
        <v>25.1870324189526</v>
      </c>
      <c r="L69" s="54">
        <v>1.10144927536231</v>
      </c>
      <c r="M69" s="117" t="s">
        <v>28</v>
      </c>
      <c r="N69" s="54">
        <v>0</v>
      </c>
      <c r="O69" s="56">
        <f>N69/C69</f>
        <v>0</v>
      </c>
      <c r="P69" s="57">
        <f>(Boosters_IOS!B69*100)/Boosters_IOS!N69</f>
        <v>6.25137126887914</v>
      </c>
      <c r="Q69" s="57">
        <f>Boosters_IOS!B69/(C69+D69)</f>
        <v>0.158217417106898</v>
      </c>
      <c r="R69" s="57">
        <f>Boosters_IOS!N69/B69</f>
        <v>2.94663060355349</v>
      </c>
      <c r="S69" s="54">
        <v>14.0289855072463</v>
      </c>
      <c r="T69" s="54">
        <v>0.347826086956522</v>
      </c>
      <c r="U69" s="58">
        <v>688.550724637681</v>
      </c>
      <c r="V69" s="54">
        <v>218808</v>
      </c>
    </row>
    <row r="70" spans="1:22" s="168" customFormat="1" ht="22.500000" customHeight="1">
      <c r="A70" s="64">
        <v>68</v>
      </c>
      <c r="B70" s="49">
        <v>207</v>
      </c>
      <c r="C70" s="49">
        <v>202</v>
      </c>
      <c r="D70" s="49">
        <v>53</v>
      </c>
      <c r="E70" s="49">
        <v>35</v>
      </c>
      <c r="F70" s="50">
        <f>(C70*100)/B70</f>
        <v>97.5845410628019</v>
      </c>
      <c r="G70" s="156">
        <f>(D70*100)/B70</f>
        <v>25.6038647342995</v>
      </c>
      <c r="H70" s="152">
        <f>((B70-B71)/B70)*100</f>
        <v>2.41545893719807</v>
      </c>
      <c r="I70" s="52">
        <f>((B70-C70)/B70)*100</f>
        <v>2.41545893719807</v>
      </c>
      <c r="J70" s="52">
        <f>((C70-B71)/C70)*100</f>
        <v>0</v>
      </c>
      <c r="K70" s="161">
        <f>100-(((C3-C71)/C3)*100)</f>
        <v>25.1870324189526</v>
      </c>
      <c r="L70" s="54">
        <v>1.14356435643564</v>
      </c>
      <c r="M70" s="125" t="s">
        <v>28</v>
      </c>
      <c r="N70" s="54">
        <v>0</v>
      </c>
      <c r="O70" s="56">
        <f>N70/C70</f>
        <v>0</v>
      </c>
      <c r="P70" s="57">
        <f>(Boosters_IOS!B70*100)/Boosters_IOS!N70</f>
        <v>1.3906735096303</v>
      </c>
      <c r="Q70" s="57">
        <f>Boosters_IOS!B70/(C70+D70)</f>
        <v>0.0352941176470588</v>
      </c>
      <c r="R70" s="57">
        <f>Boosters_IOS!N70/B70</f>
        <v>3.12641756447375</v>
      </c>
      <c r="S70" s="54">
        <v>6.98019801980198</v>
      </c>
      <c r="T70" s="54">
        <v>0.351485148514852</v>
      </c>
      <c r="U70" s="58">
        <v>717.079207920792</v>
      </c>
      <c r="V70" s="54">
        <v>218568</v>
      </c>
    </row>
    <row r="71" spans="1:22" s="168" customFormat="1" ht="22.500000" customHeight="1">
      <c r="A71" s="34">
        <v>69</v>
      </c>
      <c r="B71" s="49">
        <v>202</v>
      </c>
      <c r="C71" s="49">
        <v>202</v>
      </c>
      <c r="D71" s="49">
        <v>41</v>
      </c>
      <c r="E71" s="49">
        <v>28</v>
      </c>
      <c r="F71" s="50">
        <f>(C71*100)/B71</f>
        <v>100</v>
      </c>
      <c r="G71" s="156">
        <f>(D71*100)/B71</f>
        <v>20.2970297029703</v>
      </c>
      <c r="H71" s="152">
        <f>((B71-B72)/B71)*100</f>
        <v>-0.495049504950495</v>
      </c>
      <c r="I71" s="52">
        <f>((B71-C71)/B71)*100</f>
        <v>0</v>
      </c>
      <c r="J71" s="52">
        <f>((C71-B72)/C71)*100</f>
        <v>-0.495049504950495</v>
      </c>
      <c r="K71" s="161">
        <f>100-(((C3-C72)/C3)*100)</f>
        <v>25.3117206982544</v>
      </c>
      <c r="L71" s="54">
        <v>1.09900990099009</v>
      </c>
      <c r="M71" s="117" t="s">
        <v>28</v>
      </c>
      <c r="N71" s="54">
        <v>0</v>
      </c>
      <c r="O71" s="56">
        <f>N71/C71</f>
        <v>0</v>
      </c>
      <c r="P71" s="57">
        <f>(Boosters_IOS!B71*100)/Boosters_IOS!N71</f>
        <v>1.10026135874721</v>
      </c>
      <c r="Q71" s="57">
        <f>Boosters_IOS!B71/(C71+D71)</f>
        <v>0.0288065843621399</v>
      </c>
      <c r="R71" s="57">
        <f>Boosters_IOS!N71/B71</f>
        <v>3.14956669804273</v>
      </c>
      <c r="S71" s="54">
        <v>5.27722772277227</v>
      </c>
      <c r="T71" s="54">
        <v>0.371287128712871</v>
      </c>
      <c r="U71" s="58">
        <v>766.386138613861</v>
      </c>
      <c r="V71" s="54">
        <v>225345</v>
      </c>
    </row>
    <row r="72" spans="1:22" s="168" customFormat="1" ht="22.500000" customHeight="1">
      <c r="A72" s="34">
        <v>70</v>
      </c>
      <c r="B72" s="49">
        <v>203</v>
      </c>
      <c r="C72" s="49">
        <v>203</v>
      </c>
      <c r="D72" s="49">
        <v>16</v>
      </c>
      <c r="E72" s="49">
        <v>8</v>
      </c>
      <c r="F72" s="50">
        <f>(C72*100)/B72</f>
        <v>100</v>
      </c>
      <c r="G72" s="156">
        <f>(D72*100)/B72</f>
        <v>7.88177339901478</v>
      </c>
      <c r="H72" s="152">
        <f>((B72-B73)/B72)*100</f>
        <v>-2.95566502463054</v>
      </c>
      <c r="I72" s="52">
        <f>((B72-C72)/B72)*100</f>
        <v>0</v>
      </c>
      <c r="J72" s="52">
        <f>((C72-B73)/C72)*100</f>
        <v>-2.95566502463054</v>
      </c>
      <c r="K72" s="161">
        <f>100-(((C3-C73)/C3)*100)</f>
        <v>25.9351620947631</v>
      </c>
      <c r="L72" s="54">
        <v>1.05418719211822</v>
      </c>
      <c r="M72" s="125" t="s">
        <v>28</v>
      </c>
      <c r="N72" s="54">
        <v>0</v>
      </c>
      <c r="O72" s="56">
        <f>N72/C72</f>
        <v>0</v>
      </c>
      <c r="P72" s="57">
        <f>(Boosters_IOS!B72*100)/Boosters_IOS!N72</f>
        <v>0.41093483813644</v>
      </c>
      <c r="Q72" s="57">
        <f>Boosters_IOS!B72/(C72+D72)</f>
        <v>0.0091324200913242</v>
      </c>
      <c r="R72" s="57">
        <f>Boosters_IOS!N72/B72</f>
        <v>2.39751314185178</v>
      </c>
      <c r="S72" s="54">
        <v>5.41871921182266</v>
      </c>
      <c r="T72" s="54">
        <v>0.280788177339902</v>
      </c>
      <c r="U72" s="58">
        <v>815.886699507389</v>
      </c>
      <c r="V72" s="54">
        <v>235580</v>
      </c>
    </row>
    <row r="73" spans="1:22" s="168" customFormat="1" ht="22.500000" customHeight="1">
      <c r="A73" s="34">
        <v>71</v>
      </c>
      <c r="B73" s="49">
        <v>209</v>
      </c>
      <c r="C73" s="49">
        <v>208</v>
      </c>
      <c r="D73" s="49">
        <v>20</v>
      </c>
      <c r="E73" s="49">
        <v>22</v>
      </c>
      <c r="F73" s="50">
        <f>(C73*100)/B73</f>
        <v>99.5215311004785</v>
      </c>
      <c r="G73" s="156">
        <f>(D73*100)/B73</f>
        <v>9.56937799043062</v>
      </c>
      <c r="H73" s="152">
        <f>((B73-B74)/B73)*100</f>
        <v>-0.478468899521531</v>
      </c>
      <c r="I73" s="52">
        <f>((B73-C73)/B73)*100</f>
        <v>0.478468899521531</v>
      </c>
      <c r="J73" s="52">
        <f>((C73-B74)/C73)*100</f>
        <v>-0.961538461538462</v>
      </c>
      <c r="K73" s="161">
        <f>100-(((C3-C74)/C3)*100)</f>
        <v>26.0598503740648</v>
      </c>
      <c r="L73" s="54">
        <v>1.06730769230769</v>
      </c>
      <c r="M73" s="117" t="s">
        <v>28</v>
      </c>
      <c r="N73" s="54">
        <v>0</v>
      </c>
      <c r="O73" s="56">
        <f>N73/C73</f>
        <v>0</v>
      </c>
      <c r="P73" s="57">
        <f>(Boosters_IOS!B73*100)/Boosters_IOS!N73</f>
        <v>3.12575909677746</v>
      </c>
      <c r="Q73" s="57">
        <f>Boosters_IOS!B73/(C73+D73)</f>
        <v>0.0745614035087719</v>
      </c>
      <c r="R73" s="57">
        <f>Boosters_IOS!N73/B73</f>
        <v>2.60223870107323</v>
      </c>
      <c r="S73" s="54">
        <v>6.95673076923076</v>
      </c>
      <c r="T73" s="54">
        <v>0.293269230769231</v>
      </c>
      <c r="U73" s="58">
        <v>850.216346153846</v>
      </c>
      <c r="V73" s="54">
        <v>235840</v>
      </c>
    </row>
    <row r="74" spans="1:22" s="168" customFormat="1" ht="22.500000" customHeight="1">
      <c r="A74" s="34">
        <v>72</v>
      </c>
      <c r="B74" s="49">
        <v>210</v>
      </c>
      <c r="C74" s="49">
        <v>209</v>
      </c>
      <c r="D74" s="49">
        <v>2</v>
      </c>
      <c r="E74" s="49">
        <v>2</v>
      </c>
      <c r="F74" s="50">
        <f>(C74*100)/B74</f>
        <v>99.5238095238095</v>
      </c>
      <c r="G74" s="156">
        <f>(D74*100)/B74</f>
        <v>0.952380952380952</v>
      </c>
      <c r="H74" s="152">
        <f>((B74-B75)/B74)*100</f>
        <v>-0.952380952380953</v>
      </c>
      <c r="I74" s="52">
        <f>((B74-C74)/B74)*100</f>
        <v>0.476190476190476</v>
      </c>
      <c r="J74" s="52">
        <f>((C74-B75)/C74)*100</f>
        <v>-1.43540669856459</v>
      </c>
      <c r="K74" s="161">
        <f>100-(((C3-C75)/C3)*100)</f>
        <v>25.8104738154614</v>
      </c>
      <c r="L74" s="54">
        <v>1.01913875598086</v>
      </c>
      <c r="M74" s="125" t="s">
        <v>28</v>
      </c>
      <c r="N74" s="54">
        <v>0</v>
      </c>
      <c r="O74" s="56">
        <f>N74/C74</f>
        <v>0</v>
      </c>
      <c r="P74" s="57">
        <f>(Boosters_IOS!B74*100)/Boosters_IOS!N74</f>
        <v>5.19819541833973</v>
      </c>
      <c r="Q74" s="57">
        <f>Boosters_IOS!B74/(C74+D74)</f>
        <v>0.123222748815166</v>
      </c>
      <c r="R74" s="57">
        <f>Boosters_IOS!N74/B74</f>
        <v>2.38177894145172</v>
      </c>
      <c r="S74" s="54">
        <v>7.78947368421052</v>
      </c>
      <c r="T74" s="54">
        <v>0.291866028708134</v>
      </c>
      <c r="U74" s="58">
        <v>924.282296650718</v>
      </c>
      <c r="V74" s="54">
        <v>247780</v>
      </c>
    </row>
    <row r="75" spans="1:22" s="168" customFormat="1" ht="22.500000" customHeight="1">
      <c r="A75" s="34">
        <v>73</v>
      </c>
      <c r="B75" s="49">
        <v>212</v>
      </c>
      <c r="C75" s="49">
        <v>207</v>
      </c>
      <c r="D75" s="49">
        <v>87</v>
      </c>
      <c r="E75" s="49">
        <v>45</v>
      </c>
      <c r="F75" s="50">
        <f>(C75*100)/B75</f>
        <v>97.6415094339623</v>
      </c>
      <c r="G75" s="156">
        <f>(D75*100)/B75</f>
        <v>41.0377358490566</v>
      </c>
      <c r="H75" s="152">
        <f>((B75-B76)/B75)*100</f>
        <v>1.88679245283019</v>
      </c>
      <c r="I75" s="52">
        <f>((B75-C75)/B75)*100</f>
        <v>2.35849056603774</v>
      </c>
      <c r="J75" s="52">
        <f>((C75-B76)/C75)*100</f>
        <v>-0.483091787439614</v>
      </c>
      <c r="K75" s="161">
        <f>100-(((C3-C76)/C3)*100)</f>
        <v>25.9351620947631</v>
      </c>
      <c r="L75" s="54">
        <v>1.15458937198067</v>
      </c>
      <c r="M75" s="117" t="s">
        <v>28</v>
      </c>
      <c r="N75" s="54">
        <v>11.99</v>
      </c>
      <c r="O75" s="56">
        <f>N75/C75</f>
        <v>0.0579227053140097</v>
      </c>
      <c r="P75" s="57">
        <f>(Boosters_IOS!B75*100)/Boosters_IOS!N75</f>
        <v>4.44677292241409</v>
      </c>
      <c r="Q75" s="57">
        <f>Boosters_IOS!B75/(C75+D75)</f>
        <v>0.133243461581161</v>
      </c>
      <c r="R75" s="57">
        <f>Boosters_IOS!N75/B75</f>
        <v>4.15539606212695</v>
      </c>
      <c r="S75" s="54">
        <v>4.14009661835748</v>
      </c>
      <c r="T75" s="54">
        <v>0.371980676328502</v>
      </c>
      <c r="U75" s="58">
        <v>868.574879227053</v>
      </c>
      <c r="V75" s="54">
        <v>223080</v>
      </c>
    </row>
    <row r="76" spans="1:22" s="168" customFormat="1" ht="22.500000" customHeight="1">
      <c r="A76" s="64">
        <v>74</v>
      </c>
      <c r="B76" s="49">
        <v>208</v>
      </c>
      <c r="C76" s="49">
        <v>208</v>
      </c>
      <c r="D76" s="49">
        <v>12</v>
      </c>
      <c r="E76" s="49">
        <v>9</v>
      </c>
      <c r="F76" s="50">
        <f>(C76*100)/B76</f>
        <v>100</v>
      </c>
      <c r="G76" s="156">
        <f>(D76*100)/B76</f>
        <v>5.76923076923077</v>
      </c>
      <c r="H76" s="152">
        <f>((B76-B77)/B76)*100</f>
        <v>-27.4038461538462</v>
      </c>
      <c r="I76" s="52">
        <f>((B76-C76)/B76)*100</f>
        <v>0</v>
      </c>
      <c r="J76" s="52">
        <f>((C76-B77)/C76)*100</f>
        <v>-27.4038461538462</v>
      </c>
      <c r="K76" s="161">
        <f>100-(((C3-C77)/C3)*100)</f>
        <v>22.9426433915212</v>
      </c>
      <c r="L76" s="54">
        <v>1.05288461538461</v>
      </c>
      <c r="M76" s="125" t="s">
        <v>28</v>
      </c>
      <c r="N76" s="54">
        <v>6.26</v>
      </c>
      <c r="O76" s="56">
        <f>N76/C76</f>
        <v>0.0300961538461538</v>
      </c>
      <c r="P76" s="57">
        <f>(Boosters_IOS!B76*100)/Boosters_IOS!N76</f>
        <v>0.522847866905546</v>
      </c>
      <c r="Q76" s="57">
        <f>Boosters_IOS!B76/(C76+D76)</f>
        <v>0.0136363636363636</v>
      </c>
      <c r="R76" s="57">
        <f>Boosters_IOS!N76/B76</f>
        <v>2.75856091915213</v>
      </c>
      <c r="S76" s="54">
        <v>3.63942307692307</v>
      </c>
      <c r="T76" s="54">
        <v>0.288461538461538</v>
      </c>
      <c r="U76" s="58">
        <v>923.725961538462</v>
      </c>
      <c r="V76" s="54">
        <v>229725</v>
      </c>
    </row>
    <row r="77" spans="1:22" s="168" customFormat="1" ht="22.500000" customHeight="1">
      <c r="A77" s="76">
        <v>75</v>
      </c>
      <c r="B77" s="49">
        <v>265</v>
      </c>
      <c r="C77" s="49">
        <v>184</v>
      </c>
      <c r="D77" s="49">
        <v>259</v>
      </c>
      <c r="E77" s="49">
        <v>183</v>
      </c>
      <c r="F77" s="50">
        <f>(C77*100)/B77</f>
        <v>69.433962264151</v>
      </c>
      <c r="G77" s="156">
        <f>(D77*100)/B77</f>
        <v>97.7358490566038</v>
      </c>
      <c r="H77" s="152">
        <f>((B77-B78)/B77)*100</f>
        <v>30.5660377358491</v>
      </c>
      <c r="I77" s="52">
        <f>((B77-C77)/B77)*100</f>
        <v>30.5660377358491</v>
      </c>
      <c r="J77" s="52">
        <f>((C77-B78)/C77)*100</f>
        <v>0</v>
      </c>
      <c r="K77" s="161">
        <f>100-(((C3-C78)/C3)*100)</f>
        <v>22.9426433915212</v>
      </c>
      <c r="L77" s="54">
        <v>2.65217391304347</v>
      </c>
      <c r="M77" s="117" t="s">
        <v>28</v>
      </c>
      <c r="N77" s="54">
        <v>65.92</v>
      </c>
      <c r="O77" s="56">
        <f>N77/C77</f>
        <v>0.358260869565217</v>
      </c>
      <c r="P77" s="57">
        <f>(Boosters_IOS!B77*100)/Boosters_IOS!N77</f>
        <v>16.6757284013422</v>
      </c>
      <c r="Q77" s="57">
        <f>Boosters_IOS!B77/(C77+D77)</f>
        <v>1.08928391106688</v>
      </c>
      <c r="R77" s="57">
        <f>Boosters_IOS!N77/B77</f>
        <v>10.9197860210488</v>
      </c>
      <c r="S77" s="54">
        <v>7.72282608695652</v>
      </c>
      <c r="T77" s="54">
        <v>1.02173913043478</v>
      </c>
      <c r="U77" s="58">
        <v>514.565217391304</v>
      </c>
      <c r="V77" s="54">
        <v>204165</v>
      </c>
    </row>
    <row r="78" spans="1:22" s="168" customFormat="1" ht="22.500000" customHeight="1">
      <c r="A78" s="64">
        <v>76</v>
      </c>
      <c r="B78" s="49">
        <v>184</v>
      </c>
      <c r="C78" s="49">
        <v>184</v>
      </c>
      <c r="D78" s="49">
        <v>0</v>
      </c>
      <c r="E78" s="49">
        <v>0</v>
      </c>
      <c r="F78" s="50">
        <f>(C78*100)/B78</f>
        <v>100</v>
      </c>
      <c r="G78" s="156">
        <f>(D78*100)/B78</f>
        <v>0</v>
      </c>
      <c r="H78" s="152">
        <f>((B78-B79)/B78)*100</f>
        <v>4.89130434782609</v>
      </c>
      <c r="I78" s="52">
        <f>((B78-C78)/B78)*100</f>
        <v>0</v>
      </c>
      <c r="J78" s="52">
        <f>((C78-B79)/C78)*100</f>
        <v>4.89130434782609</v>
      </c>
      <c r="K78" s="161">
        <f>100-(((C3-C79)/C3)*100)</f>
        <v>21.6957605985037</v>
      </c>
      <c r="L78" s="54">
        <v>1.01630434782608</v>
      </c>
      <c r="M78" s="125" t="s">
        <v>28</v>
      </c>
      <c r="N78" s="54">
        <v>0</v>
      </c>
      <c r="O78" s="56">
        <f>N78/C78</f>
        <v>0</v>
      </c>
      <c r="P78" s="57">
        <f>(Boosters_IOS!B78*100)/Boosters_IOS!N78</f>
        <v>0</v>
      </c>
      <c r="Q78" s="57">
        <f>Boosters_IOS!B78/(C78+D78)</f>
        <v>0</v>
      </c>
      <c r="R78" s="57">
        <f>Boosters_IOS!N78/B78</f>
        <v>2.26630434782609</v>
      </c>
      <c r="S78" s="54">
        <v>8.03260869565217</v>
      </c>
      <c r="T78" s="54">
        <v>0.277173913043478</v>
      </c>
      <c r="U78" s="58">
        <v>583.66847826087</v>
      </c>
      <c r="V78" s="54">
        <v>217130</v>
      </c>
    </row>
    <row r="79" spans="1:22" s="168" customFormat="1" ht="22.500000" customHeight="1">
      <c r="A79" s="64">
        <v>77</v>
      </c>
      <c r="B79" s="49">
        <v>175</v>
      </c>
      <c r="C79" s="49">
        <v>174</v>
      </c>
      <c r="D79" s="49">
        <v>7</v>
      </c>
      <c r="E79" s="49">
        <v>4</v>
      </c>
      <c r="F79" s="50">
        <f>(C79*100)/B79</f>
        <v>99.4285714285714</v>
      </c>
      <c r="G79" s="156">
        <f>(D79*100)/B79</f>
        <v>4</v>
      </c>
      <c r="H79" s="152">
        <f>((B79-B80)/B79)*100</f>
        <v>-1.71428571428571</v>
      </c>
      <c r="I79" s="52">
        <f>((B79-C79)/B79)*100</f>
        <v>0.571428571428571</v>
      </c>
      <c r="J79" s="52">
        <f>((C79-B80)/C79)*100</f>
        <v>-2.29885057471264</v>
      </c>
      <c r="K79" s="161">
        <f>100-(((C3-C80)/C3)*100)</f>
        <v>22.1945137157107</v>
      </c>
      <c r="L79" s="54">
        <v>1.03448275862068</v>
      </c>
      <c r="M79" s="117" t="s">
        <v>28</v>
      </c>
      <c r="N79" s="54">
        <v>0</v>
      </c>
      <c r="O79" s="56">
        <f>N79/C79</f>
        <v>0</v>
      </c>
      <c r="P79" s="57">
        <f>(Boosters_IOS!B79*100)/Boosters_IOS!N79</f>
        <v>0.263037743453157</v>
      </c>
      <c r="Q79" s="57">
        <f>Boosters_IOS!B79/(C79+D79)</f>
        <v>0.00552486187845304</v>
      </c>
      <c r="R79" s="57">
        <f>Boosters_IOS!N79/B79</f>
        <v>2.17242044402778</v>
      </c>
      <c r="S79" s="54">
        <v>5.06896551724137</v>
      </c>
      <c r="T79" s="54">
        <v>0.298850574712644</v>
      </c>
      <c r="U79" s="58">
        <v>656.235632183908</v>
      </c>
      <c r="V79" s="54">
        <v>226400</v>
      </c>
    </row>
    <row r="80" spans="1:22" s="168" customFormat="1" ht="22.500000" customHeight="1">
      <c r="A80" s="64">
        <v>78</v>
      </c>
      <c r="B80" s="49">
        <v>178</v>
      </c>
      <c r="C80" s="49">
        <v>178</v>
      </c>
      <c r="D80" s="49">
        <v>5</v>
      </c>
      <c r="E80" s="49">
        <v>4</v>
      </c>
      <c r="F80" s="50">
        <f>(C80*100)/B80</f>
        <v>100</v>
      </c>
      <c r="G80" s="156">
        <f>(D80*100)/B80</f>
        <v>2.80898876404494</v>
      </c>
      <c r="H80" s="152">
        <f>((B80-B81)/B80)*100</f>
        <v>-1.68539325842697</v>
      </c>
      <c r="I80" s="52">
        <f>((B80-C80)/B80)*100</f>
        <v>0</v>
      </c>
      <c r="J80" s="52">
        <f>((C80-B81)/C80)*100</f>
        <v>-1.68539325842697</v>
      </c>
      <c r="K80" s="161">
        <f>100-(((C3-C81)/C3)*100)</f>
        <v>22.069825436409</v>
      </c>
      <c r="L80" s="54">
        <v>1.03370786516853</v>
      </c>
      <c r="M80" s="125" t="s">
        <v>28</v>
      </c>
      <c r="N80" s="54">
        <v>0</v>
      </c>
      <c r="O80" s="56">
        <f>N80/C80</f>
        <v>0</v>
      </c>
      <c r="P80" s="57">
        <f>(Boosters_IOS!B80*100)/Boosters_IOS!N80</f>
        <v>0</v>
      </c>
      <c r="Q80" s="57">
        <f>Boosters_IOS!B80/(C80+D80)</f>
        <v>0</v>
      </c>
      <c r="R80" s="57">
        <f>Boosters_IOS!N80/B80</f>
        <v>2.28456172816748</v>
      </c>
      <c r="S80" s="54">
        <v>3.37078651685393</v>
      </c>
      <c r="T80" s="54">
        <v>0.252808988764045</v>
      </c>
      <c r="U80" s="58">
        <v>715.449438202247</v>
      </c>
      <c r="V80" s="54">
        <v>240625</v>
      </c>
    </row>
    <row r="81" spans="1:22" s="168" customFormat="1" ht="22.500000" customHeight="1">
      <c r="A81" s="64">
        <v>79</v>
      </c>
      <c r="B81" s="49">
        <v>181</v>
      </c>
      <c r="C81" s="49">
        <v>177</v>
      </c>
      <c r="D81" s="49">
        <v>60</v>
      </c>
      <c r="E81" s="49">
        <v>39</v>
      </c>
      <c r="F81" s="50">
        <f>(C81*100)/B81</f>
        <v>97.7900552486188</v>
      </c>
      <c r="G81" s="156">
        <f>(D81*100)/B81</f>
        <v>33.1491712707182</v>
      </c>
      <c r="H81" s="152">
        <f>((B81-B82)/B81)*100</f>
        <v>-23.2044198895028</v>
      </c>
      <c r="I81" s="52">
        <f>((B81-C81)/B81)*100</f>
        <v>2.20994475138122</v>
      </c>
      <c r="J81" s="52">
        <f>((C81-B82)/C81)*100</f>
        <v>-25.9887005649718</v>
      </c>
      <c r="K81" s="161">
        <f>100-(((C3-C82)/C3)*100)</f>
        <v>21.3216957605985</v>
      </c>
      <c r="L81" s="54">
        <v>1.23163841807909</v>
      </c>
      <c r="M81" s="117" t="s">
        <v>28</v>
      </c>
      <c r="N81" s="54">
        <v>11</v>
      </c>
      <c r="O81" s="56">
        <f>N81/C81</f>
        <v>0.0621468926553672</v>
      </c>
      <c r="P81" s="57">
        <f>(Boosters_IOS!B81*100)/Boosters_IOS!N81</f>
        <v>1.61098334680226</v>
      </c>
      <c r="Q81" s="57">
        <f>Boosters_IOS!B81/(C81+D81)</f>
        <v>0.0517333124283743</v>
      </c>
      <c r="R81" s="57">
        <f>Boosters_IOS!N81/B81</f>
        <v>4.20483546779084</v>
      </c>
      <c r="S81" s="54">
        <v>3.66101694915254</v>
      </c>
      <c r="T81" s="54">
        <v>0.327683615819209</v>
      </c>
      <c r="U81" s="58">
        <v>745.028248587571</v>
      </c>
      <c r="V81" s="54">
        <v>228950</v>
      </c>
    </row>
    <row r="82" spans="1:22" s="168" customFormat="1" ht="22.500000" customHeight="1">
      <c r="A82" s="34">
        <v>80</v>
      </c>
      <c r="B82" s="49">
        <v>223</v>
      </c>
      <c r="C82" s="49">
        <v>171</v>
      </c>
      <c r="D82" s="49">
        <v>193</v>
      </c>
      <c r="E82" s="49">
        <v>151</v>
      </c>
      <c r="F82" s="50">
        <f>(C82*100)/B82</f>
        <v>76.6816143497758</v>
      </c>
      <c r="G82" s="156">
        <f>(D82*100)/B82</f>
        <v>86.5470852017937</v>
      </c>
      <c r="H82" s="152">
        <f>((B82-B83)/B82)*100</f>
        <v>19.7309417040359</v>
      </c>
      <c r="I82" s="52">
        <f>((B82-C82)/B82)*100</f>
        <v>23.3183856502242</v>
      </c>
      <c r="J82" s="52">
        <f>((C82-B83)/C82)*100</f>
        <v>-4.67836257309942</v>
      </c>
      <c r="K82" s="161">
        <f>100-(((C3-C83)/C3)*100)</f>
        <v>20.573566084788</v>
      </c>
      <c r="L82" s="54">
        <v>2.83625730994152</v>
      </c>
      <c r="M82" s="125" t="s">
        <v>28</v>
      </c>
      <c r="N82" s="54">
        <v>28.77</v>
      </c>
      <c r="O82" s="56">
        <f>N82/C82</f>
        <v>0.168245614035088</v>
      </c>
      <c r="P82" s="57">
        <f>(Boosters_IOS!B82*100)/Boosters_IOS!N82</f>
        <v>11.4716002876482</v>
      </c>
      <c r="Q82" s="57">
        <f>Boosters_IOS!B82/(C82+D82)</f>
        <v>0.535707222721435</v>
      </c>
      <c r="R82" s="57">
        <f>Boosters_IOS!N82/B82</f>
        <v>7.62254533914983</v>
      </c>
      <c r="S82" s="54">
        <v>6.36842105263157</v>
      </c>
      <c r="T82" s="54">
        <v>0.654970760233918</v>
      </c>
      <c r="U82" s="58">
        <v>698.040935672515</v>
      </c>
      <c r="V82" s="54">
        <v>171650</v>
      </c>
    </row>
    <row r="83" spans="1:22" s="168" customFormat="1" ht="22.500000" customHeight="1">
      <c r="A83" s="34">
        <v>81</v>
      </c>
      <c r="B83" s="49">
        <v>179</v>
      </c>
      <c r="C83" s="49">
        <v>165</v>
      </c>
      <c r="D83" s="49">
        <v>93</v>
      </c>
      <c r="E83" s="49">
        <v>61</v>
      </c>
      <c r="F83" s="50">
        <f>(C83*100)/B83</f>
        <v>92.1787709497207</v>
      </c>
      <c r="G83" s="156">
        <f>(D83*100)/B83</f>
        <v>51.9553072625698</v>
      </c>
      <c r="H83" s="152">
        <f>((B83-B84)/B83)*100</f>
        <v>7.82122905027933</v>
      </c>
      <c r="I83" s="52">
        <f>((B83-C83)/B83)*100</f>
        <v>7.82122905027933</v>
      </c>
      <c r="J83" s="52">
        <f>((C83-B84)/C83)*100</f>
        <v>0</v>
      </c>
      <c r="K83" s="161">
        <f>100-(((C3-C84)/C3)*100)</f>
        <v>20.1995012468828</v>
      </c>
      <c r="L83" s="54">
        <v>1.3090909090909</v>
      </c>
      <c r="M83" s="117" t="s">
        <v>28</v>
      </c>
      <c r="N83" s="54">
        <v>0</v>
      </c>
      <c r="O83" s="56">
        <f>N83/C83</f>
        <v>0</v>
      </c>
      <c r="P83" s="57">
        <f>(Boosters_IOS!B83*100)/Boosters_IOS!N83</f>
        <v>6.58916376726303</v>
      </c>
      <c r="Q83" s="57">
        <f>Boosters_IOS!B83/(C83+D83)</f>
        <v>0.181327074172768</v>
      </c>
      <c r="R83" s="57">
        <f>Boosters_IOS!N83/B83</f>
        <v>3.96642299599112</v>
      </c>
      <c r="S83" s="54">
        <v>3.75757575757575</v>
      </c>
      <c r="T83" s="54">
        <v>0.418181818181818</v>
      </c>
      <c r="U83" s="58">
        <v>682.030303030303</v>
      </c>
      <c r="V83" s="54">
        <v>158030</v>
      </c>
    </row>
    <row r="84" spans="1:22" s="168" customFormat="1" ht="22.500000" customHeight="1">
      <c r="A84" s="34">
        <v>82</v>
      </c>
      <c r="B84" s="49">
        <v>165</v>
      </c>
      <c r="C84" s="49">
        <v>162</v>
      </c>
      <c r="D84" s="49">
        <v>38</v>
      </c>
      <c r="E84" s="49">
        <v>29</v>
      </c>
      <c r="F84" s="50">
        <f>(C84*100)/B84</f>
        <v>98.1818181818182</v>
      </c>
      <c r="G84" s="156">
        <f>(D84*100)/B84</f>
        <v>23.030303030303</v>
      </c>
      <c r="H84" s="152">
        <f>((B84-B85)/B84)*100</f>
        <v>-0.606060606060606</v>
      </c>
      <c r="I84" s="52">
        <f>((B84-C84)/B84)*100</f>
        <v>1.81818181818182</v>
      </c>
      <c r="J84" s="52">
        <f>((C84-B85)/C84)*100</f>
        <v>-2.46913580246914</v>
      </c>
      <c r="K84" s="161">
        <f>100-(((C3-C85)/C3)*100)</f>
        <v>20.573566084788</v>
      </c>
      <c r="L84" s="54">
        <v>1.16049382716049</v>
      </c>
      <c r="M84" s="125" t="s">
        <v>28</v>
      </c>
      <c r="N84" s="54">
        <v>2.3</v>
      </c>
      <c r="O84" s="56">
        <f>N84/C84</f>
        <v>0.0141975308641975</v>
      </c>
      <c r="P84" s="57">
        <f>(Boosters_IOS!B84*100)/Boosters_IOS!N84</f>
        <v>4.57600236561811</v>
      </c>
      <c r="Q84" s="57">
        <f>Boosters_IOS!B84/(C84+D84)</f>
        <v>0.110867888524306</v>
      </c>
      <c r="R84" s="57">
        <f>Boosters_IOS!N84/B84</f>
        <v>2.93674060208334</v>
      </c>
      <c r="S84" s="54">
        <v>4.00617283950617</v>
      </c>
      <c r="T84" s="54">
        <v>0.358024691358025</v>
      </c>
      <c r="U84" s="58">
        <v>668.302469135802</v>
      </c>
      <c r="V84" s="54">
        <v>154595</v>
      </c>
    </row>
    <row r="85" spans="1:22" s="168" customFormat="1" ht="22.500000" customHeight="1">
      <c r="A85" s="34">
        <v>83</v>
      </c>
      <c r="B85" s="49">
        <v>166</v>
      </c>
      <c r="C85" s="49">
        <v>165</v>
      </c>
      <c r="D85" s="49">
        <v>0</v>
      </c>
      <c r="E85" s="49">
        <v>0</v>
      </c>
      <c r="F85" s="50">
        <f>(C85*100)/B85</f>
        <v>99.3975903614458</v>
      </c>
      <c r="G85" s="156">
        <f>(D85*100)/B85</f>
        <v>0</v>
      </c>
      <c r="H85" s="152">
        <f>((B85-B86)/B85)*100</f>
        <v>-2.40963855421687</v>
      </c>
      <c r="I85" s="52">
        <f>((B85-C85)/B85)*100</f>
        <v>0.602409638554217</v>
      </c>
      <c r="J85" s="52">
        <f>((C85-B86)/C85)*100</f>
        <v>-3.03030303030303</v>
      </c>
      <c r="K85" s="161">
        <f>100-(((C3-C86)/C3)*100)</f>
        <v>20.9476309226933</v>
      </c>
      <c r="L85" s="54">
        <v>1.03030303030303</v>
      </c>
      <c r="M85" s="123" t="s">
        <v>28</v>
      </c>
      <c r="N85" s="54">
        <v>6.49</v>
      </c>
      <c r="O85" s="56">
        <f>N85/C85</f>
        <v>0.0393333333333333</v>
      </c>
      <c r="P85" s="57">
        <f>(Boosters_IOS!B85*100)/Boosters_IOS!N85</f>
        <v>0.245098039215686</v>
      </c>
      <c r="Q85" s="57">
        <f>Boosters_IOS!B85/(C85+D85)</f>
        <v>0.00606060606060606</v>
      </c>
      <c r="R85" s="57">
        <f>Boosters_IOS!N85/B85</f>
        <v>2.4578313253012</v>
      </c>
      <c r="S85" s="54">
        <v>4.03636363636363</v>
      </c>
      <c r="T85" s="54">
        <v>0.327272727272727</v>
      </c>
      <c r="U85" s="58">
        <v>770.30303030303</v>
      </c>
      <c r="V85" s="54">
        <v>163165</v>
      </c>
    </row>
    <row r="86" spans="1:22" s="168" customFormat="1" ht="22.500000" customHeight="1">
      <c r="A86" s="34">
        <v>84</v>
      </c>
      <c r="B86" s="49">
        <v>170</v>
      </c>
      <c r="C86" s="49">
        <v>168</v>
      </c>
      <c r="D86" s="49">
        <v>93</v>
      </c>
      <c r="E86" s="49">
        <v>52</v>
      </c>
      <c r="F86" s="50">
        <f>(C86*100)/B86</f>
        <v>98.8235294117647</v>
      </c>
      <c r="G86" s="156">
        <f>(D86*100)/B86</f>
        <v>54.7058823529412</v>
      </c>
      <c r="H86" s="152">
        <f>((B86-B87)/B86)*100</f>
        <v>-6.47058823529412</v>
      </c>
      <c r="I86" s="52">
        <f>((B86-C86)/B86)*100</f>
        <v>1.17647058823529</v>
      </c>
      <c r="J86" s="52">
        <f>((C86-B87)/C86)*100</f>
        <v>-7.73809523809524</v>
      </c>
      <c r="K86" s="161">
        <f>100-(((C3-C87)/C3)*100)</f>
        <v>21.1970074812968</v>
      </c>
      <c r="L86" s="54">
        <v>1.29166666666666</v>
      </c>
      <c r="M86" s="125" t="s">
        <v>28</v>
      </c>
      <c r="N86" s="54">
        <v>0</v>
      </c>
      <c r="O86" s="56">
        <f>N86/C86</f>
        <v>0</v>
      </c>
      <c r="P86" s="57">
        <f>(Boosters_IOS!B86*100)/Boosters_IOS!N86</f>
        <v>10.0201835557729</v>
      </c>
      <c r="Q86" s="57">
        <f>Boosters_IOS!B86/(C86+D86)</f>
        <v>0.247705481369141</v>
      </c>
      <c r="R86" s="57">
        <f>Boosters_IOS!N86/B86</f>
        <v>3.79534732411039</v>
      </c>
      <c r="S86" s="54">
        <v>6.52380952380952</v>
      </c>
      <c r="T86" s="54">
        <v>0.494047619047619</v>
      </c>
      <c r="U86" s="58">
        <v>716.607142857143</v>
      </c>
      <c r="V86" s="54">
        <v>155200</v>
      </c>
    </row>
    <row r="87" spans="1:22" s="168" customFormat="1" ht="22.500000" customHeight="1">
      <c r="A87" s="76">
        <v>85</v>
      </c>
      <c r="B87" s="49">
        <v>181</v>
      </c>
      <c r="C87" s="49">
        <v>170</v>
      </c>
      <c r="D87" s="49">
        <v>136</v>
      </c>
      <c r="E87" s="49">
        <v>86</v>
      </c>
      <c r="F87" s="50">
        <f>(C87*100)/B87</f>
        <v>93.9226519337017</v>
      </c>
      <c r="G87" s="156">
        <f>(D87*100)/B87</f>
        <v>75.1381215469613</v>
      </c>
      <c r="H87" s="152">
        <f>((B87-B88)/B87)*100</f>
        <v>7.18232044198895</v>
      </c>
      <c r="I87" s="52">
        <f>((B87-C87)/B87)*100</f>
        <v>6.07734806629834</v>
      </c>
      <c r="J87" s="52">
        <f>((C87-B88)/C87)*100</f>
        <v>1.17647058823529</v>
      </c>
      <c r="K87" s="161">
        <f>100-(((C3-C88)/C3)*100)</f>
        <v>20.9476309226933</v>
      </c>
      <c r="L87" s="54">
        <v>1.62941176470588</v>
      </c>
      <c r="M87" s="117" t="s">
        <v>28</v>
      </c>
      <c r="N87" s="54">
        <v>6.99</v>
      </c>
      <c r="O87" s="56">
        <f>N87/C87</f>
        <v>0.0411176470588235</v>
      </c>
      <c r="P87" s="57">
        <f>(Boosters_IOS!B87*100)/Boosters_IOS!N87</f>
        <v>7.66626691038461</v>
      </c>
      <c r="Q87" s="57">
        <f>Boosters_IOS!B87/(C87+D87)</f>
        <v>0.275644298724583</v>
      </c>
      <c r="R87" s="57">
        <f>Boosters_IOS!N87/B87</f>
        <v>6.07866108663506</v>
      </c>
      <c r="S87" s="54">
        <v>4.09411764705882</v>
      </c>
      <c r="T87" s="54">
        <v>0.582352941176471</v>
      </c>
      <c r="U87" s="58">
        <v>548.441176470588</v>
      </c>
      <c r="V87" s="54">
        <v>151590</v>
      </c>
    </row>
    <row r="88" spans="1:22" s="168" customFormat="1" ht="22.500000" customHeight="1">
      <c r="A88" s="34">
        <v>86</v>
      </c>
      <c r="B88" s="49">
        <v>168</v>
      </c>
      <c r="C88" s="49">
        <v>168</v>
      </c>
      <c r="D88" s="49">
        <v>8</v>
      </c>
      <c r="E88" s="49">
        <v>5</v>
      </c>
      <c r="F88" s="50">
        <f>(C88*100)/B88</f>
        <v>100</v>
      </c>
      <c r="G88" s="156">
        <f>(D88*100)/B88</f>
        <v>4.76190476190476</v>
      </c>
      <c r="H88" s="152">
        <f>((B88-B89)/B88)*100</f>
        <v>-5.35714285714286</v>
      </c>
      <c r="I88" s="52">
        <f>((B88-C88)/B88)*100</f>
        <v>0</v>
      </c>
      <c r="J88" s="52">
        <f>((C88-B89)/C88)*100</f>
        <v>-5.35714285714286</v>
      </c>
      <c r="K88" s="161">
        <f>100-(((C3-C89)/C3)*100)</f>
        <v>19.3266832917706</v>
      </c>
      <c r="L88" s="54">
        <v>1.06547619047619</v>
      </c>
      <c r="M88" s="125" t="s">
        <v>28</v>
      </c>
      <c r="N88" s="54">
        <v>2.99</v>
      </c>
      <c r="O88" s="56">
        <f>N88/C88</f>
        <v>0.017797619047619</v>
      </c>
      <c r="P88" s="57">
        <f>(Boosters_IOS!B88*100)/Boosters_IOS!N88</f>
        <v>1.61592668010672</v>
      </c>
      <c r="Q88" s="57">
        <f>Boosters_IOS!B88/(C88+D88)</f>
        <v>0.0340909090909091</v>
      </c>
      <c r="R88" s="57">
        <f>Boosters_IOS!N88/B88</f>
        <v>2.21014270968824</v>
      </c>
      <c r="S88" s="54">
        <v>3.66071428571428</v>
      </c>
      <c r="T88" s="54">
        <v>0.351190476190476</v>
      </c>
      <c r="U88" s="58">
        <v>616.904761904762</v>
      </c>
      <c r="V88" s="54">
        <v>158210</v>
      </c>
    </row>
    <row r="89" spans="1:22" s="168" customFormat="1" ht="22.500000" customHeight="1">
      <c r="A89" s="34">
        <v>87</v>
      </c>
      <c r="B89" s="49">
        <v>177</v>
      </c>
      <c r="C89" s="49">
        <v>155</v>
      </c>
      <c r="D89" s="49">
        <v>133</v>
      </c>
      <c r="E89" s="49">
        <v>93</v>
      </c>
      <c r="F89" s="50">
        <f>(C89*100)/B89</f>
        <v>87.5706214689266</v>
      </c>
      <c r="G89" s="156">
        <f>(D89*100)/B89</f>
        <v>75.1412429378531</v>
      </c>
      <c r="H89" s="151">
        <f>((B89-B90)/B89)*100</f>
        <v>12.4293785310734</v>
      </c>
      <c r="I89" s="52">
        <f>((B89-C89)/B89)*100</f>
        <v>12.4293785310734</v>
      </c>
      <c r="J89" s="52">
        <f>((C89-B90)/C89)*100</f>
        <v>0</v>
      </c>
      <c r="K89" s="161">
        <f>100-(((C3-C90)/C3)*100)</f>
        <v>19.3266832917706</v>
      </c>
      <c r="L89" s="54">
        <v>1.98709677419354</v>
      </c>
      <c r="M89" s="127" t="s">
        <v>30</v>
      </c>
      <c r="N89" s="54">
        <v>31.76</v>
      </c>
      <c r="O89" s="56">
        <f>N89/C89</f>
        <v>0.204903225806452</v>
      </c>
      <c r="P89" s="57">
        <f>(Boosters_IOS!B89*100)/Boosters_IOS!N89</f>
        <v>13.8756255344834</v>
      </c>
      <c r="Q89" s="57">
        <f>Boosters_IOS!B89/(C89+D89)</f>
        <v>0.44066343300835</v>
      </c>
      <c r="R89" s="57">
        <f>Boosters_IOS!N89/B89</f>
        <v>5.16741883690148</v>
      </c>
      <c r="S89" s="54">
        <v>7.20645161290322</v>
      </c>
      <c r="T89" s="54">
        <v>0.658064516129032</v>
      </c>
      <c r="U89" s="58">
        <v>627.516129032258</v>
      </c>
      <c r="V89" s="54">
        <v>138760</v>
      </c>
    </row>
    <row r="90" spans="1:22" s="168" customFormat="1" ht="22.500000" customHeight="1">
      <c r="A90" s="34">
        <v>88</v>
      </c>
      <c r="B90" s="49">
        <v>155</v>
      </c>
      <c r="C90" s="49">
        <v>155</v>
      </c>
      <c r="D90" s="49">
        <v>23</v>
      </c>
      <c r="E90" s="49">
        <v>15</v>
      </c>
      <c r="F90" s="50">
        <f>(C90*100)/B90</f>
        <v>100</v>
      </c>
      <c r="G90" s="156">
        <f>(D90*100)/B90</f>
        <v>14.8387096774194</v>
      </c>
      <c r="H90" s="152">
        <f>((B90-B91)/B90)*100</f>
        <v>-0.645161290322581</v>
      </c>
      <c r="I90" s="52">
        <f>((B90-C90)/B90)*100</f>
        <v>0</v>
      </c>
      <c r="J90" s="52">
        <f>((C90-B91)/C90)*100</f>
        <v>-0.645161290322581</v>
      </c>
      <c r="K90" s="161">
        <f>100-(((C3-C91)/C3)*100)</f>
        <v>19.4513715710723</v>
      </c>
      <c r="L90" s="54">
        <v>1.0774193548387</v>
      </c>
      <c r="M90" s="125" t="s">
        <v>28</v>
      </c>
      <c r="N90" s="54">
        <v>0</v>
      </c>
      <c r="O90" s="56">
        <f>N90/C90</f>
        <v>0</v>
      </c>
      <c r="P90" s="57">
        <f>(Boosters_IOS!B90*100)/Boosters_IOS!N90</f>
        <v>0</v>
      </c>
      <c r="Q90" s="57">
        <f>Boosters_IOS!B90/(C90+D90)</f>
        <v>0</v>
      </c>
      <c r="R90" s="57">
        <f>Boosters_IOS!N90/B90</f>
        <v>2.56043799047939</v>
      </c>
      <c r="S90" s="54">
        <v>5.19354838709677</v>
      </c>
      <c r="T90" s="54">
        <v>0.354838709677419</v>
      </c>
      <c r="U90" s="58">
        <v>695.161290322581</v>
      </c>
      <c r="V90" s="54">
        <v>151225</v>
      </c>
    </row>
    <row r="91" spans="1:22" s="168" customFormat="1" ht="22.500000" customHeight="1">
      <c r="A91" s="34">
        <v>89</v>
      </c>
      <c r="B91" s="49">
        <v>156</v>
      </c>
      <c r="C91" s="49">
        <v>156</v>
      </c>
      <c r="D91" s="49">
        <v>8</v>
      </c>
      <c r="E91" s="49">
        <v>6</v>
      </c>
      <c r="F91" s="50">
        <f>(C91*100)/B91</f>
        <v>100</v>
      </c>
      <c r="G91" s="156">
        <f>(D91*100)/B91</f>
        <v>5.12820512820513</v>
      </c>
      <c r="H91" s="152">
        <f>((B91-B92)/B91)*100</f>
        <v>-6.41025641025641</v>
      </c>
      <c r="I91" s="52">
        <f>((B91-C91)/B91)*100</f>
        <v>0</v>
      </c>
      <c r="J91" s="52">
        <f>((C91-B92)/C91)*100</f>
        <v>-6.41025641025641</v>
      </c>
      <c r="K91" s="161">
        <f>100-(((C3-C92)/C3)*100)</f>
        <v>19.0773067331671</v>
      </c>
      <c r="L91" s="54">
        <v>1.04487179487179</v>
      </c>
      <c r="M91" s="117" t="s">
        <v>28</v>
      </c>
      <c r="N91" s="54">
        <v>0</v>
      </c>
      <c r="O91" s="56">
        <f>N91/C91</f>
        <v>0</v>
      </c>
      <c r="P91" s="57">
        <f>(Boosters_IOS!B91*100)/Boosters_IOS!N91</f>
        <v>0</v>
      </c>
      <c r="Q91" s="57">
        <f>Boosters_IOS!B91/(C91+D91)</f>
        <v>0</v>
      </c>
      <c r="R91" s="57">
        <f>Boosters_IOS!N91/B91</f>
        <v>2.6240202269854</v>
      </c>
      <c r="S91" s="54">
        <v>3.15384615384615</v>
      </c>
      <c r="T91" s="54">
        <v>0.333333333333333</v>
      </c>
      <c r="U91" s="58">
        <v>752.083333333333</v>
      </c>
      <c r="V91" s="54">
        <v>154215</v>
      </c>
    </row>
    <row r="92" spans="1:22" s="168" customFormat="1" ht="22.500000" customHeight="1">
      <c r="A92" s="34">
        <v>90</v>
      </c>
      <c r="B92" s="49">
        <v>166</v>
      </c>
      <c r="C92" s="49">
        <v>153</v>
      </c>
      <c r="D92" s="49">
        <v>89</v>
      </c>
      <c r="E92" s="49">
        <v>73</v>
      </c>
      <c r="F92" s="50">
        <f>(C92*100)/B92</f>
        <v>92.1686746987952</v>
      </c>
      <c r="G92" s="156">
        <f>(D92*100)/B92</f>
        <v>53.6144578313253</v>
      </c>
      <c r="H92" s="151">
        <f>((B92-B93)/B92)*100</f>
        <v>7.2289156626506</v>
      </c>
      <c r="I92" s="52">
        <f>((B92-C92)/B92)*100</f>
        <v>7.83132530120482</v>
      </c>
      <c r="J92" s="52">
        <f>((C92-B93)/C92)*100</f>
        <v>-0.65359477124183</v>
      </c>
      <c r="K92" s="161">
        <f>100-(((C3-C93)/C3)*100)</f>
        <v>18.9526184538653</v>
      </c>
      <c r="L92" s="54">
        <v>1.41830065359477</v>
      </c>
      <c r="M92" s="125" t="s">
        <v>28</v>
      </c>
      <c r="N92" s="54">
        <v>13.47</v>
      </c>
      <c r="O92" s="56">
        <f>N92/C92</f>
        <v>0.0880392156862745</v>
      </c>
      <c r="P92" s="57">
        <f>(Boosters_IOS!B92*100)/Boosters_IOS!N92</f>
        <v>12.2504604433319</v>
      </c>
      <c r="Q92" s="57">
        <f>Boosters_IOS!B92/(C92+D92)</f>
        <v>0.433159951827302</v>
      </c>
      <c r="R92" s="57">
        <f>Boosters_IOS!N92/B92</f>
        <v>5.1546972422863</v>
      </c>
      <c r="S92" s="54">
        <v>4.58169934640522</v>
      </c>
      <c r="T92" s="54">
        <v>0.522875816993464</v>
      </c>
      <c r="U92" s="58">
        <v>742.875816993464</v>
      </c>
      <c r="V92" s="54">
        <v>137580</v>
      </c>
    </row>
    <row r="93" spans="1:22" s="168" customFormat="1" ht="22.500000" customHeight="1">
      <c r="A93" s="34">
        <v>91</v>
      </c>
      <c r="B93" s="49">
        <v>154</v>
      </c>
      <c r="C93" s="49">
        <v>152</v>
      </c>
      <c r="D93" s="49">
        <v>32</v>
      </c>
      <c r="E93" s="49">
        <v>28</v>
      </c>
      <c r="F93" s="50">
        <f>(C93*100)/B93</f>
        <v>98.7012987012987</v>
      </c>
      <c r="G93" s="156">
        <f>(D93*100)/B93</f>
        <v>20.7792207792208</v>
      </c>
      <c r="H93" s="152">
        <f>((B93-B94)/B93)*100</f>
        <v>1.94805194805195</v>
      </c>
      <c r="I93" s="52">
        <f>((B93-C93)/B93)*100</f>
        <v>1.2987012987013</v>
      </c>
      <c r="J93" s="52">
        <f>((C93-B94)/C93)*100</f>
        <v>0.657894736842105</v>
      </c>
      <c r="K93" s="161">
        <f>100-(((C3-C94)/C3)*100)</f>
        <v>18.3291770573566</v>
      </c>
      <c r="L93" s="54">
        <v>1.16447368421052</v>
      </c>
      <c r="M93" s="117" t="s">
        <v>28</v>
      </c>
      <c r="N93" s="54">
        <v>0</v>
      </c>
      <c r="O93" s="56">
        <f>N93/C93</f>
        <v>0</v>
      </c>
      <c r="P93" s="57">
        <f>(Boosters_IOS!B93*100)/Boosters_IOS!N93</f>
        <v>8.27067086642607</v>
      </c>
      <c r="Q93" s="57">
        <f>Boosters_IOS!B93/(C93+D93)</f>
        <v>0.218099986536752</v>
      </c>
      <c r="R93" s="57">
        <f>Boosters_IOS!N93/B93</f>
        <v>3.15073590896816</v>
      </c>
      <c r="S93" s="54">
        <v>6.09210526315789</v>
      </c>
      <c r="T93" s="54">
        <v>0.342105263157895</v>
      </c>
      <c r="U93" s="58">
        <v>766.907894736842</v>
      </c>
      <c r="V93" s="54">
        <v>134665</v>
      </c>
    </row>
    <row r="94" spans="1:22" s="168" customFormat="1" ht="22.500000" customHeight="1">
      <c r="A94" s="34">
        <v>92</v>
      </c>
      <c r="B94" s="49">
        <v>151</v>
      </c>
      <c r="C94" s="49">
        <v>147</v>
      </c>
      <c r="D94" s="49">
        <v>72</v>
      </c>
      <c r="E94" s="49">
        <v>51</v>
      </c>
      <c r="F94" s="50">
        <f>(C94*100)/B94</f>
        <v>97.3509933774835</v>
      </c>
      <c r="G94" s="156">
        <f>(D94*100)/B94</f>
        <v>47.682119205298</v>
      </c>
      <c r="H94" s="152">
        <f>((B94-B95)/B94)*100</f>
        <v>0</v>
      </c>
      <c r="I94" s="52">
        <f>((B94-C94)/B94)*100</f>
        <v>2.64900662251656</v>
      </c>
      <c r="J94" s="52">
        <f>((C94-B95)/C94)*100</f>
        <v>-2.72108843537415</v>
      </c>
      <c r="K94" s="161">
        <f>100-(((C3-C95)/C3)*100)</f>
        <v>18.8279301745636</v>
      </c>
      <c r="L94" s="54">
        <v>1.27210884353741</v>
      </c>
      <c r="M94" s="125" t="s">
        <v>28</v>
      </c>
      <c r="N94" s="54">
        <v>0</v>
      </c>
      <c r="O94" s="56">
        <f>N94/C94</f>
        <v>0</v>
      </c>
      <c r="P94" s="57">
        <f>(Boosters_IOS!B94*100)/Boosters_IOS!N94</f>
        <v>7.92420794543294</v>
      </c>
      <c r="Q94" s="57">
        <f>Boosters_IOS!B94/(C94+D94)</f>
        <v>0.215006211708665</v>
      </c>
      <c r="R94" s="57">
        <f>Boosters_IOS!N94/B94</f>
        <v>3.93515923906468</v>
      </c>
      <c r="S94" s="54">
        <v>7.91156462585034</v>
      </c>
      <c r="T94" s="54">
        <v>0.414965986394558</v>
      </c>
      <c r="U94" s="58">
        <v>736.972789115646</v>
      </c>
      <c r="V94" s="54">
        <v>124155</v>
      </c>
    </row>
    <row r="95" spans="1:22" s="168" customFormat="1" ht="22.500000" customHeight="1">
      <c r="A95" s="34">
        <v>93</v>
      </c>
      <c r="B95" s="49">
        <v>151</v>
      </c>
      <c r="C95" s="49">
        <v>151</v>
      </c>
      <c r="D95" s="49">
        <v>2</v>
      </c>
      <c r="E95" s="49">
        <v>2</v>
      </c>
      <c r="F95" s="50">
        <f>(C95*100)/B95</f>
        <v>100</v>
      </c>
      <c r="G95" s="156">
        <f>(D95*100)/B95</f>
        <v>1.32450331125828</v>
      </c>
      <c r="H95" s="152">
        <f>((B95-B96)/B95)*100</f>
        <v>1.32450331125828</v>
      </c>
      <c r="I95" s="52">
        <f>((B95-C95)/B95)*100</f>
        <v>0</v>
      </c>
      <c r="J95" s="52">
        <f>((C95-B96)/C95)*100</f>
        <v>1.32450331125828</v>
      </c>
      <c r="K95" s="161">
        <f>100-(((C3-C96)/C3)*100)</f>
        <v>18.5785536159601</v>
      </c>
      <c r="L95" s="54">
        <v>1.00662251655629</v>
      </c>
      <c r="M95" s="117" t="s">
        <v>28</v>
      </c>
      <c r="N95" s="54">
        <v>0</v>
      </c>
      <c r="O95" s="56">
        <f>N95/C95</f>
        <v>0</v>
      </c>
      <c r="P95" s="57">
        <f>(Boosters_IOS!B95*100)/Boosters_IOS!N95</f>
        <v>0</v>
      </c>
      <c r="Q95" s="57">
        <f>Boosters_IOS!B95/(C95+D95)</f>
        <v>0</v>
      </c>
      <c r="R95" s="57">
        <f>Boosters_IOS!N95/B95</f>
        <v>2.35444761649702</v>
      </c>
      <c r="S95" s="54">
        <v>4.81456953642384</v>
      </c>
      <c r="T95" s="54">
        <v>0.278145695364238</v>
      </c>
      <c r="U95" s="58">
        <v>789.139072847682</v>
      </c>
      <c r="V95" s="54">
        <v>132840</v>
      </c>
    </row>
    <row r="96" spans="1:22" s="168" customFormat="1" ht="22.500000" customHeight="1">
      <c r="A96" s="34">
        <v>94</v>
      </c>
      <c r="B96" s="49">
        <v>149</v>
      </c>
      <c r="C96" s="49">
        <v>149</v>
      </c>
      <c r="D96" s="49">
        <v>1</v>
      </c>
      <c r="E96" s="49">
        <v>2</v>
      </c>
      <c r="F96" s="50">
        <f>(C96*100)/B96</f>
        <v>100</v>
      </c>
      <c r="G96" s="156">
        <f>(D96*100)/B96</f>
        <v>0.671140939597316</v>
      </c>
      <c r="H96" s="152">
        <f>((B96-B97)/B96)*100</f>
        <v>-34.8993288590604</v>
      </c>
      <c r="I96" s="52">
        <f>((B96-C96)/B96)*100</f>
        <v>0</v>
      </c>
      <c r="J96" s="52">
        <f>((C96-B97)/C96)*100</f>
        <v>-34.8993288590604</v>
      </c>
      <c r="K96" s="161">
        <f>100-(((C3-C97)/C3)*100)</f>
        <v>17.3316708229426</v>
      </c>
      <c r="L96" s="54">
        <v>1.02013422818791</v>
      </c>
      <c r="M96" s="125" t="s">
        <v>28</v>
      </c>
      <c r="N96" s="54">
        <v>0</v>
      </c>
      <c r="O96" s="56">
        <f>N96/C96</f>
        <v>0</v>
      </c>
      <c r="P96" s="57">
        <f>(Boosters_IOS!B96*100)/Boosters_IOS!N96</f>
        <v>0</v>
      </c>
      <c r="Q96" s="57">
        <f>Boosters_IOS!B96/(C96+D96)</f>
        <v>0</v>
      </c>
      <c r="R96" s="57">
        <f>Boosters_IOS!N96/B96</f>
        <v>2.41610738255034</v>
      </c>
      <c r="S96" s="54">
        <v>3.82550335570469</v>
      </c>
      <c r="T96" s="54">
        <v>0.281879194630873</v>
      </c>
      <c r="U96" s="58">
        <v>856.744966442953</v>
      </c>
      <c r="V96" s="54">
        <v>139375</v>
      </c>
    </row>
    <row r="97" spans="1:22" s="168" customFormat="1" ht="22.500000" customHeight="1">
      <c r="A97" s="76">
        <v>95</v>
      </c>
      <c r="B97" s="49">
        <v>201</v>
      </c>
      <c r="C97" s="49">
        <v>139</v>
      </c>
      <c r="D97" s="49">
        <v>187</v>
      </c>
      <c r="E97" s="49">
        <v>156</v>
      </c>
      <c r="F97" s="50">
        <f>(C97*100)/B97</f>
        <v>69.1542288557214</v>
      </c>
      <c r="G97" s="156">
        <f>(D97*100)/B97</f>
        <v>93.0348258706468</v>
      </c>
      <c r="H97" s="152">
        <f>((B97-B98)/B97)*100</f>
        <v>29.8507462686567</v>
      </c>
      <c r="I97" s="52">
        <f>((B97-C97)/B97)*100</f>
        <v>30.8457711442786</v>
      </c>
      <c r="J97" s="52">
        <f>((C97-B98)/C97)*100</f>
        <v>-1.43884892086331</v>
      </c>
      <c r="K97" s="161">
        <f>100-(((C3-C98)/C3)*100)</f>
        <v>17.2069825436409</v>
      </c>
      <c r="L97" s="54">
        <v>3.19424460431654</v>
      </c>
      <c r="M97" s="117" t="s">
        <v>28</v>
      </c>
      <c r="N97" s="54">
        <v>49.79</v>
      </c>
      <c r="O97" s="56">
        <f>N97/C97</f>
        <v>0.358201438848921</v>
      </c>
      <c r="P97" s="57">
        <f>(Boosters_IOS!B97*100)/Boosters_IOS!N97</f>
        <v>16.5414650706016</v>
      </c>
      <c r="Q97" s="57">
        <f>Boosters_IOS!B97/(C97+D97)</f>
        <v>1.27631224110288</v>
      </c>
      <c r="R97" s="57">
        <f>Boosters_IOS!N97/B97</f>
        <v>12.5142407299863</v>
      </c>
      <c r="S97" s="54">
        <v>6.64748201438849</v>
      </c>
      <c r="T97" s="54">
        <v>0.913669064748201</v>
      </c>
      <c r="U97" s="58">
        <v>481.043165467626</v>
      </c>
      <c r="V97" s="54">
        <v>123105</v>
      </c>
    </row>
    <row r="98" spans="1:22" s="168" customFormat="1" ht="22.500000" customHeight="1">
      <c r="A98" s="34">
        <v>96</v>
      </c>
      <c r="B98" s="49">
        <v>141</v>
      </c>
      <c r="C98" s="49">
        <v>138</v>
      </c>
      <c r="D98" s="49">
        <v>33</v>
      </c>
      <c r="E98" s="49">
        <v>23</v>
      </c>
      <c r="F98" s="50">
        <f>(C98*100)/B98</f>
        <v>97.8723404255319</v>
      </c>
      <c r="G98" s="156">
        <f>(D98*100)/B98</f>
        <v>23.4042553191489</v>
      </c>
      <c r="H98" s="152">
        <f>((B98-B99)/B98)*100</f>
        <v>-2.12765957446809</v>
      </c>
      <c r="I98" s="52">
        <f>((B98-C98)/B98)*100</f>
        <v>2.12765957446809</v>
      </c>
      <c r="J98" s="52">
        <f>((C98-B99)/C98)*100</f>
        <v>-4.34782608695652</v>
      </c>
      <c r="K98" s="161">
        <f>100-(((C3-C99)/C3)*100)</f>
        <v>16.9576059850374</v>
      </c>
      <c r="L98" s="54">
        <v>1.13043478260869</v>
      </c>
      <c r="M98" s="125" t="s">
        <v>28</v>
      </c>
      <c r="N98" s="54">
        <v>0</v>
      </c>
      <c r="O98" s="56">
        <f>N98/C98</f>
        <v>0</v>
      </c>
      <c r="P98" s="57">
        <f>(Boosters_IOS!B98*100)/Boosters_IOS!N98</f>
        <v>7.41763934673865</v>
      </c>
      <c r="Q98" s="57">
        <f>Boosters_IOS!B98/(C98+D98)</f>
        <v>0.171115760500145</v>
      </c>
      <c r="R98" s="57">
        <f>Boosters_IOS!N98/B98</f>
        <v>2.79770098567059</v>
      </c>
      <c r="S98" s="54">
        <v>3.60144927536231</v>
      </c>
      <c r="T98" s="54">
        <v>0.420289855072464</v>
      </c>
      <c r="U98" s="58">
        <v>572.536231884058</v>
      </c>
      <c r="V98" s="54">
        <v>120850</v>
      </c>
    </row>
    <row r="99" spans="1:22" s="168" customFormat="1" ht="22.500000" customHeight="1">
      <c r="A99" s="34">
        <v>97</v>
      </c>
      <c r="B99" s="49">
        <v>144</v>
      </c>
      <c r="C99" s="49">
        <v>136</v>
      </c>
      <c r="D99" s="49">
        <v>101</v>
      </c>
      <c r="E99" s="49">
        <v>55</v>
      </c>
      <c r="F99" s="50">
        <f>(C99*100)/B99</f>
        <v>94.4444444444444</v>
      </c>
      <c r="G99" s="156">
        <f>(D99*100)/B99</f>
        <v>70.1388888888889</v>
      </c>
      <c r="H99" s="152">
        <f>((B99-B100)/B99)*100</f>
        <v>6.94444444444445</v>
      </c>
      <c r="I99" s="52">
        <f>((B99-C99)/B99)*100</f>
        <v>5.55555555555556</v>
      </c>
      <c r="J99" s="52">
        <f>((C99-B100)/C99)*100</f>
        <v>1.47058823529412</v>
      </c>
      <c r="K99" s="161">
        <f>100-(((C3-C100)/C3)*100)</f>
        <v>16.7082294264339</v>
      </c>
      <c r="L99" s="54">
        <v>1.42647058823529</v>
      </c>
      <c r="M99" s="117" t="s">
        <v>28</v>
      </c>
      <c r="N99" s="54">
        <v>9.98</v>
      </c>
      <c r="O99" s="56">
        <f>N99/C99</f>
        <v>0.0733823529411765</v>
      </c>
      <c r="P99" s="57">
        <f>(Boosters_IOS!B99*100)/Boosters_IOS!N99</f>
        <v>8.68766828227949</v>
      </c>
      <c r="Q99" s="57">
        <f>Boosters_IOS!B99/(C99+D99)</f>
        <v>0.266187174532479</v>
      </c>
      <c r="R99" s="57">
        <f>Boosters_IOS!N99/B99</f>
        <v>5.04277684778755</v>
      </c>
      <c r="S99" s="54">
        <v>4.25</v>
      </c>
      <c r="T99" s="54">
        <v>0.595588235294118</v>
      </c>
      <c r="U99" s="58">
        <v>572.683823529412</v>
      </c>
      <c r="V99" s="54">
        <v>102135</v>
      </c>
    </row>
    <row r="100" spans="1:22" s="168" customFormat="1" ht="22.500000" customHeight="1">
      <c r="A100" s="34">
        <v>98</v>
      </c>
      <c r="B100" s="49">
        <v>134</v>
      </c>
      <c r="C100" s="49">
        <v>134</v>
      </c>
      <c r="D100" s="49">
        <v>7</v>
      </c>
      <c r="E100" s="49">
        <v>4</v>
      </c>
      <c r="F100" s="50">
        <f>(C100*100)/B100</f>
        <v>100</v>
      </c>
      <c r="G100" s="156">
        <f>(D100*100)/B100</f>
        <v>5.22388059701493</v>
      </c>
      <c r="H100" s="152">
        <f>((B100-B101)/B100)*100</f>
        <v>-1.49253731343284</v>
      </c>
      <c r="I100" s="52">
        <f>((B100-C100)/B100)*100</f>
        <v>0</v>
      </c>
      <c r="J100" s="52">
        <f>((C100-B101)/C100)*100</f>
        <v>-1.49253731343284</v>
      </c>
      <c r="K100" s="161">
        <f>100-(((C3-C101)/C3)*100)</f>
        <v>16.9576059850374</v>
      </c>
      <c r="L100" s="54">
        <v>1.02985074626865</v>
      </c>
      <c r="M100" s="125" t="s">
        <v>28</v>
      </c>
      <c r="N100" s="54">
        <v>8.12</v>
      </c>
      <c r="O100" s="56">
        <f>N100/C100</f>
        <v>0.0605970149253731</v>
      </c>
      <c r="P100" s="57">
        <f>(Boosters_IOS!B100*100)/Boosters_IOS!N100</f>
        <v>0.62271623160666</v>
      </c>
      <c r="Q100" s="57">
        <f>Boosters_IOS!B100/(C100+D100)</f>
        <v>0.0141843971631206</v>
      </c>
      <c r="R100" s="57">
        <f>Boosters_IOS!N100/B100</f>
        <v>2.39681774406613</v>
      </c>
      <c r="S100" s="54">
        <v>4.55970149253731</v>
      </c>
      <c r="T100" s="54">
        <v>0.305970149253731</v>
      </c>
      <c r="U100" s="58">
        <v>650.746268656717</v>
      </c>
      <c r="V100" s="54">
        <v>108720</v>
      </c>
    </row>
    <row r="101" spans="1:22" s="168" customFormat="1" ht="22.500000" customHeight="1">
      <c r="A101" s="34">
        <v>99</v>
      </c>
      <c r="B101" s="49">
        <v>136</v>
      </c>
      <c r="C101" s="49">
        <v>136</v>
      </c>
      <c r="D101" s="49">
        <v>26</v>
      </c>
      <c r="E101" s="49">
        <v>12</v>
      </c>
      <c r="F101" s="50">
        <f>(C101*100)/B101</f>
        <v>100</v>
      </c>
      <c r="G101" s="156">
        <f>(D101*100)/B101</f>
        <v>19.1176470588235</v>
      </c>
      <c r="H101" s="152">
        <f>((B101-B102)/B101)*100</f>
        <v>0</v>
      </c>
      <c r="I101" s="52">
        <f>((B101-C101)/B101)*100</f>
        <v>0</v>
      </c>
      <c r="J101" s="52">
        <f>((C101-B102)/C101)*100</f>
        <v>0</v>
      </c>
      <c r="K101" s="161">
        <f>100-(((C3-C102)/C3)*100)</f>
        <v>16.9576059850374</v>
      </c>
      <c r="L101" s="54">
        <v>1.0735294117647</v>
      </c>
      <c r="M101" s="117" t="s">
        <v>28</v>
      </c>
      <c r="N101" s="54">
        <v>0</v>
      </c>
      <c r="O101" s="56">
        <f>N101/C101</f>
        <v>0</v>
      </c>
      <c r="P101" s="57">
        <f>(Boosters_IOS!B101*100)/Boosters_IOS!N101</f>
        <v>2.491892600647</v>
      </c>
      <c r="Q101" s="57">
        <f>Boosters_IOS!B101/(C101+D101)</f>
        <v>0.0617283950617284</v>
      </c>
      <c r="R101" s="57">
        <f>Boosters_IOS!N101/B101</f>
        <v>2.9507456198399</v>
      </c>
      <c r="S101" s="54">
        <v>4.96323529411764</v>
      </c>
      <c r="T101" s="54">
        <v>0.389705882352941</v>
      </c>
      <c r="U101" s="58">
        <v>649.852941176471</v>
      </c>
      <c r="V101" s="54">
        <v>108835</v>
      </c>
    </row>
    <row r="102" spans="1:22" s="168" customFormat="1" ht="22.500000" customHeight="1">
      <c r="A102" s="34">
        <v>100</v>
      </c>
      <c r="B102" s="49">
        <v>136</v>
      </c>
      <c r="C102" s="49">
        <v>136</v>
      </c>
      <c r="D102" s="49">
        <v>0</v>
      </c>
      <c r="E102" s="49">
        <v>0</v>
      </c>
      <c r="F102" s="50">
        <f>(C102*100)/B102</f>
        <v>100</v>
      </c>
      <c r="G102" s="156">
        <f>(D102*100)/B102</f>
        <v>0</v>
      </c>
      <c r="H102" s="151">
        <f>((B102-B103)/B102)*100</f>
        <v>0.735294117647059</v>
      </c>
      <c r="I102" s="52">
        <f>((B102-C102)/B102)*100</f>
        <v>0</v>
      </c>
      <c r="J102" s="52">
        <f>((C102-B103)/C102)*100</f>
        <v>0.735294117647059</v>
      </c>
      <c r="K102" s="161">
        <f>100-(((C3-C103)/C3)*100)</f>
        <v>16.8329177057357</v>
      </c>
      <c r="L102" s="54">
        <v>1</v>
      </c>
      <c r="M102" s="125" t="s">
        <v>28</v>
      </c>
      <c r="N102" s="54">
        <v>0</v>
      </c>
      <c r="O102" s="56">
        <f>N102/C102</f>
        <v>0</v>
      </c>
      <c r="P102" s="57">
        <f>(Boosters_IOS!B102*100)/Boosters_IOS!N102</f>
        <v>0</v>
      </c>
      <c r="Q102" s="57">
        <f>Boosters_IOS!B102/(C102+D102)</f>
        <v>0</v>
      </c>
      <c r="R102" s="57">
        <f>Boosters_IOS!N102/B102</f>
        <v>2.38235294117647</v>
      </c>
      <c r="S102" s="54">
        <v>4.77205882352941</v>
      </c>
      <c r="T102" s="54">
        <v>0.301470588235294</v>
      </c>
      <c r="U102" s="58">
        <v>746.066176470588</v>
      </c>
      <c r="V102" s="54">
        <v>116895</v>
      </c>
    </row>
    <row r="103" spans="1:22" s="168" customFormat="1" ht="22.500000" customHeight="1">
      <c r="A103" s="34">
        <v>101</v>
      </c>
      <c r="B103" s="49">
        <v>135</v>
      </c>
      <c r="C103" s="49">
        <v>135</v>
      </c>
      <c r="D103" s="49">
        <v>0</v>
      </c>
      <c r="E103" s="49">
        <v>0</v>
      </c>
      <c r="F103" s="50">
        <f>(C103*100)/B103</f>
        <v>100</v>
      </c>
      <c r="G103" s="156">
        <f>(D103*100)/B103</f>
        <v>0</v>
      </c>
      <c r="H103" s="151">
        <f>((B103-B104)/B103)*100</f>
        <v>-2.96296296296296</v>
      </c>
      <c r="I103" s="52">
        <f>((B103-C103)/B103)*100</f>
        <v>0</v>
      </c>
      <c r="J103" s="52">
        <f>((C103-B104)/C103)*100</f>
        <v>-2.96296296296296</v>
      </c>
      <c r="K103" s="152"/>
      <c r="L103" s="54">
        <v>1</v>
      </c>
      <c r="M103" s="117" t="s">
        <v>28</v>
      </c>
      <c r="N103" s="54">
        <v>6.49</v>
      </c>
      <c r="O103" s="56">
        <f>N103/C103</f>
        <v>0.0480740740740741</v>
      </c>
      <c r="P103" s="57">
        <f>(Boosters_IOS!B103*100)/Boosters_IOS!N103</f>
        <v>0</v>
      </c>
      <c r="Q103" s="57">
        <f>Boosters_IOS!B103/(C103+D103)</f>
        <v>0</v>
      </c>
      <c r="R103" s="57">
        <f>Boosters_IOS!N103/B103</f>
        <v>2.39259259259259</v>
      </c>
      <c r="S103" s="54">
        <v>6.4</v>
      </c>
      <c r="T103" s="54">
        <v>0.333333333333333</v>
      </c>
      <c r="U103" s="58">
        <v>769.111111111111</v>
      </c>
      <c r="V103" s="54">
        <v>117300</v>
      </c>
    </row>
    <row r="104" spans="1:22" s="168" customFormat="1" ht="22.500000" customHeight="1">
      <c r="A104" s="34">
        <v>102</v>
      </c>
      <c r="B104" s="49">
        <v>139</v>
      </c>
      <c r="C104" s="49">
        <v>139</v>
      </c>
      <c r="D104" s="49">
        <v>2</v>
      </c>
      <c r="E104" s="49">
        <v>2</v>
      </c>
      <c r="F104" s="50">
        <f>(C104*100)/B104</f>
        <v>100</v>
      </c>
      <c r="G104" s="156">
        <f>(D104*100)/B104</f>
        <v>1.43884892086331</v>
      </c>
      <c r="H104" s="151">
        <f>((B104-B105)/B104)*100</f>
        <v>-2.15827338129496</v>
      </c>
      <c r="I104" s="52">
        <f>((B104-C104)/B104)*100</f>
        <v>0</v>
      </c>
      <c r="J104" s="52">
        <f>((C104-B105)/C104)*100</f>
        <v>-2.15827338129496</v>
      </c>
      <c r="K104" s="152"/>
      <c r="L104" s="54">
        <v>1.02158273381294</v>
      </c>
      <c r="M104" s="125" t="s">
        <v>28</v>
      </c>
      <c r="N104" s="54">
        <v>2.3</v>
      </c>
      <c r="O104" s="56">
        <f>N104/C104</f>
        <v>0.0165467625899281</v>
      </c>
      <c r="P104" s="57">
        <f>(Boosters_IOS!B104*100)/Boosters_IOS!N104</f>
        <v>0</v>
      </c>
      <c r="Q104" s="57">
        <f>Boosters_IOS!B104/(C104+D104)</f>
        <v>0</v>
      </c>
      <c r="R104" s="57">
        <f>Boosters_IOS!N104/B104</f>
        <v>2.43259278793354</v>
      </c>
      <c r="S104" s="54">
        <v>3.16546762589928</v>
      </c>
      <c r="T104" s="54">
        <v>0.273381294964029</v>
      </c>
      <c r="U104" s="58">
        <v>845.827338129496</v>
      </c>
      <c r="V104" s="54">
        <v>122470</v>
      </c>
    </row>
    <row r="105" spans="1:22" s="168" customFormat="1" ht="22.500000" customHeight="1">
      <c r="A105" s="34">
        <v>103</v>
      </c>
      <c r="B105" s="49">
        <v>142</v>
      </c>
      <c r="C105" s="49">
        <v>142</v>
      </c>
      <c r="D105" s="49">
        <v>1</v>
      </c>
      <c r="E105" s="49">
        <v>2</v>
      </c>
      <c r="F105" s="50">
        <f>(C105*100)/B105</f>
        <v>100</v>
      </c>
      <c r="G105" s="156">
        <f>(D105*100)/B105</f>
        <v>0.704225352112676</v>
      </c>
      <c r="H105" s="151">
        <f>((B105-B106)/B105)*100</f>
        <v>-2.11267605633803</v>
      </c>
      <c r="I105" s="52">
        <f>((B105-C105)/B105)*100</f>
        <v>0</v>
      </c>
      <c r="J105" s="52">
        <f>((C105-B106)/C105)*100</f>
        <v>-2.11267605633803</v>
      </c>
      <c r="K105" s="152"/>
      <c r="L105" s="54">
        <v>1.01408450704225</v>
      </c>
      <c r="M105" s="123" t="s">
        <v>28</v>
      </c>
      <c r="N105" s="54">
        <v>0</v>
      </c>
      <c r="O105" s="56">
        <f>N105/C105</f>
        <v>0</v>
      </c>
      <c r="P105" s="57">
        <f>(Boosters_IOS!B105*100)/Boosters_IOS!N105</f>
        <v>0</v>
      </c>
      <c r="Q105" s="57">
        <f>Boosters_IOS!B105/(C105+D105)</f>
        <v>0</v>
      </c>
      <c r="R105" s="57">
        <f>Boosters_IOS!N105/B105</f>
        <v>2.50183658482764</v>
      </c>
      <c r="S105" s="54">
        <v>3.47887323943661</v>
      </c>
      <c r="T105" s="54">
        <v>0.246478873239437</v>
      </c>
      <c r="U105" s="58">
        <v>902.183098591549</v>
      </c>
      <c r="V105" s="54">
        <v>127610</v>
      </c>
    </row>
    <row r="106" spans="1:22" s="168" customFormat="1" ht="22.500000" customHeight="1">
      <c r="A106" s="34">
        <v>104</v>
      </c>
      <c r="B106" s="49">
        <v>145</v>
      </c>
      <c r="C106" s="49">
        <v>144</v>
      </c>
      <c r="D106" s="49">
        <v>55</v>
      </c>
      <c r="E106" s="49">
        <v>49</v>
      </c>
      <c r="F106" s="50">
        <f>(C106*100)/B106</f>
        <v>99.3103448275862</v>
      </c>
      <c r="G106" s="156">
        <f>(D106*100)/B106</f>
        <v>37.9310344827586</v>
      </c>
      <c r="H106" s="151">
        <f>((B106-B107)/B106)*100</f>
        <v>-2.06896551724138</v>
      </c>
      <c r="I106" s="52">
        <f>((B106-C106)/B106)*100</f>
        <v>0.689655172413793</v>
      </c>
      <c r="J106" s="52">
        <f>((C106-B107)/C106)*100</f>
        <v>-2.77777777777778</v>
      </c>
      <c r="K106" s="152"/>
      <c r="L106" s="54">
        <v>1.26388888888888</v>
      </c>
      <c r="M106" s="125" t="s">
        <v>28</v>
      </c>
      <c r="N106" s="54">
        <v>0</v>
      </c>
      <c r="O106" s="56">
        <f>N106/C106</f>
        <v>0</v>
      </c>
      <c r="P106" s="57">
        <f>(Boosters_IOS!B106*100)/Boosters_IOS!N106</f>
        <v>9.71694033218075</v>
      </c>
      <c r="Q106" s="57">
        <f>Boosters_IOS!B106/(C106+D106)</f>
        <v>0.273756547399421</v>
      </c>
      <c r="R106" s="57">
        <f>Boosters_IOS!N106/B106</f>
        <v>3.86651815035921</v>
      </c>
      <c r="S106" s="54">
        <v>5.51388888888888</v>
      </c>
      <c r="T106" s="54">
        <v>0.347222222222222</v>
      </c>
      <c r="U106" s="58">
        <v>847.8125</v>
      </c>
      <c r="V106" s="54">
        <v>123435</v>
      </c>
    </row>
    <row r="107" spans="1:22" s="168" customFormat="1" ht="22.500000" customHeight="1">
      <c r="A107" s="34">
        <v>105</v>
      </c>
      <c r="B107" s="49">
        <v>148</v>
      </c>
      <c r="C107" s="49">
        <v>140</v>
      </c>
      <c r="D107" s="49">
        <v>83</v>
      </c>
      <c r="E107" s="49">
        <v>38</v>
      </c>
      <c r="F107" s="50">
        <f>(C107*100)/B107</f>
        <v>94.5945945945946</v>
      </c>
      <c r="G107" s="156">
        <f>(D107*100)/B107</f>
        <v>56.0810810810811</v>
      </c>
      <c r="H107" s="152">
        <f>((B107-B108)/B107)*100</f>
        <v>2.7027027027027</v>
      </c>
      <c r="I107" s="52">
        <f>((B107-C107)/B107)*100</f>
        <v>5.40540540540541</v>
      </c>
      <c r="J107" s="52">
        <f>((C107-B108)/C107)*100</f>
        <v>-2.85714285714286</v>
      </c>
      <c r="K107" s="152"/>
      <c r="L107" s="54">
        <v>1.26428571428571</v>
      </c>
      <c r="M107" s="117" t="s">
        <v>28</v>
      </c>
      <c r="N107" s="54">
        <v>2.49</v>
      </c>
      <c r="O107" s="56">
        <f>N107/C107</f>
        <v>0.0177857142857143</v>
      </c>
      <c r="P107" s="57">
        <f>(Boosters_IOS!B107*100)/Boosters_IOS!N107</f>
        <v>8.64278074314946</v>
      </c>
      <c r="Q107" s="57">
        <f>Boosters_IOS!B107/(C107+D107)</f>
        <v>0.225578364249433</v>
      </c>
      <c r="R107" s="57">
        <f>Boosters_IOS!N107/B107</f>
        <v>3.93266628660433</v>
      </c>
      <c r="S107" s="54">
        <v>11.7857142857142</v>
      </c>
      <c r="T107" s="54">
        <v>0.478571428571429</v>
      </c>
      <c r="U107" s="58">
        <v>702.071428571429</v>
      </c>
      <c r="V107" s="54">
        <v>104470</v>
      </c>
    </row>
    <row r="108" spans="1:22" s="168" customFormat="1" ht="22.500000" customHeight="1">
      <c r="A108" s="34">
        <v>106</v>
      </c>
      <c r="B108" s="49">
        <v>144</v>
      </c>
      <c r="C108" s="49">
        <v>140</v>
      </c>
      <c r="D108" s="49">
        <v>60</v>
      </c>
      <c r="E108" s="49">
        <v>38</v>
      </c>
      <c r="F108" s="50">
        <f>(C108*100)/B108</f>
        <v>97.2222222222222</v>
      </c>
      <c r="G108" s="156">
        <f>(D108*100)/B108</f>
        <v>41.6666666666667</v>
      </c>
      <c r="H108" s="152">
        <f>((B108-B109)/B108)*100</f>
        <v>-2.08333333333333</v>
      </c>
      <c r="I108" s="52">
        <f>((B108-C108)/B108)*100</f>
        <v>2.77777777777778</v>
      </c>
      <c r="J108" s="52">
        <f>((C108-B109)/C108)*100</f>
        <v>-5</v>
      </c>
      <c r="K108" s="152"/>
      <c r="L108" s="54">
        <v>1.27142857142857</v>
      </c>
      <c r="M108" s="125" t="s">
        <v>28</v>
      </c>
      <c r="N108" s="54">
        <v>2.99</v>
      </c>
      <c r="O108" s="56">
        <f>N108/C108</f>
        <v>0.0213571428571429</v>
      </c>
      <c r="P108" s="57">
        <f>(Boosters_IOS!B108*100)/Boosters_IOS!N108</f>
        <v>8.2194667196391</v>
      </c>
      <c r="Q108" s="57">
        <f>Boosters_IOS!B108/(C108+D108)</f>
        <v>0.205215900910494</v>
      </c>
      <c r="R108" s="57">
        <f>Boosters_IOS!N108/B108</f>
        <v>3.46764692065598</v>
      </c>
      <c r="S108" s="54">
        <v>4.20714285714285</v>
      </c>
      <c r="T108" s="54">
        <v>0.407142857142857</v>
      </c>
      <c r="U108" s="58">
        <v>739.678571428572</v>
      </c>
      <c r="V108" s="54">
        <v>87900</v>
      </c>
    </row>
    <row r="109" spans="1:22" s="168" customFormat="1" ht="22.500000" customHeight="1">
      <c r="A109" s="34">
        <v>107</v>
      </c>
      <c r="B109" s="49">
        <v>147</v>
      </c>
      <c r="C109" s="49">
        <v>142</v>
      </c>
      <c r="D109" s="49">
        <v>102</v>
      </c>
      <c r="E109" s="49">
        <v>64</v>
      </c>
      <c r="F109" s="50">
        <f>(C109*100)/B109</f>
        <v>96.5986394557823</v>
      </c>
      <c r="G109" s="156">
        <f>(D109*100)/B109</f>
        <v>69.3877551020408</v>
      </c>
      <c r="H109" s="152">
        <f>((B109-B110)/B109)*100</f>
        <v>0.680272108843537</v>
      </c>
      <c r="I109" s="52">
        <f>((B109-C109)/B109)*100</f>
        <v>3.40136054421769</v>
      </c>
      <c r="J109" s="52">
        <f>((C109-B110)/C109)*100</f>
        <v>-2.8169014084507</v>
      </c>
      <c r="K109" s="152"/>
      <c r="L109" s="54">
        <v>1.44366197183098</v>
      </c>
      <c r="M109" s="126" t="s">
        <v>29</v>
      </c>
      <c r="N109" s="54">
        <v>11.48</v>
      </c>
      <c r="O109" s="56">
        <f>N109/C109</f>
        <v>0.0808450704225352</v>
      </c>
      <c r="P109" s="57">
        <f>(Boosters_IOS!B109*100)/Boosters_IOS!N109</f>
        <v>19.8706000408713</v>
      </c>
      <c r="Q109" s="57">
        <f>Boosters_IOS!B109/(C109+D109)</f>
        <v>0.612605897457185</v>
      </c>
      <c r="R109" s="57">
        <f>Boosters_IOS!N109/B109</f>
        <v>5.11732126833745</v>
      </c>
      <c r="S109" s="54">
        <v>6.9225352112676</v>
      </c>
      <c r="T109" s="54">
        <v>0.570422535211268</v>
      </c>
      <c r="U109" s="58">
        <v>672.323943661972</v>
      </c>
      <c r="V109" s="54">
        <v>79790</v>
      </c>
    </row>
    <row r="110" spans="1:22" s="168" customFormat="1" ht="22.500000" customHeight="1">
      <c r="A110" s="34">
        <v>108</v>
      </c>
      <c r="B110" s="49">
        <v>146</v>
      </c>
      <c r="C110" s="49">
        <v>139</v>
      </c>
      <c r="D110" s="49">
        <v>72</v>
      </c>
      <c r="E110" s="49">
        <v>51</v>
      </c>
      <c r="F110" s="50">
        <f>(C110*100)/B110</f>
        <v>95.2054794520548</v>
      </c>
      <c r="G110" s="156">
        <f>(D110*100)/B110</f>
        <v>49.3150684931507</v>
      </c>
      <c r="H110" s="152">
        <f>((B110-B111)/B110)*100</f>
        <v>5.47945205479452</v>
      </c>
      <c r="I110" s="52">
        <f>((B110-C110)/B110)*100</f>
        <v>4.79452054794521</v>
      </c>
      <c r="J110" s="52">
        <f>((C110-B111)/C110)*100</f>
        <v>0.719424460431655</v>
      </c>
      <c r="K110" s="152"/>
      <c r="L110" s="54">
        <v>1.32374100719424</v>
      </c>
      <c r="M110" s="125" t="s">
        <v>28</v>
      </c>
      <c r="N110" s="54">
        <v>0</v>
      </c>
      <c r="O110" s="56">
        <f>N110/C110</f>
        <v>0</v>
      </c>
      <c r="P110" s="57">
        <f>(Boosters_IOS!B110*100)/Boosters_IOS!N110</f>
        <v>11.0858841489277</v>
      </c>
      <c r="Q110" s="57">
        <f>Boosters_IOS!B110/(C110+D110)</f>
        <v>0.291362810106563</v>
      </c>
      <c r="R110" s="57">
        <f>Boosters_IOS!N110/B110</f>
        <v>3.79833601017093</v>
      </c>
      <c r="S110" s="54">
        <v>8.09352517985611</v>
      </c>
      <c r="T110" s="54">
        <v>0.438848920863309</v>
      </c>
      <c r="U110" s="58">
        <v>670.323741007194</v>
      </c>
      <c r="V110" s="54">
        <v>82565</v>
      </c>
    </row>
    <row r="111" spans="1:22" s="168" customFormat="1" ht="22.500000" customHeight="1">
      <c r="A111" s="34">
        <v>109</v>
      </c>
      <c r="B111" s="49">
        <v>138</v>
      </c>
      <c r="C111" s="49">
        <v>137</v>
      </c>
      <c r="D111" s="49">
        <v>33</v>
      </c>
      <c r="E111" s="49">
        <v>21</v>
      </c>
      <c r="F111" s="50">
        <f>(C111*100)/B111</f>
        <v>99.2753623188406</v>
      </c>
      <c r="G111" s="156">
        <f>(D111*100)/B111</f>
        <v>23.9130434782609</v>
      </c>
      <c r="H111" s="152">
        <f>((B111-B112)/B111)*100</f>
        <v>-2.17391304347826</v>
      </c>
      <c r="I111" s="52">
        <f>((B111-C111)/B111)*100</f>
        <v>0.72463768115942</v>
      </c>
      <c r="J111" s="52">
        <f>((C111-B112)/C111)*100</f>
        <v>-2.91970802919708</v>
      </c>
      <c r="K111" s="152"/>
      <c r="L111" s="54">
        <v>1.13138686131386</v>
      </c>
      <c r="M111" s="117" t="s">
        <v>28</v>
      </c>
      <c r="N111" s="54">
        <v>0</v>
      </c>
      <c r="O111" s="56">
        <f>N111/C111</f>
        <v>0</v>
      </c>
      <c r="P111" s="57">
        <f>(Boosters_IOS!B111*100)/Boosters_IOS!N111</f>
        <v>0</v>
      </c>
      <c r="Q111" s="57">
        <f>Boosters_IOS!B111/(C111+D111)</f>
        <v>0</v>
      </c>
      <c r="R111" s="57">
        <f>Boosters_IOS!N111/B111</f>
        <v>2.89601026582909</v>
      </c>
      <c r="S111" s="54">
        <v>4.17518248175182</v>
      </c>
      <c r="T111" s="54">
        <v>0.357664233576642</v>
      </c>
      <c r="U111" s="58">
        <v>701.642335766423</v>
      </c>
      <c r="V111" s="54">
        <v>92630</v>
      </c>
    </row>
    <row r="112" spans="1:22" s="168" customFormat="1" ht="22.500000" customHeight="1">
      <c r="A112" s="34">
        <v>110</v>
      </c>
      <c r="B112" s="49">
        <v>141</v>
      </c>
      <c r="C112" s="49">
        <v>138</v>
      </c>
      <c r="D112" s="49">
        <v>62</v>
      </c>
      <c r="E112" s="49">
        <v>34</v>
      </c>
      <c r="F112" s="50">
        <f>(C112*100)/B112</f>
        <v>97.8723404255319</v>
      </c>
      <c r="G112" s="156">
        <f>(D112*100)/B112</f>
        <v>43.9716312056738</v>
      </c>
      <c r="H112" s="152">
        <f>((B112-B113)/B112)*100</f>
        <v>-2.83687943262411</v>
      </c>
      <c r="I112" s="52">
        <f>((B112-C112)/B112)*100</f>
        <v>2.12765957446809</v>
      </c>
      <c r="J112" s="52">
        <f>((C112-B113)/C112)*100</f>
        <v>-5.07246376811594</v>
      </c>
      <c r="K112" s="152"/>
      <c r="L112" s="54">
        <v>1.2463768115942</v>
      </c>
      <c r="M112" s="125" t="s">
        <v>28</v>
      </c>
      <c r="N112" s="54">
        <v>5.98</v>
      </c>
      <c r="O112" s="56">
        <f>N112/C112</f>
        <v>0.0433333333333333</v>
      </c>
      <c r="P112" s="57">
        <f>(Boosters_IOS!B112*100)/Boosters_IOS!N112</f>
        <v>4.11627730548426</v>
      </c>
      <c r="Q112" s="57">
        <f>Boosters_IOS!B112/(C112+D112)</f>
        <v>0.101303975227624</v>
      </c>
      <c r="R112" s="57">
        <f>Boosters_IOS!N112/B112</f>
        <v>3.49086252502245</v>
      </c>
      <c r="S112" s="54">
        <v>4.72463768115942</v>
      </c>
      <c r="T112" s="54">
        <v>0.420289855072464</v>
      </c>
      <c r="U112" s="58">
        <v>692.159420289855</v>
      </c>
      <c r="V112" s="54">
        <v>91580</v>
      </c>
    </row>
    <row r="113" spans="1:22" s="168" customFormat="1" ht="22.500000" customHeight="1">
      <c r="A113" s="34">
        <v>111</v>
      </c>
      <c r="B113" s="49">
        <v>145</v>
      </c>
      <c r="C113" s="49">
        <v>140</v>
      </c>
      <c r="D113" s="49">
        <v>76</v>
      </c>
      <c r="E113" s="49">
        <v>49</v>
      </c>
      <c r="F113" s="50">
        <f>(C113*100)/B113</f>
        <v>96.551724137931</v>
      </c>
      <c r="G113" s="156">
        <f>(D113*100)/B113</f>
        <v>52.4137931034483</v>
      </c>
      <c r="H113" s="152">
        <f>((B113-B114)/B113)*100</f>
        <v>-7.58620689655172</v>
      </c>
      <c r="I113" s="52">
        <f>((B113-C113)/B113)*100</f>
        <v>3.44827586206897</v>
      </c>
      <c r="J113" s="52">
        <f>((C113-B114)/C113)*100</f>
        <v>-11.4285714285714</v>
      </c>
      <c r="K113" s="152"/>
      <c r="L113" s="54">
        <v>1.34285714285714</v>
      </c>
      <c r="M113" s="117" t="s">
        <v>28</v>
      </c>
      <c r="N113" s="54">
        <v>1.88</v>
      </c>
      <c r="O113" s="56">
        <f>N113/C113</f>
        <v>0.0134285714285714</v>
      </c>
      <c r="P113" s="57">
        <f>(Boosters_IOS!B113*100)/Boosters_IOS!N113</f>
        <v>16.4561211310549</v>
      </c>
      <c r="Q113" s="57">
        <f>Boosters_IOS!B113/(C113+D113)</f>
        <v>0.400962733589107</v>
      </c>
      <c r="R113" s="57">
        <f>Boosters_IOS!N113/B113</f>
        <v>3.62962939613401</v>
      </c>
      <c r="S113" s="54">
        <v>6.72857142857142</v>
      </c>
      <c r="T113" s="54">
        <v>0.428571428571429</v>
      </c>
      <c r="U113" s="58">
        <v>651.342857142857</v>
      </c>
      <c r="V113" s="54">
        <v>75135</v>
      </c>
    </row>
    <row r="114" spans="1:22" s="168" customFormat="1" ht="22.500000" customHeight="1">
      <c r="A114" s="34">
        <v>112</v>
      </c>
      <c r="B114" s="49">
        <v>156</v>
      </c>
      <c r="C114" s="49">
        <v>139</v>
      </c>
      <c r="D114" s="49">
        <v>119</v>
      </c>
      <c r="E114" s="49">
        <v>89</v>
      </c>
      <c r="F114" s="50">
        <f>(C114*100)/B114</f>
        <v>89.1025641025641</v>
      </c>
      <c r="G114" s="156">
        <f>(D114*100)/B114</f>
        <v>76.2820512820513</v>
      </c>
      <c r="H114" s="152">
        <f>((B114-B115)/B114)*100</f>
        <v>10.8974358974359</v>
      </c>
      <c r="I114" s="52">
        <f>((B114-C114)/B114)*100</f>
        <v>10.8974358974359</v>
      </c>
      <c r="J114" s="52">
        <f>((C114-B115)/C114)*100</f>
        <v>0</v>
      </c>
      <c r="K114" s="152"/>
      <c r="L114" s="54">
        <v>1.6978417266187</v>
      </c>
      <c r="M114" s="125" t="s">
        <v>28</v>
      </c>
      <c r="N114" s="54">
        <v>8.98</v>
      </c>
      <c r="O114" s="56">
        <f>N114/C114</f>
        <v>0.0646043165467626</v>
      </c>
      <c r="P114" s="57">
        <f>(Boosters_IOS!B114*100)/Boosters_IOS!N114</f>
        <v>12.7634415936667</v>
      </c>
      <c r="Q114" s="57">
        <f>Boosters_IOS!B114/(C114+D114)</f>
        <v>0.443032020444542</v>
      </c>
      <c r="R114" s="57">
        <f>Boosters_IOS!N114/B114</f>
        <v>5.74066796691006</v>
      </c>
      <c r="S114" s="54">
        <v>14.6258992805755</v>
      </c>
      <c r="T114" s="54">
        <v>0.633093525179856</v>
      </c>
      <c r="U114" s="58">
        <v>553.884892086331</v>
      </c>
      <c r="V114" s="54">
        <v>62020</v>
      </c>
    </row>
    <row r="115" spans="1:22" s="168" customFormat="1" ht="22.500000" customHeight="1">
      <c r="A115" s="34">
        <v>113</v>
      </c>
      <c r="B115" s="49">
        <v>139</v>
      </c>
      <c r="C115" s="49">
        <v>140</v>
      </c>
      <c r="D115" s="49">
        <v>2</v>
      </c>
      <c r="E115" s="49">
        <v>2</v>
      </c>
      <c r="F115" s="50">
        <f>(C115*100)/B115</f>
        <v>100.719424460432</v>
      </c>
      <c r="G115" s="156">
        <f>(D115*100)/B115</f>
        <v>1.43884892086331</v>
      </c>
      <c r="H115" s="152">
        <f>((B115-B116)/B115)*100</f>
        <v>-1.43884892086331</v>
      </c>
      <c r="I115" s="52">
        <f>((B115-C115)/B115)*100</f>
        <v>-0.719424460431655</v>
      </c>
      <c r="J115" s="52">
        <f>((C115-B116)/C115)*100</f>
        <v>-0.714285714285714</v>
      </c>
      <c r="K115" s="152"/>
      <c r="L115" s="54">
        <v>1</v>
      </c>
      <c r="M115" s="117" t="s">
        <v>28</v>
      </c>
      <c r="N115" s="54">
        <v>0</v>
      </c>
      <c r="O115" s="56">
        <f>N115/C115</f>
        <v>0</v>
      </c>
      <c r="P115" s="57">
        <f>(Boosters_IOS!B115*100)/Boosters_IOS!N115</f>
        <v>0.373437558071634</v>
      </c>
      <c r="Q115" s="57">
        <f>Boosters_IOS!B115/(C115+D115)</f>
        <v>0.00704225352112676</v>
      </c>
      <c r="R115" s="57">
        <f>Boosters_IOS!N115/B115</f>
        <v>1.92649197939981</v>
      </c>
      <c r="S115" s="54">
        <v>5.13571428571428</v>
      </c>
      <c r="T115" s="54">
        <v>0.271428571428571</v>
      </c>
      <c r="U115" s="58">
        <v>664.321428571429</v>
      </c>
      <c r="V115" s="54">
        <v>69455</v>
      </c>
    </row>
    <row r="116" spans="1:22" s="168" customFormat="1" ht="22.500000" customHeight="1">
      <c r="A116" s="34">
        <v>114</v>
      </c>
      <c r="B116" s="49">
        <v>141</v>
      </c>
      <c r="C116" s="49">
        <v>139</v>
      </c>
      <c r="D116" s="49">
        <v>27</v>
      </c>
      <c r="E116" s="49">
        <v>15</v>
      </c>
      <c r="F116" s="50">
        <f>(C116*100)/B116</f>
        <v>98.581560283688</v>
      </c>
      <c r="G116" s="156">
        <f>(D116*100)/B116</f>
        <v>19.1489361702128</v>
      </c>
      <c r="H116" s="152">
        <f>((B116-B117)/B116)*100</f>
        <v>-8.51063829787234</v>
      </c>
      <c r="I116" s="52">
        <f>((B116-C116)/B116)*100</f>
        <v>1.41843971631206</v>
      </c>
      <c r="J116" s="52">
        <f>((C116-B117)/C116)*100</f>
        <v>-10.0719424460432</v>
      </c>
      <c r="K116" s="152"/>
      <c r="L116" s="54">
        <v>1.11510791366906</v>
      </c>
      <c r="M116" s="125" t="s">
        <v>28</v>
      </c>
      <c r="N116" s="54">
        <v>0</v>
      </c>
      <c r="O116" s="56">
        <f>N116/C116</f>
        <v>0</v>
      </c>
      <c r="P116" s="57">
        <f>(Boosters_IOS!B116*100)/Boosters_IOS!N116</f>
        <v>3.51362321355004</v>
      </c>
      <c r="Q116" s="57">
        <f>Boosters_IOS!B116/(C116+D116)</f>
        <v>0.0762167928542878</v>
      </c>
      <c r="R116" s="57">
        <f>Boosters_IOS!N116/B116</f>
        <v>2.55378574067234</v>
      </c>
      <c r="S116" s="54">
        <v>4.08633093525179</v>
      </c>
      <c r="T116" s="54">
        <v>0.330935251798561</v>
      </c>
      <c r="U116" s="58">
        <v>668.812949640288</v>
      </c>
      <c r="V116" s="54">
        <v>72435</v>
      </c>
    </row>
    <row r="117" spans="1:22" s="168" customFormat="1" ht="22.500000" customHeight="1">
      <c r="A117" s="34">
        <v>115</v>
      </c>
      <c r="B117" s="49">
        <v>153</v>
      </c>
      <c r="C117" s="49">
        <v>138</v>
      </c>
      <c r="D117" s="49">
        <v>137</v>
      </c>
      <c r="E117" s="49">
        <v>82</v>
      </c>
      <c r="F117" s="50">
        <f>(C117*100)/B117</f>
        <v>90.1960784313726</v>
      </c>
      <c r="G117" s="156">
        <f>(D117*100)/B117</f>
        <v>89.5424836601307</v>
      </c>
      <c r="H117" s="152">
        <f>((B117-B118)/B117)*100</f>
        <v>9.80392156862745</v>
      </c>
      <c r="I117" s="52">
        <f>((B117-C117)/B117)*100</f>
        <v>9.80392156862745</v>
      </c>
      <c r="J117" s="52">
        <f>((C117-B118)/C117)*100</f>
        <v>0</v>
      </c>
      <c r="K117" s="152"/>
      <c r="L117" s="54">
        <v>2.07246376811594</v>
      </c>
      <c r="M117" s="127" t="s">
        <v>30</v>
      </c>
      <c r="N117" s="54">
        <v>34.1</v>
      </c>
      <c r="O117" s="56">
        <f>N117/C117</f>
        <v>0.247101449275362</v>
      </c>
      <c r="P117" s="57">
        <f>(Boosters_IOS!B117*100)/Boosters_IOS!N117</f>
        <v>13.2309250080602</v>
      </c>
      <c r="Q117" s="57">
        <f>Boosters_IOS!B117/(C117+D117)</f>
        <v>0.385288177776377</v>
      </c>
      <c r="R117" s="57">
        <f>Boosters_IOS!N117/B117</f>
        <v>5.23403639746987</v>
      </c>
      <c r="S117" s="54">
        <v>5.68115942028985</v>
      </c>
      <c r="T117" s="54">
        <v>0.717391304347826</v>
      </c>
      <c r="U117" s="58">
        <v>525.18115942029</v>
      </c>
      <c r="V117" s="54">
        <v>48980</v>
      </c>
    </row>
    <row r="118" spans="1:22" s="168" customFormat="1" ht="22.500000" customHeight="1">
      <c r="A118" s="34">
        <v>116</v>
      </c>
      <c r="B118" s="49">
        <v>138</v>
      </c>
      <c r="C118" s="49">
        <v>138</v>
      </c>
      <c r="D118" s="49">
        <v>32</v>
      </c>
      <c r="E118" s="49">
        <v>22</v>
      </c>
      <c r="F118" s="50">
        <f>(C118*100)/B118</f>
        <v>100</v>
      </c>
      <c r="G118" s="156">
        <f>(D118*100)/B118</f>
        <v>23.1884057971015</v>
      </c>
      <c r="H118" s="152">
        <f>((B118-B119)/B118)*100</f>
        <v>-2.17391304347826</v>
      </c>
      <c r="I118" s="52">
        <f>((B118-C118)/B118)*100</f>
        <v>0</v>
      </c>
      <c r="J118" s="52">
        <f>((C118-B119)/C118)*100</f>
        <v>-2.17391304347826</v>
      </c>
      <c r="K118" s="152"/>
      <c r="L118" s="54">
        <v>1.10144927536231</v>
      </c>
      <c r="M118" s="125" t="s">
        <v>28</v>
      </c>
      <c r="N118" s="54">
        <v>0</v>
      </c>
      <c r="O118" s="56">
        <f>N118/C118</f>
        <v>0</v>
      </c>
      <c r="P118" s="57">
        <f>(Boosters_IOS!B118*100)/Boosters_IOS!N118</f>
        <v>6.92114801428625</v>
      </c>
      <c r="Q118" s="57">
        <f>Boosters_IOS!B118/(C118+D118)</f>
        <v>0.119181147326616</v>
      </c>
      <c r="R118" s="57">
        <f>Boosters_IOS!N118/B118</f>
        <v>2.12128616667785</v>
      </c>
      <c r="S118" s="54">
        <v>5.28985507246376</v>
      </c>
      <c r="T118" s="54">
        <v>0.326086956521739</v>
      </c>
      <c r="U118" s="58">
        <v>599.63768115942</v>
      </c>
      <c r="V118" s="54">
        <v>53560</v>
      </c>
    </row>
    <row r="119" spans="1:22" s="168" customFormat="1" ht="22.500000" customHeight="1">
      <c r="A119" s="34">
        <v>117</v>
      </c>
      <c r="B119" s="49">
        <v>141</v>
      </c>
      <c r="C119" s="49">
        <v>140</v>
      </c>
      <c r="D119" s="49">
        <v>34</v>
      </c>
      <c r="E119" s="49">
        <v>37</v>
      </c>
      <c r="F119" s="50">
        <f>(C119*100)/B119</f>
        <v>99.290780141844</v>
      </c>
      <c r="G119" s="156">
        <f>(D119*100)/B119</f>
        <v>24.113475177305</v>
      </c>
      <c r="H119" s="152">
        <f>((B119-B120)/B119)*100</f>
        <v>-2.83687943262411</v>
      </c>
      <c r="I119" s="52">
        <f>((B119-C119)/B119)*100</f>
        <v>0.709219858156028</v>
      </c>
      <c r="J119" s="52">
        <f>((C119-B120)/C119)*100</f>
        <v>-3.57142857142857</v>
      </c>
      <c r="K119" s="152"/>
      <c r="L119" s="54">
        <v>1.2</v>
      </c>
      <c r="M119" s="126" t="s">
        <v>29</v>
      </c>
      <c r="N119" s="54">
        <v>4.49</v>
      </c>
      <c r="O119" s="56">
        <f>N119/C119</f>
        <v>0.0320714285714286</v>
      </c>
      <c r="P119" s="57">
        <f>(Boosters_IOS!B119*100)/Boosters_IOS!N119</f>
        <v>13.808985870178</v>
      </c>
      <c r="Q119" s="57">
        <f>Boosters_IOS!B119/(C119+D119)</f>
        <v>0.224386093000568</v>
      </c>
      <c r="R119" s="57">
        <f>Boosters_IOS!N119/B119</f>
        <v>2.00523043263506</v>
      </c>
      <c r="S119" s="54">
        <v>7.00714285714285</v>
      </c>
      <c r="T119" s="54">
        <v>0.357142857142857</v>
      </c>
      <c r="U119" s="58">
        <v>657.5</v>
      </c>
      <c r="V119" s="54">
        <v>60010</v>
      </c>
    </row>
    <row r="120" spans="1:22" s="168" customFormat="1" ht="22.500000" customHeight="1">
      <c r="A120" s="34">
        <v>118</v>
      </c>
      <c r="B120" s="49">
        <v>145</v>
      </c>
      <c r="C120" s="49">
        <v>138</v>
      </c>
      <c r="D120" s="49">
        <v>57</v>
      </c>
      <c r="E120" s="49">
        <v>41</v>
      </c>
      <c r="F120" s="50">
        <f>(C120*100)/B120</f>
        <v>95.1724137931035</v>
      </c>
      <c r="G120" s="156">
        <f>(D120*100)/B120</f>
        <v>39.3103448275862</v>
      </c>
      <c r="H120" s="152">
        <f>((B120-B121)/B120)*100</f>
        <v>5.51724137931035</v>
      </c>
      <c r="I120" s="52">
        <f>((B120-C120)/B120)*100</f>
        <v>4.82758620689655</v>
      </c>
      <c r="J120" s="52">
        <f>((C120-B121)/C120)*100</f>
        <v>0.72463768115942</v>
      </c>
      <c r="K120" s="152"/>
      <c r="L120" s="54">
        <v>1.3695652173913</v>
      </c>
      <c r="M120" s="125" t="s">
        <v>28</v>
      </c>
      <c r="N120" s="54">
        <v>0</v>
      </c>
      <c r="O120" s="56">
        <f>N120/C120</f>
        <v>0</v>
      </c>
      <c r="P120" s="57">
        <f>(Boosters_IOS!B120*100)/Boosters_IOS!N120</f>
        <v>28.696807949408</v>
      </c>
      <c r="Q120" s="57">
        <f>Boosters_IOS!B120/(C120+D120)</f>
        <v>0.517944323197611</v>
      </c>
      <c r="R120" s="57">
        <f>Boosters_IOS!N120/B120</f>
        <v>2.42725886162464</v>
      </c>
      <c r="S120" s="54">
        <v>3.38405797101449</v>
      </c>
      <c r="T120" s="54">
        <v>0.507246376811594</v>
      </c>
      <c r="U120" s="58">
        <v>628.115942028986</v>
      </c>
      <c r="V120" s="54">
        <v>62500</v>
      </c>
    </row>
    <row r="121" spans="1:22" s="168" customFormat="1" ht="22.500000" customHeight="1">
      <c r="A121" s="34">
        <v>119</v>
      </c>
      <c r="B121" s="49">
        <v>137</v>
      </c>
      <c r="C121" s="49">
        <v>136</v>
      </c>
      <c r="D121" s="49">
        <v>54</v>
      </c>
      <c r="E121" s="49">
        <v>30</v>
      </c>
      <c r="F121" s="50">
        <f>(C121*100)/B121</f>
        <v>99.2700729927007</v>
      </c>
      <c r="G121" s="156">
        <f>(D121*100)/B121</f>
        <v>39.4160583941606</v>
      </c>
      <c r="H121" s="152">
        <f>((B121-B122)/B121)*100</f>
        <v>-18.978102189781</v>
      </c>
      <c r="I121" s="52">
        <f>((B121-C121)/B121)*100</f>
        <v>0.72992700729927</v>
      </c>
      <c r="J121" s="52">
        <f>((C121-B122)/C121)*100</f>
        <v>-19.8529411764706</v>
      </c>
      <c r="K121" s="152"/>
      <c r="L121" s="54">
        <v>1.23529411764705</v>
      </c>
      <c r="M121" s="117" t="s">
        <v>28</v>
      </c>
      <c r="N121" s="54">
        <v>4.99</v>
      </c>
      <c r="O121" s="56">
        <f>N121/C121</f>
        <v>0.0366911764705882</v>
      </c>
      <c r="P121" s="57">
        <f>(Boosters_IOS!B121*100)/Boosters_IOS!N121</f>
        <v>1.34517497699996</v>
      </c>
      <c r="Q121" s="57">
        <f>Boosters_IOS!B121/(C121+D121)</f>
        <v>0.0322652501198018</v>
      </c>
      <c r="R121" s="57">
        <f>Boosters_IOS!N121/B121</f>
        <v>3.32651349739232</v>
      </c>
      <c r="S121" s="54">
        <v>6.56617647058823</v>
      </c>
      <c r="T121" s="54">
        <v>0.433823529411765</v>
      </c>
      <c r="U121" s="58">
        <v>619.411764705882</v>
      </c>
      <c r="V121" s="54">
        <v>60645</v>
      </c>
    </row>
    <row r="122" spans="1:22" s="168" customFormat="1" ht="22.500000" customHeight="1">
      <c r="A122" s="34">
        <v>120</v>
      </c>
      <c r="B122" s="49">
        <v>163</v>
      </c>
      <c r="C122" s="49">
        <v>124</v>
      </c>
      <c r="D122" s="49">
        <v>151</v>
      </c>
      <c r="E122" s="49">
        <v>101</v>
      </c>
      <c r="F122" s="50">
        <f>(C122*100)/B122</f>
        <v>76.0736196319018</v>
      </c>
      <c r="G122" s="156">
        <f>(D122*100)/B122</f>
        <v>92.638036809816</v>
      </c>
      <c r="H122" s="151">
        <f>((B122-B123)/B122)*100</f>
        <v>20.2453987730061</v>
      </c>
      <c r="I122" s="52">
        <f>((B122-C122)/B122)*100</f>
        <v>23.9263803680982</v>
      </c>
      <c r="J122" s="52">
        <f>((C122-B123)/C122)*100</f>
        <v>-4.83870967741936</v>
      </c>
      <c r="K122" s="152"/>
      <c r="L122" s="54">
        <v>2.14516129032258</v>
      </c>
      <c r="M122" s="124" t="s">
        <v>29</v>
      </c>
      <c r="N122" s="54">
        <v>29.73</v>
      </c>
      <c r="O122" s="56">
        <f>N122/C122</f>
        <v>0.239758064516129</v>
      </c>
      <c r="P122" s="57">
        <f>(Boosters_IOS!B122*100)/Boosters_IOS!N122</f>
        <v>21.3611138054506</v>
      </c>
      <c r="Q122" s="57">
        <f>Boosters_IOS!B122/(C122+D122)</f>
        <v>0.757296400593438</v>
      </c>
      <c r="R122" s="57">
        <f>Boosters_IOS!N122/B122</f>
        <v>5.98118297225066</v>
      </c>
      <c r="S122" s="54">
        <v>4.77419354838709</v>
      </c>
      <c r="T122" s="54">
        <v>0.887096774193548</v>
      </c>
      <c r="U122" s="58">
        <v>499.637096774194</v>
      </c>
      <c r="V122" s="54">
        <v>29395</v>
      </c>
    </row>
    <row r="123" spans="1:22" s="168" customFormat="1" ht="22.500000" customHeight="1">
      <c r="A123" s="34">
        <v>121</v>
      </c>
      <c r="B123" s="49">
        <v>130</v>
      </c>
      <c r="C123" s="49">
        <v>126</v>
      </c>
      <c r="D123" s="49">
        <v>67</v>
      </c>
      <c r="E123" s="49">
        <v>39</v>
      </c>
      <c r="F123" s="50">
        <f>(C123*100)/B123</f>
        <v>96.9230769230769</v>
      </c>
      <c r="G123" s="156">
        <f>(D123*100)/B123</f>
        <v>51.5384615384615</v>
      </c>
      <c r="H123" s="152">
        <f>((B123-B124)/B123)*100</f>
        <v>2.30769230769231</v>
      </c>
      <c r="I123" s="52">
        <f>((B123-C123)/B123)*100</f>
        <v>3.07692307692308</v>
      </c>
      <c r="J123" s="52">
        <f>((C123-B124)/C123)*100</f>
        <v>-0.793650793650794</v>
      </c>
      <c r="K123" s="152"/>
      <c r="L123" s="54">
        <v>1.46031746031746</v>
      </c>
      <c r="M123" s="117" t="s">
        <v>28</v>
      </c>
      <c r="N123" s="54">
        <v>12.48</v>
      </c>
      <c r="O123" s="56">
        <f>N123/C123</f>
        <v>0.0990476190476191</v>
      </c>
      <c r="P123" s="57">
        <f>(Boosters_IOS!B123*100)/Boosters_IOS!N123</f>
        <v>12.3663544490408</v>
      </c>
      <c r="Q123" s="57">
        <f>Boosters_IOS!B123/(C123+D123)</f>
        <v>0.307050751531216</v>
      </c>
      <c r="R123" s="57">
        <f>Boosters_IOS!N123/B123</f>
        <v>3.68623001596333</v>
      </c>
      <c r="S123" s="54">
        <v>5.07936507936507</v>
      </c>
      <c r="T123" s="54">
        <v>0.611111111111111</v>
      </c>
      <c r="U123" s="58">
        <v>546.388888888889</v>
      </c>
      <c r="V123" s="54">
        <v>33265</v>
      </c>
    </row>
    <row r="124" spans="1:22" s="168" customFormat="1" ht="22.500000" customHeight="1">
      <c r="A124" s="34">
        <v>122</v>
      </c>
      <c r="B124" s="49">
        <v>127</v>
      </c>
      <c r="C124" s="49">
        <v>127</v>
      </c>
      <c r="D124" s="49">
        <v>2</v>
      </c>
      <c r="E124" s="49">
        <v>1</v>
      </c>
      <c r="F124" s="50">
        <f>(C124*100)/B124</f>
        <v>100</v>
      </c>
      <c r="G124" s="156">
        <f>(D124*100)/B124</f>
        <v>1.5748031496063</v>
      </c>
      <c r="H124" s="152">
        <f>((B124-B125)/B124)*100</f>
        <v>0.78740157480315</v>
      </c>
      <c r="I124" s="52">
        <f>((B124-C124)/B124)*100</f>
        <v>0</v>
      </c>
      <c r="J124" s="52">
        <f>((C124-B125)/C124)*100</f>
        <v>0.78740157480315</v>
      </c>
      <c r="K124" s="152"/>
      <c r="L124" s="54">
        <v>1.00787401574803</v>
      </c>
      <c r="M124" s="124" t="s">
        <v>29</v>
      </c>
      <c r="N124" s="54">
        <v>0</v>
      </c>
      <c r="O124" s="56">
        <f>N124/C124</f>
        <v>0</v>
      </c>
      <c r="P124" s="57">
        <f>(Boosters_IOS!B124*100)/Boosters_IOS!N124</f>
        <v>1.57318787557626</v>
      </c>
      <c r="Q124" s="57">
        <f>Boosters_IOS!B124/(C124+D124)</f>
        <v>0.0310077519379845</v>
      </c>
      <c r="R124" s="57">
        <f>Boosters_IOS!N124/B124</f>
        <v>2.00205350429547</v>
      </c>
      <c r="S124" s="54">
        <v>3.32283464566929</v>
      </c>
      <c r="T124" s="54">
        <v>0.37007874015748</v>
      </c>
      <c r="U124" s="58">
        <v>611.889763779528</v>
      </c>
      <c r="V124" s="54">
        <v>40050</v>
      </c>
    </row>
    <row r="125" spans="1:22" s="168" customFormat="1" ht="22.500000" customHeight="1">
      <c r="A125" s="34">
        <v>123</v>
      </c>
      <c r="B125" s="49">
        <v>126</v>
      </c>
      <c r="C125" s="49">
        <v>126</v>
      </c>
      <c r="D125" s="49">
        <v>0</v>
      </c>
      <c r="E125" s="49">
        <v>0</v>
      </c>
      <c r="F125" s="50">
        <f>(C125*100)/B125</f>
        <v>100</v>
      </c>
      <c r="G125" s="156">
        <f>(D125*100)/B125</f>
        <v>0</v>
      </c>
      <c r="H125" s="152">
        <f>((B125-B126)/B125)*100</f>
        <v>-7.93650793650794</v>
      </c>
      <c r="I125" s="52">
        <f>((B125-C125)/B125)*100</f>
        <v>0</v>
      </c>
      <c r="J125" s="52">
        <f>((C125-B126)/C125)*100</f>
        <v>-7.93650793650794</v>
      </c>
      <c r="K125" s="152"/>
      <c r="L125" s="54">
        <v>1.01587301587301</v>
      </c>
      <c r="M125" s="117" t="s">
        <v>28</v>
      </c>
      <c r="N125" s="54">
        <v>0</v>
      </c>
      <c r="O125" s="56">
        <f>N125/C125</f>
        <v>0</v>
      </c>
      <c r="P125" s="57">
        <f>(Boosters_IOS!B125*100)/Boosters_IOS!N125</f>
        <v>0</v>
      </c>
      <c r="Q125" s="57">
        <f>Boosters_IOS!B125/(C125+D125)</f>
        <v>0</v>
      </c>
      <c r="R125" s="57">
        <f>Boosters_IOS!N125/B125</f>
        <v>2.03174603174603</v>
      </c>
      <c r="S125" s="54">
        <v>3.96031746031746</v>
      </c>
      <c r="T125" s="54">
        <v>0.357142857142857</v>
      </c>
      <c r="U125" s="58">
        <v>668.809523809524</v>
      </c>
      <c r="V125" s="54">
        <v>45910</v>
      </c>
    </row>
    <row r="126" spans="1:22" s="168" customFormat="1" ht="22.500000" customHeight="1">
      <c r="A126" s="34">
        <v>124</v>
      </c>
      <c r="B126" s="49">
        <v>136</v>
      </c>
      <c r="C126" s="49">
        <v>122</v>
      </c>
      <c r="D126" s="49">
        <v>127</v>
      </c>
      <c r="E126" s="49">
        <v>75</v>
      </c>
      <c r="F126" s="50">
        <f>(C126*100)/B126</f>
        <v>89.7058823529412</v>
      </c>
      <c r="G126" s="156">
        <f>(D126*100)/B126</f>
        <v>93.3823529411765</v>
      </c>
      <c r="H126" s="152">
        <f>((B126-B127)/B126)*100</f>
        <v>9.55882352941177</v>
      </c>
      <c r="I126" s="52">
        <f>((B126-C126)/B126)*100</f>
        <v>10.2941176470588</v>
      </c>
      <c r="J126" s="52">
        <f>((C126-B127)/C126)*100</f>
        <v>-0.819672131147541</v>
      </c>
      <c r="K126" s="152"/>
      <c r="L126" s="54">
        <v>1.76229508196721</v>
      </c>
      <c r="M126" s="125" t="s">
        <v>28</v>
      </c>
      <c r="N126" s="54">
        <v>26.25</v>
      </c>
      <c r="O126" s="56">
        <f>N126/C126</f>
        <v>0.21516393442623</v>
      </c>
      <c r="P126" s="57">
        <f>(Boosters_IOS!B126*100)/Boosters_IOS!N126</f>
        <v>30.2677644083143</v>
      </c>
      <c r="Q126" s="57">
        <f>Boosters_IOS!B126/(C126+D126)</f>
        <v>1.27515613374641</v>
      </c>
      <c r="R126" s="57">
        <f>Boosters_IOS!N126/B126</f>
        <v>7.71335745523278</v>
      </c>
      <c r="S126" s="54">
        <v>10.1475409836065</v>
      </c>
      <c r="T126" s="54">
        <v>0.811475409836066</v>
      </c>
      <c r="U126" s="58">
        <v>511.55737704918</v>
      </c>
      <c r="V126" s="54">
        <v>27105</v>
      </c>
    </row>
    <row r="127" spans="1:22" s="168" customFormat="1" ht="22.500000" customHeight="1">
      <c r="A127" s="34">
        <v>125</v>
      </c>
      <c r="B127" s="49">
        <v>123</v>
      </c>
      <c r="C127" s="49">
        <v>123</v>
      </c>
      <c r="D127" s="49">
        <v>1</v>
      </c>
      <c r="E127" s="49">
        <v>1</v>
      </c>
      <c r="F127" s="50">
        <f>(C127*100)/B127</f>
        <v>100</v>
      </c>
      <c r="G127" s="156">
        <f>(D127*100)/B127</f>
        <v>0.813008130081301</v>
      </c>
      <c r="H127" s="152">
        <f>((B127-B128)/B127)*100</f>
        <v>-0.813008130081301</v>
      </c>
      <c r="I127" s="52">
        <f>((B127-C127)/B127)*100</f>
        <v>0</v>
      </c>
      <c r="J127" s="52">
        <f>((C127-B128)/C127)*100</f>
        <v>-0.813008130081301</v>
      </c>
      <c r="K127" s="152"/>
      <c r="L127" s="54">
        <v>1.00813008130081</v>
      </c>
      <c r="M127" s="117" t="s">
        <v>28</v>
      </c>
      <c r="N127" s="54">
        <v>6.24</v>
      </c>
      <c r="O127" s="56">
        <f>N127/C127</f>
        <v>0.0507317073170732</v>
      </c>
      <c r="P127" s="57">
        <f>(Boosters_IOS!B127*100)/Boosters_IOS!N127</f>
        <v>0.413223140495868</v>
      </c>
      <c r="Q127" s="57">
        <f>Boosters_IOS!B127/(C127+D127)</f>
        <v>0.00806451612903226</v>
      </c>
      <c r="R127" s="57">
        <f>Boosters_IOS!N127/B127</f>
        <v>1.96747967479675</v>
      </c>
      <c r="S127" s="54">
        <v>5.89430894308943</v>
      </c>
      <c r="T127" s="54">
        <v>0.349593495934959</v>
      </c>
      <c r="U127" s="58">
        <v>564.227642276423</v>
      </c>
      <c r="V127" s="54">
        <v>32710</v>
      </c>
    </row>
    <row r="128" spans="1:22" s="168" customFormat="1" ht="22.500000" customHeight="1">
      <c r="A128" s="34">
        <v>126</v>
      </c>
      <c r="B128" s="49">
        <v>124</v>
      </c>
      <c r="C128" s="49">
        <v>124</v>
      </c>
      <c r="D128" s="49">
        <v>0</v>
      </c>
      <c r="E128" s="49">
        <v>0</v>
      </c>
      <c r="F128" s="50">
        <f>(C128*100)/B128</f>
        <v>100</v>
      </c>
      <c r="G128" s="156">
        <f>(D128*100)/B128</f>
        <v>0</v>
      </c>
      <c r="H128" s="152">
        <f>((B128-B129)/B128)*100</f>
        <v>0.806451612903226</v>
      </c>
      <c r="I128" s="52">
        <f>((B128-C128)/B128)*100</f>
        <v>0</v>
      </c>
      <c r="J128" s="52">
        <f>((C128-B129)/C128)*100</f>
        <v>0.806451612903226</v>
      </c>
      <c r="K128" s="161"/>
      <c r="L128" s="54">
        <v>1.00806451612903</v>
      </c>
      <c r="M128" s="125" t="s">
        <v>28</v>
      </c>
      <c r="N128" s="54">
        <v>0</v>
      </c>
      <c r="O128" s="56">
        <f>N128/C128</f>
        <v>0</v>
      </c>
      <c r="P128" s="57">
        <f>(Boosters_IOS!B128*100)/Boosters_IOS!N128</f>
        <v>0</v>
      </c>
      <c r="Q128" s="57">
        <f>Boosters_IOS!B128/(C128+D128)</f>
        <v>0</v>
      </c>
      <c r="R128" s="57">
        <f>Boosters_IOS!N128/B128</f>
        <v>1.96774193548387</v>
      </c>
      <c r="S128" s="54">
        <v>9.58870967741935</v>
      </c>
      <c r="T128" s="54">
        <v>0.346774193548387</v>
      </c>
      <c r="U128" s="58">
        <v>633.185483870968</v>
      </c>
      <c r="V128" s="54">
        <v>40300</v>
      </c>
    </row>
    <row r="129" spans="1:22" s="168" customFormat="1" ht="22.500000" customHeight="1">
      <c r="A129" s="34">
        <v>127</v>
      </c>
      <c r="B129" s="49">
        <v>123</v>
      </c>
      <c r="C129" s="49">
        <v>122</v>
      </c>
      <c r="D129" s="49">
        <v>12</v>
      </c>
      <c r="E129" s="49">
        <v>9</v>
      </c>
      <c r="F129" s="50">
        <f>(C129*100)/B129</f>
        <v>99.1869918699187</v>
      </c>
      <c r="G129" s="156">
        <f>(D129*100)/B129</f>
        <v>9.75609756097561</v>
      </c>
      <c r="H129" s="152">
        <f>((B129-B130)/B129)*100</f>
        <v>-4.87804878048781</v>
      </c>
      <c r="I129" s="52">
        <f>((B129-C129)/B129)*100</f>
        <v>0.813008130081301</v>
      </c>
      <c r="J129" s="52">
        <f>((C129-B130)/C129)*100</f>
        <v>-5.73770491803279</v>
      </c>
      <c r="K129" s="161"/>
      <c r="L129" s="54">
        <v>1.04918032786885</v>
      </c>
      <c r="M129" s="117" t="s">
        <v>28</v>
      </c>
      <c r="N129" s="54">
        <v>0</v>
      </c>
      <c r="O129" s="56">
        <f>N129/C129</f>
        <v>0</v>
      </c>
      <c r="P129" s="57">
        <f>(Boosters_IOS!B129*100)/Boosters_IOS!N129</f>
        <v>3.57728957708208</v>
      </c>
      <c r="Q129" s="57">
        <f>Boosters_IOS!B129/(C129+D129)</f>
        <v>0.0775462131961722</v>
      </c>
      <c r="R129" s="57">
        <f>Boosters_IOS!N129/B129</f>
        <v>2.36159915411397</v>
      </c>
      <c r="S129" s="54">
        <v>6.68852459016393</v>
      </c>
      <c r="T129" s="54">
        <v>0.360655737704918</v>
      </c>
      <c r="U129" s="58">
        <v>644.959016393443</v>
      </c>
      <c r="V129" s="54">
        <v>44820</v>
      </c>
    </row>
    <row r="130" spans="1:22" s="168" customFormat="1" ht="22.500000" customHeight="1">
      <c r="A130" s="34">
        <v>128</v>
      </c>
      <c r="B130" s="49">
        <v>129</v>
      </c>
      <c r="C130" s="49">
        <v>121</v>
      </c>
      <c r="D130" s="49">
        <v>87</v>
      </c>
      <c r="E130" s="49">
        <v>59</v>
      </c>
      <c r="F130" s="50">
        <f>(C130*100)/B130</f>
        <v>93.7984496124031</v>
      </c>
      <c r="G130" s="156">
        <f>(D130*100)/B130</f>
        <v>67.4418604651163</v>
      </c>
      <c r="H130" s="152">
        <f>((B130-B131)/B130)*100</f>
        <v>6.97674418604651</v>
      </c>
      <c r="I130" s="52">
        <f>((B130-C130)/B130)*100</f>
        <v>6.2015503875969</v>
      </c>
      <c r="J130" s="52">
        <f>((C130-B131)/C130)*100</f>
        <v>0.826446280991736</v>
      </c>
      <c r="K130" s="161"/>
      <c r="L130" s="54">
        <v>1.35537190082644</v>
      </c>
      <c r="M130" s="125" t="s">
        <v>28</v>
      </c>
      <c r="N130" s="54">
        <v>0</v>
      </c>
      <c r="O130" s="56">
        <f>N130/C130</f>
        <v>0</v>
      </c>
      <c r="P130" s="57">
        <f>(Boosters_IOS!B130*100)/Boosters_IOS!N130</f>
        <v>6.89442575190528</v>
      </c>
      <c r="Q130" s="57">
        <f>Boosters_IOS!B130/(C130+D130)</f>
        <v>0.230765110690068</v>
      </c>
      <c r="R130" s="57">
        <f>Boosters_IOS!N130/B130</f>
        <v>5.39691619602357</v>
      </c>
      <c r="S130" s="54">
        <v>4.44628099173553</v>
      </c>
      <c r="T130" s="54">
        <v>0.578512396694215</v>
      </c>
      <c r="U130" s="58">
        <v>630.454545454546</v>
      </c>
      <c r="V130" s="54">
        <v>37465</v>
      </c>
    </row>
    <row r="131" spans="1:22" s="168" customFormat="1" ht="22.500000" customHeight="1">
      <c r="A131" s="34">
        <v>129</v>
      </c>
      <c r="B131" s="49">
        <v>120</v>
      </c>
      <c r="C131" s="49">
        <v>119</v>
      </c>
      <c r="D131" s="49">
        <v>42</v>
      </c>
      <c r="E131" s="49">
        <v>16</v>
      </c>
      <c r="F131" s="50">
        <f>(C131*100)/B131</f>
        <v>99.1666666666667</v>
      </c>
      <c r="G131" s="156">
        <f>(D131*100)/B131</f>
        <v>35</v>
      </c>
      <c r="H131" s="152">
        <f>((B131-B132)/B131)*100</f>
        <v>1.66666666666667</v>
      </c>
      <c r="I131" s="52">
        <f>((B131-C131)/B131)*100</f>
        <v>0.833333333333333</v>
      </c>
      <c r="J131" s="52">
        <f>((C131-B132)/C131)*100</f>
        <v>0.840336134453782</v>
      </c>
      <c r="K131" s="161"/>
      <c r="L131" s="54">
        <v>1.11764705882352</v>
      </c>
      <c r="M131" s="117" t="s">
        <v>28</v>
      </c>
      <c r="N131" s="54">
        <v>0</v>
      </c>
      <c r="O131" s="56">
        <f>N131/C131</f>
        <v>0</v>
      </c>
      <c r="P131" s="57">
        <f>(Boosters_IOS!B131*100)/Boosters_IOS!N131</f>
        <v>5.96101704587261</v>
      </c>
      <c r="Q131" s="57">
        <f>Boosters_IOS!B131/(C131+D131)</f>
        <v>0.133674472615214</v>
      </c>
      <c r="R131" s="57">
        <f>Boosters_IOS!N131/B131</f>
        <v>3.00865746083142</v>
      </c>
      <c r="S131" s="54">
        <v>5.33613445378151</v>
      </c>
      <c r="T131" s="54">
        <v>0.428571428571429</v>
      </c>
      <c r="U131" s="58">
        <v>644.075630252101</v>
      </c>
      <c r="V131" s="54">
        <v>36520</v>
      </c>
    </row>
    <row r="132" spans="1:22" s="168" customFormat="1" ht="22.500000" customHeight="1">
      <c r="A132" s="34">
        <v>130</v>
      </c>
      <c r="B132" s="49">
        <v>118</v>
      </c>
      <c r="C132" s="49">
        <v>117</v>
      </c>
      <c r="D132" s="49">
        <v>44</v>
      </c>
      <c r="E132" s="49">
        <v>21</v>
      </c>
      <c r="F132" s="50">
        <f>(C132*100)/B132</f>
        <v>99.1525423728814</v>
      </c>
      <c r="G132" s="156">
        <f>(D132*100)/B132</f>
        <v>37.2881355932203</v>
      </c>
      <c r="H132" s="152">
        <f>((B132-B133)/B132)*100</f>
        <v>2.54237288135593</v>
      </c>
      <c r="I132" s="52">
        <f>((B132-C132)/B132)*100</f>
        <v>0.847457627118644</v>
      </c>
      <c r="J132" s="52">
        <f>((C132-B133)/C132)*100</f>
        <v>1.70940170940171</v>
      </c>
      <c r="K132" s="161"/>
      <c r="L132" s="54">
        <v>1.14529914529914</v>
      </c>
      <c r="M132" s="125" t="s">
        <v>28</v>
      </c>
      <c r="N132" s="54">
        <v>0</v>
      </c>
      <c r="O132" s="56">
        <f>N132/C132</f>
        <v>0</v>
      </c>
      <c r="P132" s="57">
        <f>(Boosters_IOS!B132*100)/Boosters_IOS!N132</f>
        <v>7.81382834574324</v>
      </c>
      <c r="Q132" s="57">
        <f>Boosters_IOS!B132/(C132+D132)</f>
        <v>0.152308012987885</v>
      </c>
      <c r="R132" s="57">
        <f>Boosters_IOS!N132/B132</f>
        <v>2.65951690160403</v>
      </c>
      <c r="S132" s="54">
        <v>9.73504273504273</v>
      </c>
      <c r="T132" s="54">
        <v>0.512820512820513</v>
      </c>
      <c r="U132" s="58">
        <v>642.948717948718</v>
      </c>
      <c r="V132" s="54">
        <v>35210</v>
      </c>
    </row>
    <row r="133" spans="1:22" s="168" customFormat="1" ht="22.500000" customHeight="1">
      <c r="A133" s="34">
        <v>131</v>
      </c>
      <c r="B133" s="49">
        <v>115</v>
      </c>
      <c r="C133" s="49">
        <v>116</v>
      </c>
      <c r="D133" s="49">
        <v>15</v>
      </c>
      <c r="E133" s="49">
        <v>7</v>
      </c>
      <c r="F133" s="50">
        <f>(C133*100)/B133</f>
        <v>100.869565217391</v>
      </c>
      <c r="G133" s="156">
        <f>(D133*100)/B133</f>
        <v>13.0434782608696</v>
      </c>
      <c r="H133" s="152">
        <f>((B133-B134)/B133)*100</f>
        <v>2.60869565217391</v>
      </c>
      <c r="I133" s="52">
        <f>((B133-C133)/B133)*100</f>
        <v>-0.869565217391304</v>
      </c>
      <c r="J133" s="52">
        <f>((C133-B134)/C133)*100</f>
        <v>3.44827586206897</v>
      </c>
      <c r="K133" s="161"/>
      <c r="L133" s="54">
        <v>1.03448275862068</v>
      </c>
      <c r="M133" s="117" t="s">
        <v>28</v>
      </c>
      <c r="N133" s="54">
        <v>0</v>
      </c>
      <c r="O133" s="56">
        <f>N133/C133</f>
        <v>0</v>
      </c>
      <c r="P133" s="57">
        <f>(Boosters_IOS!B133*100)/Boosters_IOS!N133</f>
        <v>9.20556230025612</v>
      </c>
      <c r="Q133" s="57">
        <f>Boosters_IOS!B133/(C133+D133)</f>
        <v>0.162296145385685</v>
      </c>
      <c r="R133" s="57">
        <f>Boosters_IOS!N133/B133</f>
        <v>2.00831272036031</v>
      </c>
      <c r="S133" s="54">
        <v>5.45689655172413</v>
      </c>
      <c r="T133" s="54">
        <v>0.396551724137931</v>
      </c>
      <c r="U133" s="58">
        <v>711.681034482759</v>
      </c>
      <c r="V133" s="54">
        <v>39320</v>
      </c>
    </row>
    <row r="134" spans="1:22" s="168" customFormat="1" ht="22.500000" customHeight="1">
      <c r="A134" s="34">
        <v>132</v>
      </c>
      <c r="B134" s="49">
        <v>112</v>
      </c>
      <c r="C134" s="49">
        <v>106</v>
      </c>
      <c r="D134" s="49">
        <v>50</v>
      </c>
      <c r="E134" s="49">
        <v>21</v>
      </c>
      <c r="F134" s="50">
        <f>(C134*100)/B134</f>
        <v>94.6428571428571</v>
      </c>
      <c r="G134" s="156">
        <f>(D134*100)/B134</f>
        <v>44.6428571428571</v>
      </c>
      <c r="H134" s="152">
        <f>((B134-B135)/B134)*100</f>
        <v>-8.03571428571429</v>
      </c>
      <c r="I134" s="52">
        <f>((B134-C134)/B134)*100</f>
        <v>5.35714285714286</v>
      </c>
      <c r="J134" s="52">
        <f>((C134-B135)/C134)*100</f>
        <v>-14.1509433962264</v>
      </c>
      <c r="K134" s="161"/>
      <c r="L134" s="54">
        <v>1.12264150943396</v>
      </c>
      <c r="M134" s="125" t="s">
        <v>28</v>
      </c>
      <c r="N134" s="54">
        <v>5.97</v>
      </c>
      <c r="O134" s="56">
        <f>N134/C134</f>
        <v>0.0563207547169811</v>
      </c>
      <c r="P134" s="57">
        <f>(Boosters_IOS!B134*100)/Boosters_IOS!N134</f>
        <v>10.5326669032492</v>
      </c>
      <c r="Q134" s="57">
        <f>Boosters_IOS!B134/(C134+D134)</f>
        <v>0.266717631123379</v>
      </c>
      <c r="R134" s="57">
        <f>Boosters_IOS!N134/B134</f>
        <v>3.52711769059677</v>
      </c>
      <c r="S134" s="54">
        <v>4.94339622641509</v>
      </c>
      <c r="T134" s="54">
        <v>0.556603773584906</v>
      </c>
      <c r="U134" s="58">
        <v>547.405660377358</v>
      </c>
      <c r="V134" s="54">
        <v>38510</v>
      </c>
    </row>
    <row r="135" spans="1:22" s="168" customFormat="1" ht="22.500000" customHeight="1">
      <c r="A135" s="34">
        <v>133</v>
      </c>
      <c r="B135" s="49">
        <v>121</v>
      </c>
      <c r="C135" s="49">
        <v>113</v>
      </c>
      <c r="D135" s="49">
        <v>94</v>
      </c>
      <c r="E135" s="49">
        <v>64</v>
      </c>
      <c r="F135" s="50">
        <f>(C135*100)/B135</f>
        <v>93.3884297520661</v>
      </c>
      <c r="G135" s="156">
        <f>(D135*100)/B135</f>
        <v>77.6859504132231</v>
      </c>
      <c r="H135" s="152">
        <f>((B135-B136)/B135)*100</f>
        <v>7.43801652892562</v>
      </c>
      <c r="I135" s="52">
        <f>((B135-C135)/B135)*100</f>
        <v>6.61157024793389</v>
      </c>
      <c r="J135" s="52">
        <f>((C135-B136)/C135)*100</f>
        <v>0.884955752212389</v>
      </c>
      <c r="K135" s="161"/>
      <c r="L135" s="54">
        <v>2.34513274336283</v>
      </c>
      <c r="M135" s="126" t="s">
        <v>29</v>
      </c>
      <c r="N135" s="54">
        <v>23.17</v>
      </c>
      <c r="O135" s="56">
        <f>N135/C135</f>
        <v>0.205044247787611</v>
      </c>
      <c r="P135" s="57">
        <f>(Boosters_IOS!B135*100)/Boosters_IOS!N135</f>
        <v>26.9584622137031</v>
      </c>
      <c r="Q135" s="57">
        <f>Boosters_IOS!B135/(C135+D135)</f>
        <v>0.712026466740848</v>
      </c>
      <c r="R135" s="57">
        <f>Boosters_IOS!N135/B135</f>
        <v>4.51841375421834</v>
      </c>
      <c r="S135" s="54">
        <v>4.23008849557522</v>
      </c>
      <c r="T135" s="54">
        <v>0.831858407079646</v>
      </c>
      <c r="U135" s="58">
        <v>488.185840707965</v>
      </c>
      <c r="V135" s="54">
        <v>42450</v>
      </c>
    </row>
    <row r="136" spans="1:22" s="168" customFormat="1" ht="22.500000" customHeight="1">
      <c r="A136" s="34">
        <v>134</v>
      </c>
      <c r="B136" s="49">
        <v>112</v>
      </c>
      <c r="C136" s="49">
        <v>112</v>
      </c>
      <c r="D136" s="49">
        <v>2</v>
      </c>
      <c r="E136" s="49">
        <v>3</v>
      </c>
      <c r="F136" s="50">
        <f>(C136*100)/B136</f>
        <v>100</v>
      </c>
      <c r="G136" s="156">
        <f>(D136*100)/B136</f>
        <v>1.78571428571429</v>
      </c>
      <c r="H136" s="152">
        <f>((B136-B137)/B136)*100</f>
        <v>-3.57142857142857</v>
      </c>
      <c r="I136" s="52">
        <f>((B136-C136)/B136)*100</f>
        <v>0</v>
      </c>
      <c r="J136" s="52">
        <f>((C136-B137)/C136)*100</f>
        <v>-3.57142857142857</v>
      </c>
      <c r="K136" s="161"/>
      <c r="L136" s="54">
        <v>1.01785714285714</v>
      </c>
      <c r="M136" s="125" t="s">
        <v>28</v>
      </c>
      <c r="N136" s="54">
        <v>0</v>
      </c>
      <c r="O136" s="56">
        <f>N136/C136</f>
        <v>0</v>
      </c>
      <c r="P136" s="57">
        <f>(Boosters_IOS!B136*100)/Boosters_IOS!N136</f>
        <v>0.942237118998376</v>
      </c>
      <c r="Q136" s="57">
        <f>Boosters_IOS!B136/(C136+D136)</f>
        <v>0.0175438596491228</v>
      </c>
      <c r="R136" s="57">
        <f>Boosters_IOS!N136/B136</f>
        <v>1.89518567004933</v>
      </c>
      <c r="S136" s="54">
        <v>3.36607142857142</v>
      </c>
      <c r="T136" s="54">
        <v>0.375</v>
      </c>
      <c r="U136" s="58">
        <v>514.196428571429</v>
      </c>
      <c r="V136" s="54">
        <v>50165</v>
      </c>
    </row>
    <row r="137" spans="1:22" s="168" customFormat="1" ht="22.500000" customHeight="1">
      <c r="A137" s="34">
        <v>135</v>
      </c>
      <c r="B137" s="49">
        <v>116</v>
      </c>
      <c r="C137" s="49">
        <v>109</v>
      </c>
      <c r="D137" s="49">
        <v>89</v>
      </c>
      <c r="E137" s="49">
        <v>61</v>
      </c>
      <c r="F137" s="50">
        <f>(C137*100)/B137</f>
        <v>93.9655172413793</v>
      </c>
      <c r="G137" s="156">
        <f>(D137*100)/B137</f>
        <v>76.7241379310345</v>
      </c>
      <c r="H137" s="152">
        <f>((B137-B138)/B137)*100</f>
        <v>-3.44827586206897</v>
      </c>
      <c r="I137" s="52">
        <f>((B137-C137)/B137)*100</f>
        <v>6.03448275862069</v>
      </c>
      <c r="J137" s="52">
        <f>((C137-B138)/C137)*100</f>
        <v>-10.0917431192661</v>
      </c>
      <c r="K137" s="161"/>
      <c r="L137" s="54">
        <v>1.94495412844036</v>
      </c>
      <c r="M137" s="117" t="s">
        <v>28</v>
      </c>
      <c r="N137" s="54">
        <v>4.99</v>
      </c>
      <c r="O137" s="56">
        <f>N137/C137</f>
        <v>0.0457798165137615</v>
      </c>
      <c r="P137" s="57">
        <f>(Boosters_IOS!B137*100)/Boosters_IOS!N137</f>
        <v>11.2202477578893</v>
      </c>
      <c r="Q137" s="57">
        <f>Boosters_IOS!B137/(C137+D137)</f>
        <v>0.281288726241973</v>
      </c>
      <c r="R137" s="57">
        <f>Boosters_IOS!N137/B137</f>
        <v>4.27914576595428</v>
      </c>
      <c r="S137" s="54">
        <v>7.64220183486238</v>
      </c>
      <c r="T137" s="54">
        <v>0.577981651376147</v>
      </c>
      <c r="U137" s="58">
        <v>482.43119266055</v>
      </c>
      <c r="V137" s="54">
        <v>33485</v>
      </c>
    </row>
    <row r="138" spans="1:22" s="168" customFormat="1" ht="22.500000" customHeight="1">
      <c r="A138" s="34">
        <v>136</v>
      </c>
      <c r="B138" s="49">
        <v>120</v>
      </c>
      <c r="C138" s="49">
        <v>108</v>
      </c>
      <c r="D138" s="49">
        <v>99</v>
      </c>
      <c r="E138" s="49">
        <v>67</v>
      </c>
      <c r="F138" s="50">
        <f>(C138*100)/B138</f>
        <v>90</v>
      </c>
      <c r="G138" s="156">
        <f>(D138*100)/B138</f>
        <v>82.5</v>
      </c>
      <c r="H138" s="152">
        <f>((B138-B139)/B138)*100</f>
        <v>-0.833333333333333</v>
      </c>
      <c r="I138" s="52">
        <f>((B138-C138)/B138)*100</f>
        <v>10</v>
      </c>
      <c r="J138" s="52">
        <f>((C138-B139)/C138)*100</f>
        <v>-12.037037037037</v>
      </c>
      <c r="K138" s="161"/>
      <c r="L138" s="54">
        <v>2.28703703703703</v>
      </c>
      <c r="M138" s="124" t="s">
        <v>29</v>
      </c>
      <c r="N138" s="54">
        <v>6.48</v>
      </c>
      <c r="O138" s="56">
        <f>N138/C138</f>
        <v>0.06</v>
      </c>
      <c r="P138" s="57">
        <f>(Boosters_IOS!B138*100)/Boosters_IOS!N138</f>
        <v>16.2077849163561</v>
      </c>
      <c r="Q138" s="57">
        <f>Boosters_IOS!B138/(C138+D138)</f>
        <v>0.724412521314193</v>
      </c>
      <c r="R138" s="57">
        <f>Boosters_IOS!N138/B138</f>
        <v>7.70994682935319</v>
      </c>
      <c r="S138" s="54">
        <v>5.33333333333333</v>
      </c>
      <c r="T138" s="54">
        <v>0.75</v>
      </c>
      <c r="U138" s="58">
        <v>430.972222222222</v>
      </c>
      <c r="V138" s="54">
        <v>36405</v>
      </c>
    </row>
    <row r="139" spans="1:22" s="168" customFormat="1" ht="22.500000" customHeight="1">
      <c r="A139" s="34">
        <v>137</v>
      </c>
      <c r="B139" s="49">
        <v>121</v>
      </c>
      <c r="C139" s="49">
        <v>115</v>
      </c>
      <c r="D139" s="49">
        <v>107</v>
      </c>
      <c r="E139" s="49">
        <v>66</v>
      </c>
      <c r="F139" s="50">
        <f>(C139*100)/B139</f>
        <v>95.0413223140496</v>
      </c>
      <c r="G139" s="156">
        <f>(D139*100)/B139</f>
        <v>88.4297520661157</v>
      </c>
      <c r="H139" s="151">
        <f>((B139-B140)/B139)*100</f>
        <v>5.78512396694215</v>
      </c>
      <c r="I139" s="52">
        <f>((B139-C139)/B139)*100</f>
        <v>4.95867768595041</v>
      </c>
      <c r="J139" s="52">
        <f>((C139-B140)/C139)*100</f>
        <v>0.869565217391304</v>
      </c>
      <c r="K139" s="161"/>
      <c r="L139" s="54">
        <v>2.19130434782608</v>
      </c>
      <c r="M139" s="127" t="s">
        <v>30</v>
      </c>
      <c r="N139" s="54">
        <v>22.92</v>
      </c>
      <c r="O139" s="56">
        <f>N139/C139</f>
        <v>0.199304347826087</v>
      </c>
      <c r="P139" s="57">
        <f>(Boosters_IOS!B139*100)/Boosters_IOS!N139</f>
        <v>27.4361857374643</v>
      </c>
      <c r="Q139" s="57">
        <f>Boosters_IOS!B139/(C139+D139)</f>
        <v>1.09457143306849</v>
      </c>
      <c r="R139" s="57">
        <f>Boosters_IOS!N139/B139</f>
        <v>7.31961063146941</v>
      </c>
      <c r="S139" s="54">
        <v>4.69565217391304</v>
      </c>
      <c r="T139" s="54">
        <v>0.8</v>
      </c>
      <c r="U139" s="58">
        <v>324.913043478261</v>
      </c>
      <c r="V139" s="54">
        <v>30945</v>
      </c>
    </row>
    <row r="140" spans="1:22" s="168" customFormat="1" ht="22.500000" customHeight="1">
      <c r="A140" s="34">
        <v>138</v>
      </c>
      <c r="B140" s="49">
        <v>114</v>
      </c>
      <c r="C140" s="49">
        <v>114</v>
      </c>
      <c r="D140" s="49">
        <v>2</v>
      </c>
      <c r="E140" s="49">
        <v>1</v>
      </c>
      <c r="F140" s="50">
        <f>(C140*100)/B140</f>
        <v>100</v>
      </c>
      <c r="G140" s="156">
        <f>(D140*100)/B140</f>
        <v>1.75438596491228</v>
      </c>
      <c r="H140" s="152">
        <f>((B140-B141)/B140)*100</f>
        <v>-1.75438596491228</v>
      </c>
      <c r="I140" s="52">
        <f>((B140-C140)/B140)*100</f>
        <v>0</v>
      </c>
      <c r="J140" s="52">
        <f>((C140-B141)/C140)*100</f>
        <v>-1.75438596491228</v>
      </c>
      <c r="K140" s="161"/>
      <c r="L140" s="54">
        <v>1.00877192982456</v>
      </c>
      <c r="M140" s="125" t="s">
        <v>28</v>
      </c>
      <c r="N140" s="54">
        <v>0</v>
      </c>
      <c r="O140" s="56">
        <f>N140/C140</f>
        <v>0</v>
      </c>
      <c r="P140" s="57">
        <f>(Boosters_IOS!B140*100)/Boosters_IOS!N140</f>
        <v>1.99739544581888</v>
      </c>
      <c r="Q140" s="57">
        <f>Boosters_IOS!B140/(C140+D140)</f>
        <v>0.0344827586206897</v>
      </c>
      <c r="R140" s="57">
        <f>Boosters_IOS!N140/B140</f>
        <v>1.75667364075022</v>
      </c>
      <c r="S140" s="54">
        <v>5.10526315789473</v>
      </c>
      <c r="T140" s="54">
        <v>0.350877192982456</v>
      </c>
      <c r="U140" s="58">
        <v>393.421052631579</v>
      </c>
      <c r="V140" s="54">
        <v>35335</v>
      </c>
    </row>
    <row r="141" spans="1:22" s="168" customFormat="1" ht="22.500000" customHeight="1">
      <c r="A141" s="34">
        <v>139</v>
      </c>
      <c r="B141" s="49">
        <v>116</v>
      </c>
      <c r="C141" s="49">
        <v>113</v>
      </c>
      <c r="D141" s="49">
        <v>33</v>
      </c>
      <c r="E141" s="49">
        <v>15</v>
      </c>
      <c r="F141" s="50">
        <f>(C141*100)/B141</f>
        <v>97.4137931034483</v>
      </c>
      <c r="G141" s="156">
        <f>(D141*100)/B141</f>
        <v>28.448275862069</v>
      </c>
      <c r="H141" s="152">
        <f>((B141-B142)/B141)*100</f>
        <v>-4.31034482758621</v>
      </c>
      <c r="I141" s="52">
        <f>((B141-C141)/B141)*100</f>
        <v>2.58620689655172</v>
      </c>
      <c r="J141" s="52">
        <f>((C141-B142)/C141)*100</f>
        <v>-7.07964601769912</v>
      </c>
      <c r="K141" s="161"/>
      <c r="L141" s="54">
        <v>1.06194690265486</v>
      </c>
      <c r="M141" s="117" t="s">
        <v>28</v>
      </c>
      <c r="N141" s="54">
        <v>0</v>
      </c>
      <c r="O141" s="56">
        <f>N141/C141</f>
        <v>0</v>
      </c>
      <c r="P141" s="57">
        <f>(Boosters_IOS!B141*100)/Boosters_IOS!N141</f>
        <v>11.7759716651956</v>
      </c>
      <c r="Q141" s="57">
        <f>Boosters_IOS!B141/(C141+D141)</f>
        <v>0.202202671856503</v>
      </c>
      <c r="R141" s="57">
        <f>Boosters_IOS!N141/B141</f>
        <v>2.16115046416361</v>
      </c>
      <c r="S141" s="54">
        <v>3.41592920353982</v>
      </c>
      <c r="T141" s="54">
        <v>0.433628318584071</v>
      </c>
      <c r="U141" s="58">
        <v>435.265486725664</v>
      </c>
      <c r="V141" s="54">
        <v>38780</v>
      </c>
    </row>
    <row r="142" spans="1:22" s="168" customFormat="1" ht="22.500000" customHeight="1">
      <c r="A142" s="34">
        <v>140</v>
      </c>
      <c r="B142" s="49">
        <v>121</v>
      </c>
      <c r="C142" s="49">
        <v>108</v>
      </c>
      <c r="D142" s="49">
        <v>110</v>
      </c>
      <c r="E142" s="49">
        <v>66</v>
      </c>
      <c r="F142" s="50">
        <f>(C142*100)/B142</f>
        <v>89.2561983471074</v>
      </c>
      <c r="G142" s="156">
        <f>(D142*100)/B142</f>
        <v>90.9090909090909</v>
      </c>
      <c r="H142" s="152">
        <f>((B142-B143)/B142)*100</f>
        <v>7.43801652892562</v>
      </c>
      <c r="I142" s="52">
        <f>((B142-C142)/B142)*100</f>
        <v>10.7438016528926</v>
      </c>
      <c r="J142" s="52">
        <f>((C142-B143)/C142)*100</f>
        <v>-3.7037037037037</v>
      </c>
      <c r="K142" s="161"/>
      <c r="L142" s="54">
        <v>1.82407407407407</v>
      </c>
      <c r="M142" s="125" t="s">
        <v>28</v>
      </c>
      <c r="N142" s="54">
        <v>61.84</v>
      </c>
      <c r="O142" s="56">
        <f>N142/C142</f>
        <v>0.572592592592593</v>
      </c>
      <c r="P142" s="57">
        <f>(Boosters_IOS!B142*100)/Boosters_IOS!N142</f>
        <v>16.3365305686826</v>
      </c>
      <c r="Q142" s="57">
        <f>Boosters_IOS!B142/(C142+D142)</f>
        <v>0.692248677660271</v>
      </c>
      <c r="R142" s="57">
        <f>Boosters_IOS!N142/B142</f>
        <v>7.63437394026443</v>
      </c>
      <c r="S142" s="54">
        <v>7.48148148148148</v>
      </c>
      <c r="T142" s="54">
        <v>0.851851851851852</v>
      </c>
      <c r="U142" s="58">
        <v>541.203703703704</v>
      </c>
      <c r="V142" s="54">
        <v>24590</v>
      </c>
    </row>
    <row r="143" spans="1:22" s="168" customFormat="1" ht="22.500000" customHeight="1">
      <c r="A143" s="34">
        <v>141</v>
      </c>
      <c r="B143" s="49">
        <v>112</v>
      </c>
      <c r="C143" s="49">
        <v>111</v>
      </c>
      <c r="D143" s="49">
        <v>53</v>
      </c>
      <c r="E143" s="49">
        <v>19</v>
      </c>
      <c r="F143" s="50">
        <f>(C143*100)/B143</f>
        <v>99.1071428571429</v>
      </c>
      <c r="G143" s="156">
        <f>(D143*100)/B143</f>
        <v>47.3214285714286</v>
      </c>
      <c r="H143" s="152">
        <f>((B143-B144)/B143)*100</f>
        <v>0.892857142857143</v>
      </c>
      <c r="I143" s="52">
        <f>((B143-C143)/B143)*100</f>
        <v>0.892857142857143</v>
      </c>
      <c r="J143" s="52">
        <f>((C143-B144)/C143)*100</f>
        <v>0</v>
      </c>
      <c r="K143" s="161"/>
      <c r="L143" s="54">
        <v>1.16216216216216</v>
      </c>
      <c r="M143" s="117" t="s">
        <v>28</v>
      </c>
      <c r="N143" s="54">
        <v>8.23</v>
      </c>
      <c r="O143" s="56">
        <f>N143/C143</f>
        <v>0.0741441441441442</v>
      </c>
      <c r="P143" s="57">
        <f>(Boosters_IOS!B143*100)/Boosters_IOS!N143</f>
        <v>5.55086545222467</v>
      </c>
      <c r="Q143" s="57">
        <f>Boosters_IOS!B143/(C143+D143)</f>
        <v>0.122214513305481</v>
      </c>
      <c r="R143" s="57">
        <f>Boosters_IOS!N143/B143</f>
        <v>3.22394710251668</v>
      </c>
      <c r="S143" s="54">
        <v>7.18918918918918</v>
      </c>
      <c r="T143" s="54">
        <v>0.522522522522523</v>
      </c>
      <c r="U143" s="58">
        <v>553.873873873874</v>
      </c>
      <c r="V143" s="54">
        <v>35345</v>
      </c>
    </row>
    <row r="144" spans="1:22" s="168" customFormat="1" ht="22.500000" customHeight="1">
      <c r="A144" s="34">
        <v>142</v>
      </c>
      <c r="B144" s="49">
        <v>111</v>
      </c>
      <c r="C144" s="49">
        <v>108</v>
      </c>
      <c r="D144" s="49">
        <v>28</v>
      </c>
      <c r="E144" s="49">
        <v>13</v>
      </c>
      <c r="F144" s="50">
        <f>(C144*100)/B144</f>
        <v>97.2972972972973</v>
      </c>
      <c r="G144" s="156">
        <f>(D144*100)/B144</f>
        <v>25.2252252252252</v>
      </c>
      <c r="H144" s="152">
        <f>((B144-B145)/B144)*100</f>
        <v>-1.8018018018018</v>
      </c>
      <c r="I144" s="52">
        <f>((B144-C144)/B144)*100</f>
        <v>2.7027027027027</v>
      </c>
      <c r="J144" s="52">
        <f>((C144-B145)/C144)*100</f>
        <v>-4.62962962962963</v>
      </c>
      <c r="K144" s="161"/>
      <c r="L144" s="54">
        <v>1.06481481481481</v>
      </c>
      <c r="M144" s="125" t="s">
        <v>28</v>
      </c>
      <c r="N144" s="54">
        <v>0</v>
      </c>
      <c r="O144" s="56">
        <f>N144/C144</f>
        <v>0</v>
      </c>
      <c r="P144" s="57">
        <f>(Boosters_IOS!B144*100)/Boosters_IOS!N144</f>
        <v>6.30458227398421</v>
      </c>
      <c r="Q144" s="57">
        <f>Boosters_IOS!B144/(C144+D144)</f>
        <v>0.136188162434187</v>
      </c>
      <c r="R144" s="57">
        <f>Boosters_IOS!N144/B144</f>
        <v>2.64666499285745</v>
      </c>
      <c r="S144" s="54">
        <v>4.1574074074074</v>
      </c>
      <c r="T144" s="54">
        <v>0.537037037037037</v>
      </c>
      <c r="U144" s="58">
        <v>611.666666666667</v>
      </c>
      <c r="V144" s="54">
        <v>36855</v>
      </c>
    </row>
    <row r="145" spans="1:22" s="168" customFormat="1" ht="22.500000" customHeight="1">
      <c r="A145" s="34">
        <v>143</v>
      </c>
      <c r="B145" s="49">
        <v>113</v>
      </c>
      <c r="C145" s="49">
        <v>113</v>
      </c>
      <c r="D145" s="49">
        <v>29</v>
      </c>
      <c r="E145" s="49">
        <v>24</v>
      </c>
      <c r="F145" s="50">
        <f>(C145*100)/B145</f>
        <v>100</v>
      </c>
      <c r="G145" s="156">
        <f>(D145*100)/B145</f>
        <v>25.6637168141593</v>
      </c>
      <c r="H145" s="152">
        <f>((B145-B146)/B145)*100</f>
        <v>-1.76991150442478</v>
      </c>
      <c r="I145" s="52">
        <f>((B145-C145)/B145)*100</f>
        <v>0</v>
      </c>
      <c r="J145" s="52">
        <f>((C145-B146)/C145)*100</f>
        <v>-1.76991150442478</v>
      </c>
      <c r="K145" s="161"/>
      <c r="L145" s="54">
        <v>1.14159292035398</v>
      </c>
      <c r="M145" s="117" t="s">
        <v>28</v>
      </c>
      <c r="N145" s="54">
        <v>0</v>
      </c>
      <c r="O145" s="56">
        <f>N145/C145</f>
        <v>0</v>
      </c>
      <c r="P145" s="57">
        <f>(Boosters_IOS!B145*100)/Boosters_IOS!N145</f>
        <v>8.22150012617303</v>
      </c>
      <c r="Q145" s="57">
        <f>Boosters_IOS!B145/(C145+D145)</f>
        <v>0.161357624361525</v>
      </c>
      <c r="R145" s="57">
        <f>Boosters_IOS!N145/B145</f>
        <v>2.46631375082282</v>
      </c>
      <c r="S145" s="54">
        <v>5.12389380530973</v>
      </c>
      <c r="T145" s="54">
        <v>0.398230088495575</v>
      </c>
      <c r="U145" s="58">
        <v>661.504424778761</v>
      </c>
      <c r="V145" s="54">
        <v>39585</v>
      </c>
    </row>
    <row r="146" spans="1:22" s="168" customFormat="1" ht="22.500000" customHeight="1">
      <c r="A146" s="34">
        <v>144</v>
      </c>
      <c r="B146" s="49">
        <v>115</v>
      </c>
      <c r="C146" s="49">
        <v>115</v>
      </c>
      <c r="D146" s="49">
        <v>0</v>
      </c>
      <c r="E146" s="49">
        <v>0</v>
      </c>
      <c r="F146" s="50">
        <f>(C146*100)/B146</f>
        <v>100</v>
      </c>
      <c r="G146" s="156">
        <f>(D146*100)/B146</f>
        <v>0</v>
      </c>
      <c r="H146" s="152">
        <f>((B146-B147)/B146)*100</f>
        <v>-3.47826086956522</v>
      </c>
      <c r="I146" s="52">
        <f>((B146-C146)/B146)*100</f>
        <v>0</v>
      </c>
      <c r="J146" s="52">
        <f>((C146-B147)/C146)*100</f>
        <v>-3.47826086956522</v>
      </c>
      <c r="K146" s="161"/>
      <c r="L146" s="54">
        <v>1</v>
      </c>
      <c r="M146" s="125" t="s">
        <v>28</v>
      </c>
      <c r="N146" s="54">
        <v>0</v>
      </c>
      <c r="O146" s="56">
        <f>N146/C146</f>
        <v>0</v>
      </c>
      <c r="P146" s="57">
        <f>(Boosters_IOS!B146*100)/Boosters_IOS!N146</f>
        <v>2.27272727272727</v>
      </c>
      <c r="Q146" s="57">
        <f>Boosters_IOS!B146/(C146+D146)</f>
        <v>0.0434782608695652</v>
      </c>
      <c r="R146" s="57">
        <f>Boosters_IOS!N146/B146</f>
        <v>1.91304347826087</v>
      </c>
      <c r="S146" s="54">
        <v>5.94782608695652</v>
      </c>
      <c r="T146" s="54">
        <v>0.391304347826087</v>
      </c>
      <c r="U146" s="58">
        <v>698.782608695652</v>
      </c>
      <c r="V146" s="54">
        <v>43665</v>
      </c>
    </row>
    <row r="147" spans="1:22" s="168" customFormat="1" ht="22.500000" customHeight="1">
      <c r="A147" s="34">
        <v>145</v>
      </c>
      <c r="B147" s="49">
        <v>119</v>
      </c>
      <c r="C147" s="49">
        <v>119</v>
      </c>
      <c r="D147" s="49">
        <v>55</v>
      </c>
      <c r="E147" s="49">
        <v>34</v>
      </c>
      <c r="F147" s="50">
        <f>(C147*100)/B147</f>
        <v>100</v>
      </c>
      <c r="G147" s="156">
        <f>(D147*100)/B147</f>
        <v>46.218487394958</v>
      </c>
      <c r="H147" s="152">
        <f>((B147-B148)/B147)*100</f>
        <v>1.68067226890756</v>
      </c>
      <c r="I147" s="52">
        <f>((B147-C147)/B147)*100</f>
        <v>0</v>
      </c>
      <c r="J147" s="52">
        <f>((C147-B148)/C147)*100</f>
        <v>1.68067226890756</v>
      </c>
      <c r="K147" s="161"/>
      <c r="L147" s="54">
        <v>1.21848739495798</v>
      </c>
      <c r="M147" s="127" t="s">
        <v>30</v>
      </c>
      <c r="N147" s="54">
        <v>0</v>
      </c>
      <c r="O147" s="56">
        <f>N147/C147</f>
        <v>0</v>
      </c>
      <c r="P147" s="57">
        <f>(Boosters_IOS!B147*100)/Boosters_IOS!N147</f>
        <v>8.79106296227412</v>
      </c>
      <c r="Q147" s="57">
        <f>Boosters_IOS!B147/(C147+D147)</f>
        <v>0.224386093000568</v>
      </c>
      <c r="R147" s="57">
        <f>Boosters_IOS!N147/B147</f>
        <v>3.73213060261374</v>
      </c>
      <c r="S147" s="54">
        <v>3.14285714285714</v>
      </c>
      <c r="T147" s="54">
        <v>0.512605042016807</v>
      </c>
      <c r="U147" s="58">
        <v>671.72268907563</v>
      </c>
      <c r="V147" s="54">
        <v>42505</v>
      </c>
    </row>
    <row r="148" spans="1:22" s="168" customFormat="1" ht="22.500000" customHeight="1">
      <c r="A148" s="34">
        <v>146</v>
      </c>
      <c r="B148" s="49">
        <v>117</v>
      </c>
      <c r="C148" s="49">
        <v>117</v>
      </c>
      <c r="D148" s="49">
        <v>1</v>
      </c>
      <c r="E148" s="49">
        <v>1</v>
      </c>
      <c r="F148" s="50">
        <f>(C148*100)/B148</f>
        <v>100</v>
      </c>
      <c r="G148" s="156">
        <f>(D148*100)/B148</f>
        <v>0.854700854700855</v>
      </c>
      <c r="H148" s="152">
        <f>((B148-B149)/B148)*100</f>
        <v>-16.2393162393162</v>
      </c>
      <c r="I148" s="52">
        <f>((B148-C148)/B148)*100</f>
        <v>0</v>
      </c>
      <c r="J148" s="52">
        <f>((C148-B149)/C148)*100</f>
        <v>-16.2393162393162</v>
      </c>
      <c r="K148" s="161"/>
      <c r="L148" s="54">
        <v>1.01709401709401</v>
      </c>
      <c r="M148" s="125" t="s">
        <v>28</v>
      </c>
      <c r="N148" s="54">
        <v>0</v>
      </c>
      <c r="O148" s="56">
        <f>N148/C148</f>
        <v>0</v>
      </c>
      <c r="P148" s="57">
        <f>(Boosters_IOS!B148*100)/Boosters_IOS!N148</f>
        <v>2.57510729613734</v>
      </c>
      <c r="Q148" s="57">
        <f>Boosters_IOS!B148/(C148+D148)</f>
        <v>0.0508474576271187</v>
      </c>
      <c r="R148" s="57">
        <f>Boosters_IOS!N148/B148</f>
        <v>1.99145299145299</v>
      </c>
      <c r="S148" s="54">
        <v>4.38461538461538</v>
      </c>
      <c r="T148" s="54">
        <v>0.401709401709402</v>
      </c>
      <c r="U148" s="58">
        <v>741.581196581197</v>
      </c>
      <c r="V148" s="54">
        <v>45465</v>
      </c>
    </row>
    <row r="149" spans="1:22" s="168" customFormat="1" ht="22.500000" customHeight="1">
      <c r="A149" s="34">
        <v>147</v>
      </c>
      <c r="B149" s="49">
        <v>136</v>
      </c>
      <c r="C149" s="49">
        <v>114</v>
      </c>
      <c r="D149" s="49">
        <v>133</v>
      </c>
      <c r="E149" s="49">
        <v>83</v>
      </c>
      <c r="F149" s="50">
        <f>(C149*100)/B149</f>
        <v>83.8235294117647</v>
      </c>
      <c r="G149" s="156">
        <f>(D149*100)/B149</f>
        <v>97.7941176470588</v>
      </c>
      <c r="H149" s="152">
        <f>((B149-B150)/B149)*100</f>
        <v>17.6470588235294</v>
      </c>
      <c r="I149" s="52">
        <f>((B149-C149)/B149)*100</f>
        <v>16.1764705882353</v>
      </c>
      <c r="J149" s="52">
        <f>((C149-B150)/C149)*100</f>
        <v>1.75438596491228</v>
      </c>
      <c r="K149" s="161"/>
      <c r="L149" s="54">
        <v>2.94736842105263</v>
      </c>
      <c r="M149" s="127" t="s">
        <v>30</v>
      </c>
      <c r="N149" s="54">
        <v>33.23</v>
      </c>
      <c r="O149" s="56">
        <f>N149/C149</f>
        <v>0.291491228070175</v>
      </c>
      <c r="P149" s="57">
        <f>(Boosters_IOS!B149*100)/Boosters_IOS!N149</f>
        <v>12.492194174091</v>
      </c>
      <c r="Q149" s="57">
        <f>Boosters_IOS!B149/(C149+D149)</f>
        <v>0.632267812951408</v>
      </c>
      <c r="R149" s="57">
        <f>Boosters_IOS!N149/B149</f>
        <v>9.19221962923254</v>
      </c>
      <c r="S149" s="54">
        <v>5.49122807017543</v>
      </c>
      <c r="T149" s="54">
        <v>0.885964912280702</v>
      </c>
      <c r="U149" s="58">
        <v>568.377192982456</v>
      </c>
      <c r="V149" s="54">
        <v>27420</v>
      </c>
    </row>
    <row r="150" spans="1:22" s="168" customFormat="1" ht="22.500000" customHeight="1">
      <c r="A150" s="34">
        <v>148</v>
      </c>
      <c r="B150" s="49">
        <v>112</v>
      </c>
      <c r="C150" s="49">
        <v>112</v>
      </c>
      <c r="D150" s="49">
        <v>5</v>
      </c>
      <c r="E150" s="49">
        <v>3</v>
      </c>
      <c r="F150" s="50">
        <f>(C150*100)/B150</f>
        <v>100</v>
      </c>
      <c r="G150" s="156">
        <f>(D150*100)/B150</f>
        <v>4.46428571428571</v>
      </c>
      <c r="H150" s="152">
        <f>((B150-B151)/B150)*100</f>
        <v>0</v>
      </c>
      <c r="I150" s="52">
        <f>((B150-C150)/B150)*100</f>
        <v>0</v>
      </c>
      <c r="J150" s="52">
        <f>((C150-B151)/C150)*100</f>
        <v>0</v>
      </c>
      <c r="K150" s="161"/>
      <c r="L150" s="54">
        <v>1.02678571428571</v>
      </c>
      <c r="M150" s="125" t="s">
        <v>28</v>
      </c>
      <c r="N150" s="54">
        <v>0</v>
      </c>
      <c r="O150" s="56">
        <f>N150/C150</f>
        <v>0</v>
      </c>
      <c r="P150" s="57">
        <f>(Boosters_IOS!B150*100)/Boosters_IOS!N150</f>
        <v>1.58622158383095</v>
      </c>
      <c r="Q150" s="57">
        <f>Boosters_IOS!B150/(C150+D150)</f>
        <v>0.0512820512820513</v>
      </c>
      <c r="R150" s="57">
        <f>Boosters_IOS!N150/B150</f>
        <v>3.37729792088983</v>
      </c>
      <c r="S150" s="54">
        <v>3.90178571428571</v>
      </c>
      <c r="T150" s="54">
        <v>0.446428571428572</v>
      </c>
      <c r="U150" s="58">
        <v>644.642857142857</v>
      </c>
      <c r="V150" s="54">
        <v>32770</v>
      </c>
    </row>
    <row r="151" spans="1:22" s="168" customFormat="1" ht="22.500000" customHeight="1">
      <c r="A151" s="34">
        <v>149</v>
      </c>
      <c r="B151" s="49">
        <v>112</v>
      </c>
      <c r="C151" s="49">
        <v>111</v>
      </c>
      <c r="D151" s="49">
        <v>19</v>
      </c>
      <c r="E151" s="49">
        <v>9</v>
      </c>
      <c r="F151" s="50">
        <f>(C151*100)/B151</f>
        <v>99.1071428571429</v>
      </c>
      <c r="G151" s="156">
        <f>(D151*100)/B151</f>
        <v>16.9642857142857</v>
      </c>
      <c r="H151" s="152">
        <f>((B151-B152)/B151)*100</f>
        <v>0.892857142857143</v>
      </c>
      <c r="I151" s="52">
        <f>((B151-C151)/B151)*100</f>
        <v>0.892857142857143</v>
      </c>
      <c r="J151" s="52">
        <f>((C151-B152)/C151)*100</f>
        <v>0</v>
      </c>
      <c r="K151" s="161"/>
      <c r="L151" s="54">
        <v>1.05405405405405</v>
      </c>
      <c r="M151" s="117" t="s">
        <v>28</v>
      </c>
      <c r="N151" s="54">
        <v>0</v>
      </c>
      <c r="O151" s="56">
        <f>N151/C151</f>
        <v>0</v>
      </c>
      <c r="P151" s="57">
        <f>(Boosters_IOS!B151*100)/Boosters_IOS!N151</f>
        <v>4.11524264055725</v>
      </c>
      <c r="Q151" s="57">
        <f>Boosters_IOS!B151/(C151+D151)</f>
        <v>0.154849211713557</v>
      </c>
      <c r="R151" s="57">
        <f>Boosters_IOS!N151/B151</f>
        <v>4.36756001690299</v>
      </c>
      <c r="S151" s="54">
        <v>2.86486486486486</v>
      </c>
      <c r="T151" s="54">
        <v>0.468468468468469</v>
      </c>
      <c r="U151" s="58">
        <v>691.666666666667</v>
      </c>
      <c r="V151" s="54">
        <v>40305</v>
      </c>
    </row>
    <row r="152" spans="1:22" s="168" customFormat="1" ht="22.500000" customHeight="1">
      <c r="A152" s="34">
        <v>150</v>
      </c>
      <c r="B152" s="49">
        <v>111</v>
      </c>
      <c r="C152" s="49">
        <v>110</v>
      </c>
      <c r="D152" s="49">
        <v>62</v>
      </c>
      <c r="E152" s="49">
        <v>21</v>
      </c>
      <c r="F152" s="50">
        <f>(C152*100)/B152</f>
        <v>99.0990990990991</v>
      </c>
      <c r="G152" s="156">
        <f>(D152*100)/B152</f>
        <v>55.8558558558559</v>
      </c>
      <c r="H152" s="152">
        <f>((B152-B153)/B152)*100</f>
        <v>-2.7027027027027</v>
      </c>
      <c r="I152" s="52">
        <f>((B152-C152)/B152)*100</f>
        <v>0.900900900900901</v>
      </c>
      <c r="J152" s="52">
        <f>((C152-B153)/C152)*100</f>
        <v>-3.63636363636364</v>
      </c>
      <c r="K152" s="161"/>
      <c r="L152" s="54">
        <v>1.19090909090909</v>
      </c>
      <c r="M152" s="125" t="s">
        <v>28</v>
      </c>
      <c r="N152" s="54">
        <v>0</v>
      </c>
      <c r="O152" s="56">
        <f>N152/C152</f>
        <v>0</v>
      </c>
      <c r="P152" s="57">
        <f>(Boosters_IOS!B152*100)/Boosters_IOS!N152</f>
        <v>8.71719242783857</v>
      </c>
      <c r="Q152" s="57">
        <f>Boosters_IOS!B152/(C152+D152)</f>
        <v>0.213343998813434</v>
      </c>
      <c r="R152" s="57">
        <f>Boosters_IOS!N152/B152</f>
        <v>3.79235745909105</v>
      </c>
      <c r="S152" s="54">
        <v>11.9272727272727</v>
      </c>
      <c r="T152" s="54">
        <v>0.618181818181818</v>
      </c>
      <c r="U152" s="58">
        <v>630.545454545455</v>
      </c>
      <c r="V152" s="54">
        <v>36415</v>
      </c>
    </row>
    <row r="153" spans="1:22" s="168" customFormat="1" ht="22.500000" customHeight="1">
      <c r="A153" s="34">
        <v>151</v>
      </c>
      <c r="B153" s="49">
        <v>114</v>
      </c>
      <c r="C153" s="49">
        <v>107</v>
      </c>
      <c r="D153" s="49">
        <v>95</v>
      </c>
      <c r="E153" s="49">
        <v>50</v>
      </c>
      <c r="F153" s="50">
        <f>(C153*100)/B153</f>
        <v>93.859649122807</v>
      </c>
      <c r="G153" s="156">
        <f>(D153*100)/B153</f>
        <v>83.3333333333333</v>
      </c>
      <c r="H153" s="152">
        <f>((B153-B154)/B153)*100</f>
        <v>7.01754385964912</v>
      </c>
      <c r="I153" s="52">
        <f>((B153-C153)/B153)*100</f>
        <v>6.14035087719298</v>
      </c>
      <c r="J153" s="52">
        <f>((C153-B154)/C153)*100</f>
        <v>0.934579439252336</v>
      </c>
      <c r="K153" s="161"/>
      <c r="L153" s="54">
        <v>1.51401869158878</v>
      </c>
      <c r="M153" s="117" t="s">
        <v>28</v>
      </c>
      <c r="N153" s="54">
        <v>30.23</v>
      </c>
      <c r="O153" s="56">
        <f>N153/C153</f>
        <v>0.282523364485981</v>
      </c>
      <c r="P153" s="57">
        <f>(Boosters_IOS!B153*100)/Boosters_IOS!N153</f>
        <v>7.17198450190864</v>
      </c>
      <c r="Q153" s="57">
        <f>Boosters_IOS!B153/(C153+D153)</f>
        <v>0.261726462875108</v>
      </c>
      <c r="R153" s="57">
        <f>Boosters_IOS!N153/B153</f>
        <v>6.46628454539951</v>
      </c>
      <c r="S153" s="54">
        <v>4.85046728971962</v>
      </c>
      <c r="T153" s="54">
        <v>0.757009345794393</v>
      </c>
      <c r="U153" s="58">
        <v>525.981308411215</v>
      </c>
      <c r="V153" s="54">
        <v>30115</v>
      </c>
    </row>
    <row r="154" spans="1:22" s="168" customFormat="1" ht="22.500000" customHeight="1">
      <c r="A154" s="34">
        <v>152</v>
      </c>
      <c r="B154" s="49">
        <v>106</v>
      </c>
      <c r="C154" s="49">
        <v>105</v>
      </c>
      <c r="D154" s="49">
        <v>35</v>
      </c>
      <c r="E154" s="49">
        <v>22</v>
      </c>
      <c r="F154" s="50">
        <f>(C154*100)/B154</f>
        <v>99.0566037735849</v>
      </c>
      <c r="G154" s="156">
        <f>(D154*100)/B154</f>
        <v>33.0188679245283</v>
      </c>
      <c r="H154" s="152">
        <f>((B154-B155)/B154)*100</f>
        <v>2.83018867924528</v>
      </c>
      <c r="I154" s="52">
        <f>((B154-C154)/B154)*100</f>
        <v>0.943396226415094</v>
      </c>
      <c r="J154" s="52">
        <f>((C154-B155)/C154)*100</f>
        <v>1.90476190476191</v>
      </c>
      <c r="K154" s="161"/>
      <c r="L154" s="54">
        <v>1.14285714285714</v>
      </c>
      <c r="M154" s="125" t="s">
        <v>28</v>
      </c>
      <c r="N154" s="54">
        <v>9.99</v>
      </c>
      <c r="O154" s="56">
        <f>N154/C154</f>
        <v>0.0951428571428571</v>
      </c>
      <c r="P154" s="57">
        <f>(Boosters_IOS!B154*100)/Boosters_IOS!N154</f>
        <v>11.7648222206516</v>
      </c>
      <c r="Q154" s="57">
        <f>Boosters_IOS!B154/(C154+D154)</f>
        <v>0.291302750975529</v>
      </c>
      <c r="R154" s="57">
        <f>Boosters_IOS!N154/B154</f>
        <v>3.27025326183978</v>
      </c>
      <c r="S154" s="54">
        <v>4.53333333333333</v>
      </c>
      <c r="T154" s="54">
        <v>0.485714285714286</v>
      </c>
      <c r="U154" s="58">
        <v>597.285714285714</v>
      </c>
      <c r="V154" s="54">
        <v>33055</v>
      </c>
    </row>
    <row r="155" spans="1:22" s="168" customFormat="1" ht="22.500000" customHeight="1">
      <c r="A155" s="34">
        <v>153</v>
      </c>
      <c r="B155" s="49">
        <v>103</v>
      </c>
      <c r="C155" s="49">
        <v>102</v>
      </c>
      <c r="D155" s="49">
        <v>11</v>
      </c>
      <c r="E155" s="49">
        <v>5</v>
      </c>
      <c r="F155" s="50">
        <f>(C155*100)/B155</f>
        <v>99.0291262135922</v>
      </c>
      <c r="G155" s="156">
        <f>(D155*100)/B155</f>
        <v>10.6796116504854</v>
      </c>
      <c r="H155" s="152">
        <f>((B155-B156)/B155)*100</f>
        <v>-1.94174757281553</v>
      </c>
      <c r="I155" s="52">
        <f>((B155-C155)/B155)*100</f>
        <v>0.970873786407767</v>
      </c>
      <c r="J155" s="52">
        <f>((C155-B156)/C155)*100</f>
        <v>-2.94117647058824</v>
      </c>
      <c r="K155" s="161"/>
      <c r="L155" s="54">
        <v>1.00980392156862</v>
      </c>
      <c r="M155" s="117" t="s">
        <v>28</v>
      </c>
      <c r="N155" s="54">
        <v>0</v>
      </c>
      <c r="O155" s="56">
        <f>N155/C155</f>
        <v>0</v>
      </c>
      <c r="P155" s="57">
        <f>(Boosters_IOS!B155*100)/Boosters_IOS!N155</f>
        <v>2.21263822058937</v>
      </c>
      <c r="Q155" s="57">
        <f>Boosters_IOS!B155/(C155+D155)</f>
        <v>0.0454017479890473</v>
      </c>
      <c r="R155" s="57">
        <f>Boosters_IOS!N155/B155</f>
        <v>2.25114454877967</v>
      </c>
      <c r="S155" s="54">
        <v>3.99019607843137</v>
      </c>
      <c r="T155" s="54">
        <v>0.401960784313726</v>
      </c>
      <c r="U155" s="58">
        <v>607.892156862745</v>
      </c>
      <c r="V155" s="54">
        <v>34655</v>
      </c>
    </row>
    <row r="156" spans="1:22" s="168" customFormat="1" ht="22.500000" customHeight="1">
      <c r="A156" s="34">
        <v>154</v>
      </c>
      <c r="B156" s="49">
        <v>105</v>
      </c>
      <c r="C156" s="49">
        <v>102</v>
      </c>
      <c r="D156" s="49">
        <v>78</v>
      </c>
      <c r="E156" s="49">
        <v>40</v>
      </c>
      <c r="F156" s="50">
        <f>(C156*100)/B156</f>
        <v>97.1428571428571</v>
      </c>
      <c r="G156" s="156">
        <f>(D156*100)/B156</f>
        <v>74.2857142857143</v>
      </c>
      <c r="H156" s="152">
        <f>((B156-B157)/B156)*100</f>
        <v>1.90476190476191</v>
      </c>
      <c r="I156" s="52">
        <f>((B156-C156)/B156)*100</f>
        <v>2.85714285714286</v>
      </c>
      <c r="J156" s="52">
        <f>((C156-B157)/C156)*100</f>
        <v>-0.980392156862745</v>
      </c>
      <c r="K156" s="161"/>
      <c r="L156" s="54">
        <v>1.54901960784313</v>
      </c>
      <c r="M156" s="124" t="s">
        <v>29</v>
      </c>
      <c r="N156" s="54">
        <v>4.99</v>
      </c>
      <c r="O156" s="56">
        <f>N156/C156</f>
        <v>0.048921568627451</v>
      </c>
      <c r="P156" s="57">
        <f>(Boosters_IOS!B156*100)/Boosters_IOS!N156</f>
        <v>13.970524974723</v>
      </c>
      <c r="Q156" s="57">
        <f>Boosters_IOS!B156/(C156+D156)</f>
        <v>0.29202650151749</v>
      </c>
      <c r="R156" s="57">
        <f>Boosters_IOS!N156/B156</f>
        <v>3.58337901152633</v>
      </c>
      <c r="S156" s="54">
        <v>4.78431372549019</v>
      </c>
      <c r="T156" s="54">
        <v>0.656862745098039</v>
      </c>
      <c r="U156" s="58">
        <v>549.607843137255</v>
      </c>
      <c r="V156" s="54">
        <v>30110</v>
      </c>
    </row>
    <row r="157" spans="1:22" s="168" customFormat="1" ht="22.500000" customHeight="1">
      <c r="A157" s="34">
        <v>155</v>
      </c>
      <c r="B157" s="49">
        <v>103</v>
      </c>
      <c r="C157" s="49">
        <v>103</v>
      </c>
      <c r="D157" s="49">
        <v>3</v>
      </c>
      <c r="E157" s="49">
        <v>5</v>
      </c>
      <c r="F157" s="50">
        <f>(C157*100)/B157</f>
        <v>100</v>
      </c>
      <c r="G157" s="156">
        <f>(D157*100)/B157</f>
        <v>2.9126213592233</v>
      </c>
      <c r="H157" s="152">
        <f>((B157-B158)/B157)*100</f>
        <v>1.94174757281553</v>
      </c>
      <c r="I157" s="52">
        <f>((B157-C157)/B157)*100</f>
        <v>0</v>
      </c>
      <c r="J157" s="52">
        <f>((C157-B158)/C157)*100</f>
        <v>1.94174757281553</v>
      </c>
      <c r="K157" s="161"/>
      <c r="L157" s="54">
        <v>1</v>
      </c>
      <c r="M157" s="117" t="s">
        <v>28</v>
      </c>
      <c r="N157" s="54">
        <v>0</v>
      </c>
      <c r="O157" s="56">
        <f>N157/C157</f>
        <v>0</v>
      </c>
      <c r="P157" s="57">
        <f>(Boosters_IOS!B157*100)/Boosters_IOS!N157</f>
        <v>0</v>
      </c>
      <c r="Q157" s="57">
        <f>Boosters_IOS!B157/(C157+D157)</f>
        <v>0</v>
      </c>
      <c r="R157" s="57">
        <f>Boosters_IOS!N157/B157</f>
        <v>2.03460942012765</v>
      </c>
      <c r="S157" s="54">
        <v>4.39805825242718</v>
      </c>
      <c r="T157" s="54">
        <v>0.398058252427185</v>
      </c>
      <c r="U157" s="58">
        <v>623.495145631068</v>
      </c>
      <c r="V157" s="54">
        <v>31700</v>
      </c>
    </row>
    <row r="158" spans="1:22" s="168" customFormat="1" ht="22.500000" customHeight="1">
      <c r="A158" s="34">
        <v>156</v>
      </c>
      <c r="B158" s="49">
        <v>101</v>
      </c>
      <c r="C158" s="49">
        <v>101</v>
      </c>
      <c r="D158" s="49">
        <v>17</v>
      </c>
      <c r="E158" s="49">
        <v>9</v>
      </c>
      <c r="F158" s="50">
        <f>(C158*100)/B158</f>
        <v>100</v>
      </c>
      <c r="G158" s="156">
        <f>(D158*100)/B158</f>
        <v>16.8316831683168</v>
      </c>
      <c r="H158" s="152">
        <f>((B158-B159)/B158)*100</f>
        <v>0</v>
      </c>
      <c r="I158" s="52">
        <f>((B158-C158)/B158)*100</f>
        <v>0</v>
      </c>
      <c r="J158" s="52">
        <f>((C158-B159)/C158)*100</f>
        <v>0</v>
      </c>
      <c r="K158" s="161"/>
      <c r="L158" s="54">
        <v>1.09900990099009</v>
      </c>
      <c r="M158" s="125" t="s">
        <v>28</v>
      </c>
      <c r="N158" s="54">
        <v>0</v>
      </c>
      <c r="O158" s="56">
        <f>N158/C158</f>
        <v>0</v>
      </c>
      <c r="P158" s="57">
        <f>(Boosters_IOS!B158*100)/Boosters_IOS!N158</f>
        <v>8.73306593547549</v>
      </c>
      <c r="Q158" s="57">
        <f>Boosters_IOS!B158/(C158+D158)</f>
        <v>0.161016949152542</v>
      </c>
      <c r="R158" s="57">
        <f>Boosters_IOS!N158/B158</f>
        <v>2.1540981514523</v>
      </c>
      <c r="S158" s="54">
        <v>5.09900990099009</v>
      </c>
      <c r="T158" s="54">
        <v>0.425742574257426</v>
      </c>
      <c r="U158" s="58">
        <v>671.435643564356</v>
      </c>
      <c r="V158" s="54">
        <v>34640</v>
      </c>
    </row>
    <row r="159" spans="1:22" s="168" customFormat="1" ht="22.500000" customHeight="1">
      <c r="A159" s="34">
        <v>157</v>
      </c>
      <c r="B159" s="49">
        <v>101</v>
      </c>
      <c r="C159" s="49">
        <v>98</v>
      </c>
      <c r="D159" s="49">
        <v>70</v>
      </c>
      <c r="E159" s="49">
        <v>41</v>
      </c>
      <c r="F159" s="50">
        <f>(C159*100)/B159</f>
        <v>97.029702970297</v>
      </c>
      <c r="G159" s="156">
        <f>(D159*100)/B159</f>
        <v>69.3069306930693</v>
      </c>
      <c r="H159" s="152">
        <f>((B159-B160)/B159)*100</f>
        <v>0.99009900990099</v>
      </c>
      <c r="I159" s="52">
        <f>((B159-C159)/B159)*100</f>
        <v>2.97029702970297</v>
      </c>
      <c r="J159" s="52">
        <f>((C159-B160)/C159)*100</f>
        <v>-2.04081632653061</v>
      </c>
      <c r="K159" s="161"/>
      <c r="L159" s="54">
        <v>1.46938775510204</v>
      </c>
      <c r="M159" s="117" t="s">
        <v>28</v>
      </c>
      <c r="N159" s="54">
        <v>10.99</v>
      </c>
      <c r="O159" s="56">
        <f>N159/C159</f>
        <v>0.112142857142857</v>
      </c>
      <c r="P159" s="57">
        <f>(Boosters_IOS!B159*100)/Boosters_IOS!N159</f>
        <v>4.34864623915452</v>
      </c>
      <c r="Q159" s="57">
        <f>Boosters_IOS!B159/(C159+D159)</f>
        <v>0.120856995402521</v>
      </c>
      <c r="R159" s="57">
        <f>Boosters_IOS!N159/B159</f>
        <v>4.62280550414071</v>
      </c>
      <c r="S159" s="54">
        <v>4.87755102040816</v>
      </c>
      <c r="T159" s="54">
        <v>0.591836734693878</v>
      </c>
      <c r="U159" s="58">
        <v>577.244897959184</v>
      </c>
      <c r="V159" s="54">
        <v>29475</v>
      </c>
    </row>
    <row r="160" spans="1:22" s="168" customFormat="1" ht="22.500000" customHeight="1">
      <c r="A160" s="34">
        <v>158</v>
      </c>
      <c r="B160" s="49">
        <v>100</v>
      </c>
      <c r="C160" s="49">
        <v>98</v>
      </c>
      <c r="D160" s="49">
        <v>31</v>
      </c>
      <c r="E160" s="49">
        <v>16</v>
      </c>
      <c r="F160" s="50">
        <f>(C160*100)/B160</f>
        <v>98</v>
      </c>
      <c r="G160" s="156">
        <f>(D160*100)/B160</f>
        <v>31</v>
      </c>
      <c r="H160" s="152">
        <f>((B160-B161)/B160)*100</f>
        <v>-24</v>
      </c>
      <c r="I160" s="52">
        <f>((B160-C160)/B160)*100</f>
        <v>2</v>
      </c>
      <c r="J160" s="52">
        <f>((C160-B161)/C160)*100</f>
        <v>-26.530612244898</v>
      </c>
      <c r="K160" s="161"/>
      <c r="L160" s="54">
        <v>1.09183673469387</v>
      </c>
      <c r="M160" s="125" t="s">
        <v>28</v>
      </c>
      <c r="N160" s="54">
        <v>0</v>
      </c>
      <c r="O160" s="56">
        <f>N160/C160</f>
        <v>0</v>
      </c>
      <c r="P160" s="57">
        <f>(Boosters_IOS!B160*100)/Boosters_IOS!N160</f>
        <v>3.56844675021709</v>
      </c>
      <c r="Q160" s="57">
        <f>Boosters_IOS!B160/(C160+D160)</f>
        <v>0.0852713178294574</v>
      </c>
      <c r="R160" s="57">
        <f>Boosters_IOS!N160/B160</f>
        <v>3.08257367139661</v>
      </c>
      <c r="S160" s="54">
        <v>6.08163265306122</v>
      </c>
      <c r="T160" s="54">
        <v>0.459183673469388</v>
      </c>
      <c r="U160" s="58">
        <v>616.326530612245</v>
      </c>
      <c r="V160" s="54">
        <v>28750</v>
      </c>
    </row>
    <row r="161" spans="1:22" s="168" customFormat="1" ht="22.500000" customHeight="1">
      <c r="A161" s="34">
        <v>159</v>
      </c>
      <c r="B161" s="49">
        <v>124</v>
      </c>
      <c r="C161" s="49">
        <v>105</v>
      </c>
      <c r="D161" s="49">
        <v>122</v>
      </c>
      <c r="E161" s="49">
        <v>80</v>
      </c>
      <c r="F161" s="50">
        <f>(C161*100)/B161</f>
        <v>84.6774193548387</v>
      </c>
      <c r="G161" s="156">
        <f>(D161*100)/B161</f>
        <v>98.3870967741936</v>
      </c>
      <c r="H161" s="151">
        <f>((B161-B162)/B161)*100</f>
        <v>13.7096774193548</v>
      </c>
      <c r="I161" s="52">
        <f>((B161-C161)/B161)*100</f>
        <v>15.3225806451613</v>
      </c>
      <c r="J161" s="52">
        <f>((C161-B162)/C161)*100</f>
        <v>-1.90476190476191</v>
      </c>
      <c r="K161" s="161"/>
      <c r="L161" s="54">
        <v>2.76190476190476</v>
      </c>
      <c r="M161" s="126" t="s">
        <v>29</v>
      </c>
      <c r="N161" s="54">
        <v>25.35</v>
      </c>
      <c r="O161" s="56">
        <f>N161/C161</f>
        <v>0.241428571428571</v>
      </c>
      <c r="P161" s="57">
        <f>(Boosters_IOS!B161*100)/Boosters_IOS!N161</f>
        <v>12.0941573165862</v>
      </c>
      <c r="Q161" s="57">
        <f>Boosters_IOS!B161/(C161+D161)</f>
        <v>0.732601530051807</v>
      </c>
      <c r="R161" s="57">
        <f>Boosters_IOS!N161/B161</f>
        <v>11.089102043546</v>
      </c>
      <c r="S161" s="54">
        <v>8.62857142857142</v>
      </c>
      <c r="T161" s="54">
        <v>1.00952380952381</v>
      </c>
      <c r="U161" s="58">
        <v>392</v>
      </c>
      <c r="V161" s="54">
        <v>19595</v>
      </c>
    </row>
    <row r="162" spans="1:22" s="168" customFormat="1" ht="22.500000" customHeight="1">
      <c r="A162" s="34">
        <v>160</v>
      </c>
      <c r="B162" s="49">
        <v>107</v>
      </c>
      <c r="C162" s="49">
        <v>106</v>
      </c>
      <c r="D162" s="49">
        <v>33</v>
      </c>
      <c r="E162" s="49">
        <v>19</v>
      </c>
      <c r="F162" s="50">
        <f>(C162*100)/B162</f>
        <v>99.0654205607477</v>
      </c>
      <c r="G162" s="156">
        <f>(D162*100)/B162</f>
        <v>30.8411214953271</v>
      </c>
      <c r="H162" s="152">
        <f>((B162-B163)/B162)*100</f>
        <v>0.934579439252336</v>
      </c>
      <c r="I162" s="52">
        <f>((B162-C162)/B162)*100</f>
        <v>0.934579439252336</v>
      </c>
      <c r="J162" s="52">
        <f>((C162-B163)/C162)*100</f>
        <v>0</v>
      </c>
      <c r="K162" s="161"/>
      <c r="L162" s="54">
        <v>1.13207547169811</v>
      </c>
      <c r="M162" s="125" t="s">
        <v>28</v>
      </c>
      <c r="N162" s="54">
        <v>1.99</v>
      </c>
      <c r="O162" s="56">
        <f>N162/C162</f>
        <v>0.0187735849056604</v>
      </c>
      <c r="P162" s="57">
        <f>(Boosters_IOS!B162*100)/Boosters_IOS!N162</f>
        <v>4.47370085639813</v>
      </c>
      <c r="Q162" s="57">
        <f>Boosters_IOS!B162/(C162+D162)</f>
        <v>0.116046025343614</v>
      </c>
      <c r="R162" s="57">
        <f>Boosters_IOS!N162/B162</f>
        <v>3.36972416253102</v>
      </c>
      <c r="S162" s="54">
        <v>5.00943396226415</v>
      </c>
      <c r="T162" s="54">
        <v>0.537735849056604</v>
      </c>
      <c r="U162" s="58">
        <v>461.132075471698</v>
      </c>
      <c r="V162" s="54">
        <v>21940</v>
      </c>
    </row>
    <row r="163" spans="1:22" s="168" customFormat="1" ht="22.500000" customHeight="1">
      <c r="A163" s="34">
        <v>161</v>
      </c>
      <c r="B163" s="49">
        <v>106</v>
      </c>
      <c r="C163" s="49">
        <v>106</v>
      </c>
      <c r="D163" s="49">
        <v>0</v>
      </c>
      <c r="E163" s="49">
        <v>0</v>
      </c>
      <c r="F163" s="50">
        <f>(C163*100)/B163</f>
        <v>100</v>
      </c>
      <c r="G163" s="156">
        <f>(D163*100)/B163</f>
        <v>0</v>
      </c>
      <c r="H163" s="152">
        <f>((B163-B164)/B163)*100</f>
        <v>0</v>
      </c>
      <c r="I163" s="52">
        <f>((B163-C163)/B163)*100</f>
        <v>0</v>
      </c>
      <c r="J163" s="52">
        <f>((C163-B164)/C163)*100</f>
        <v>0</v>
      </c>
      <c r="K163" s="161"/>
      <c r="L163" s="54">
        <v>1.00943396226415</v>
      </c>
      <c r="M163" s="117" t="s">
        <v>28</v>
      </c>
      <c r="N163" s="54">
        <v>0</v>
      </c>
      <c r="O163" s="56">
        <f>N163/C163</f>
        <v>0</v>
      </c>
      <c r="P163" s="57">
        <f>(Boosters_IOS!B163*100)/Boosters_IOS!N163</f>
        <v>0</v>
      </c>
      <c r="Q163" s="57">
        <f>Boosters_IOS!B163/(C163+D163)</f>
        <v>0</v>
      </c>
      <c r="R163" s="57">
        <f>Boosters_IOS!N163/B163</f>
        <v>2.36792452830189</v>
      </c>
      <c r="S163" s="54">
        <v>9.36792452830188</v>
      </c>
      <c r="T163" s="54">
        <v>0.433962264150943</v>
      </c>
      <c r="U163" s="58">
        <v>556.22641509434</v>
      </c>
      <c r="V163" s="54">
        <v>26175</v>
      </c>
    </row>
    <row r="164" spans="1:22" s="168" customFormat="1" ht="22.500000" customHeight="1">
      <c r="A164" s="34">
        <v>162</v>
      </c>
      <c r="B164" s="49">
        <v>106</v>
      </c>
      <c r="C164" s="49">
        <v>106</v>
      </c>
      <c r="D164" s="49">
        <v>0</v>
      </c>
      <c r="E164" s="49">
        <v>0</v>
      </c>
      <c r="F164" s="50">
        <f>(C164*100)/B164</f>
        <v>100</v>
      </c>
      <c r="G164" s="156">
        <f>(D164*100)/B164</f>
        <v>0</v>
      </c>
      <c r="H164" s="152">
        <f>((B164-B165)/B164)*100</f>
        <v>0.943396226415094</v>
      </c>
      <c r="I164" s="52">
        <f>((B164-C164)/B164)*100</f>
        <v>0</v>
      </c>
      <c r="J164" s="52">
        <f>((C164-B165)/C164)*100</f>
        <v>0.943396226415094</v>
      </c>
      <c r="K164" s="161"/>
      <c r="L164" s="54">
        <v>1.00943396226415</v>
      </c>
      <c r="M164" s="125" t="s">
        <v>28</v>
      </c>
      <c r="N164" s="54">
        <v>0</v>
      </c>
      <c r="O164" s="56">
        <f>N164/C164</f>
        <v>0</v>
      </c>
      <c r="P164" s="57">
        <f>(Boosters_IOS!B164*100)/Boosters_IOS!N164</f>
        <v>0</v>
      </c>
      <c r="Q164" s="57">
        <f>Boosters_IOS!B164/(C164+D164)</f>
        <v>0</v>
      </c>
      <c r="R164" s="57">
        <f>Boosters_IOS!N164/B164</f>
        <v>2.35849056603774</v>
      </c>
      <c r="S164" s="54">
        <v>3.5188679245283</v>
      </c>
      <c r="T164" s="54">
        <v>0.481132075471698</v>
      </c>
      <c r="U164" s="58">
        <v>615.377358490566</v>
      </c>
      <c r="V164" s="54">
        <v>30310</v>
      </c>
    </row>
    <row r="165" spans="1:22" s="168" customFormat="1" ht="22.500000" customHeight="1">
      <c r="A165" s="34">
        <v>163</v>
      </c>
      <c r="B165" s="49">
        <v>105</v>
      </c>
      <c r="C165" s="49">
        <v>105</v>
      </c>
      <c r="D165" s="49">
        <v>57</v>
      </c>
      <c r="E165" s="49">
        <v>27</v>
      </c>
      <c r="F165" s="50">
        <f>(C165*100)/B165</f>
        <v>100</v>
      </c>
      <c r="G165" s="156">
        <f>(D165*100)/B165</f>
        <v>54.2857142857143</v>
      </c>
      <c r="H165" s="152">
        <f>((B165-B166)/B165)*100</f>
        <v>-1.90476190476191</v>
      </c>
      <c r="I165" s="52">
        <f>((B165-C165)/B165)*100</f>
        <v>0</v>
      </c>
      <c r="J165" s="52">
        <f>((C165-B166)/C165)*100</f>
        <v>-1.90476190476191</v>
      </c>
      <c r="K165" s="161"/>
      <c r="L165" s="54">
        <v>1.23809523809523</v>
      </c>
      <c r="M165" s="117" t="s">
        <v>28</v>
      </c>
      <c r="N165" s="54">
        <v>1.99</v>
      </c>
      <c r="O165" s="56">
        <f>N165/C165</f>
        <v>0.018952380952381</v>
      </c>
      <c r="P165" s="57">
        <f>(Boosters_IOS!B165*100)/Boosters_IOS!N165</f>
        <v>10.5310733827294</v>
      </c>
      <c r="Q165" s="57">
        <f>Boosters_IOS!B165/(C165+D165)</f>
        <v>0.25335296408703</v>
      </c>
      <c r="R165" s="57">
        <f>Boosters_IOS!N165/B165</f>
        <v>3.71175298186362</v>
      </c>
      <c r="S165" s="54">
        <v>3.91428571428571</v>
      </c>
      <c r="T165" s="54">
        <v>0.657142857142857</v>
      </c>
      <c r="U165" s="58">
        <v>609.571428571429</v>
      </c>
      <c r="V165" s="54">
        <v>29865</v>
      </c>
    </row>
    <row r="166" spans="1:22" s="168" customFormat="1" ht="22.500000" customHeight="1">
      <c r="A166" s="34">
        <v>164</v>
      </c>
      <c r="B166" s="49">
        <v>107</v>
      </c>
      <c r="C166" s="49">
        <v>106</v>
      </c>
      <c r="D166" s="49">
        <v>54</v>
      </c>
      <c r="E166" s="49">
        <v>32</v>
      </c>
      <c r="F166" s="50">
        <f>(C166*100)/B166</f>
        <v>99.0654205607477</v>
      </c>
      <c r="G166" s="156">
        <f>(D166*100)/B166</f>
        <v>50.4672897196262</v>
      </c>
      <c r="H166" s="152">
        <f>((B166-B167)/B166)*100</f>
        <v>-0.934579439252336</v>
      </c>
      <c r="I166" s="52">
        <f>((B166-C166)/B166)*100</f>
        <v>0.934579439252336</v>
      </c>
      <c r="J166" s="52">
        <f>((C166-B167)/C166)*100</f>
        <v>-1.88679245283019</v>
      </c>
      <c r="K166" s="161"/>
      <c r="L166" s="54">
        <v>1.33018867924528</v>
      </c>
      <c r="M166" s="125" t="s">
        <v>28</v>
      </c>
      <c r="N166" s="54">
        <v>2.49</v>
      </c>
      <c r="O166" s="56">
        <f>N166/C166</f>
        <v>0.0234905660377359</v>
      </c>
      <c r="P166" s="57">
        <f>(Boosters_IOS!B166*100)/Boosters_IOS!N166</f>
        <v>3.0141854334305</v>
      </c>
      <c r="Q166" s="57">
        <f>Boosters_IOS!B166/(C166+D166)</f>
        <v>0.0891299690345294</v>
      </c>
      <c r="R166" s="57">
        <f>Boosters_IOS!N166/B166</f>
        <v>4.42170733396794</v>
      </c>
      <c r="S166" s="54">
        <v>4.12264150943396</v>
      </c>
      <c r="T166" s="54">
        <v>0.60377358490566</v>
      </c>
      <c r="U166" s="58">
        <v>590.471698113208</v>
      </c>
      <c r="V166" s="54">
        <v>32745</v>
      </c>
    </row>
    <row r="167" spans="1:22" s="168" customFormat="1" ht="22.500000" customHeight="1">
      <c r="A167" s="34">
        <v>165</v>
      </c>
      <c r="B167" s="49">
        <v>108</v>
      </c>
      <c r="C167" s="49">
        <v>104</v>
      </c>
      <c r="D167" s="49">
        <v>59</v>
      </c>
      <c r="E167" s="49">
        <v>30</v>
      </c>
      <c r="F167" s="50">
        <f>(C167*100)/B167</f>
        <v>96.2962962962963</v>
      </c>
      <c r="G167" s="156">
        <f>(D167*100)/B167</f>
        <v>54.6296296296296</v>
      </c>
      <c r="H167" s="152">
        <f>((B167-B168)/B167)*100</f>
        <v>1.85185185185185</v>
      </c>
      <c r="I167" s="52">
        <f>((B167-C167)/B167)*100</f>
        <v>3.7037037037037</v>
      </c>
      <c r="J167" s="52">
        <f>((C167-B168)/C167)*100</f>
        <v>-1.92307692307692</v>
      </c>
      <c r="K167" s="161"/>
      <c r="L167" s="54">
        <v>1.3076923076923</v>
      </c>
      <c r="M167" s="117" t="s">
        <v>28</v>
      </c>
      <c r="N167" s="54">
        <v>0</v>
      </c>
      <c r="O167" s="56">
        <f>N167/C167</f>
        <v>0</v>
      </c>
      <c r="P167" s="57">
        <f>(Boosters_IOS!B167*100)/Boosters_IOS!N167</f>
        <v>19.2680810476346</v>
      </c>
      <c r="Q167" s="57">
        <f>Boosters_IOS!B167/(C167+D167)</f>
        <v>0.435312655468929</v>
      </c>
      <c r="R167" s="57">
        <f>Boosters_IOS!N167/B167</f>
        <v>3.40978250151107</v>
      </c>
      <c r="S167" s="54">
        <v>3.67307692307692</v>
      </c>
      <c r="T167" s="54">
        <v>0.673076923076923</v>
      </c>
      <c r="U167" s="58">
        <v>577.355769230769</v>
      </c>
      <c r="V167" s="54">
        <v>30455</v>
      </c>
    </row>
    <row r="168" spans="1:22" s="168" customFormat="1" ht="22.500000" customHeight="1">
      <c r="A168" s="34">
        <v>166</v>
      </c>
      <c r="B168" s="49">
        <v>106</v>
      </c>
      <c r="C168" s="49">
        <v>106</v>
      </c>
      <c r="D168" s="49">
        <v>69</v>
      </c>
      <c r="E168" s="49">
        <v>19</v>
      </c>
      <c r="F168" s="50">
        <f>(C168*100)/B168</f>
        <v>100</v>
      </c>
      <c r="G168" s="156">
        <f>(D168*100)/B168</f>
        <v>65.0943396226415</v>
      </c>
      <c r="H168" s="152">
        <f>((B168-B169)/B168)*100</f>
        <v>-1.88679245283019</v>
      </c>
      <c r="I168" s="52">
        <f>((B168-C168)/B168)*100</f>
        <v>0</v>
      </c>
      <c r="J168" s="52">
        <f>((C168-B169)/C168)*100</f>
        <v>-1.88679245283019</v>
      </c>
      <c r="K168" s="161"/>
      <c r="L168" s="54">
        <v>1.17924528301886</v>
      </c>
      <c r="M168" s="125" t="s">
        <v>28</v>
      </c>
      <c r="N168" s="54">
        <v>0</v>
      </c>
      <c r="O168" s="56">
        <f>N168/C168</f>
        <v>0</v>
      </c>
      <c r="P168" s="57">
        <f>(Boosters_IOS!B168*100)/Boosters_IOS!N168</f>
        <v>6.38422460243923</v>
      </c>
      <c r="Q168" s="57">
        <f>Boosters_IOS!B168/(C168+D168)</f>
        <v>0.136644472339066</v>
      </c>
      <c r="R168" s="57">
        <f>Boosters_IOS!N168/B168</f>
        <v>3.53358948481905</v>
      </c>
      <c r="S168" s="54">
        <v>7.36792452830188</v>
      </c>
      <c r="T168" s="54">
        <v>0.679245283018868</v>
      </c>
      <c r="U168" s="58">
        <v>513.207547169811</v>
      </c>
      <c r="V168" s="54">
        <v>28045</v>
      </c>
    </row>
    <row r="169" spans="1:22" s="168" customFormat="1" ht="22.500000" customHeight="1">
      <c r="A169" s="34">
        <v>167</v>
      </c>
      <c r="B169" s="49">
        <v>108</v>
      </c>
      <c r="C169" s="49">
        <v>105</v>
      </c>
      <c r="D169" s="49">
        <v>96</v>
      </c>
      <c r="E169" s="49">
        <v>38</v>
      </c>
      <c r="F169" s="50">
        <f>(C169*100)/B169</f>
        <v>97.2222222222222</v>
      </c>
      <c r="G169" s="156">
        <f>(D169*100)/B169</f>
        <v>88.8888888888889</v>
      </c>
      <c r="H169" s="152">
        <f>((B169-B170)/B169)*100</f>
        <v>2.77777777777778</v>
      </c>
      <c r="I169" s="52">
        <f>((B169-C169)/B169)*100</f>
        <v>2.77777777777778</v>
      </c>
      <c r="J169" s="52">
        <f>((C169-B170)/C169)*100</f>
        <v>0</v>
      </c>
      <c r="K169" s="161"/>
      <c r="L169" s="54">
        <v>1.58095238095238</v>
      </c>
      <c r="M169" s="117" t="s">
        <v>28</v>
      </c>
      <c r="N169" s="54">
        <v>10.98</v>
      </c>
      <c r="O169" s="56">
        <f>N169/C169</f>
        <v>0.104571428571429</v>
      </c>
      <c r="P169" s="57">
        <f>(Boosters_IOS!B169*100)/Boosters_IOS!N169</f>
        <v>4.30567128116395</v>
      </c>
      <c r="Q169" s="57">
        <f>Boosters_IOS!B169/(C169+D169)</f>
        <v>0.129568060607457</v>
      </c>
      <c r="R169" s="57">
        <f>Boosters_IOS!N169/B169</f>
        <v>5.60053337783995</v>
      </c>
      <c r="S169" s="54">
        <v>5.87619047619047</v>
      </c>
      <c r="T169" s="54">
        <v>0.752380952380952</v>
      </c>
      <c r="U169" s="58">
        <v>538.333333333333</v>
      </c>
      <c r="V169" s="54">
        <v>24205</v>
      </c>
    </row>
    <row r="170" spans="1:22" s="168" customFormat="1" ht="22.500000" customHeight="1">
      <c r="A170" s="34">
        <v>168</v>
      </c>
      <c r="B170" s="49">
        <v>105</v>
      </c>
      <c r="C170" s="49">
        <v>105</v>
      </c>
      <c r="D170" s="49">
        <v>42</v>
      </c>
      <c r="E170" s="49">
        <v>15</v>
      </c>
      <c r="F170" s="50">
        <f>(C170*100)/B170</f>
        <v>100</v>
      </c>
      <c r="G170" s="156">
        <f>(D170*100)/B170</f>
        <v>40</v>
      </c>
      <c r="H170" s="152">
        <f>((B170-B171)/B170)*100</f>
        <v>-7.61904761904762</v>
      </c>
      <c r="I170" s="52">
        <f>((B170-C170)/B170)*100</f>
        <v>0</v>
      </c>
      <c r="J170" s="52">
        <f>((C170-B171)/C170)*100</f>
        <v>-7.61904761904762</v>
      </c>
      <c r="K170" s="161"/>
      <c r="L170" s="54">
        <v>1.09523809523809</v>
      </c>
      <c r="M170" s="125" t="s">
        <v>28</v>
      </c>
      <c r="N170" s="54">
        <v>0</v>
      </c>
      <c r="O170" s="56">
        <f>N170/C170</f>
        <v>0</v>
      </c>
      <c r="P170" s="57">
        <f>(Boosters_IOS!B170*100)/Boosters_IOS!N170</f>
        <v>5.3634964936636</v>
      </c>
      <c r="Q170" s="57">
        <f>Boosters_IOS!B170/(C170+D170)</f>
        <v>0.116533316481377</v>
      </c>
      <c r="R170" s="57">
        <f>Boosters_IOS!N170/B170</f>
        <v>3.04179639656085</v>
      </c>
      <c r="S170" s="54">
        <v>5</v>
      </c>
      <c r="T170" s="54">
        <v>0.580952380952381</v>
      </c>
      <c r="U170" s="58">
        <v>569.476190476191</v>
      </c>
      <c r="V170" s="54">
        <v>25705</v>
      </c>
    </row>
    <row r="171" spans="1:22" s="168" customFormat="1" ht="22.500000" customHeight="1">
      <c r="A171" s="34">
        <v>169</v>
      </c>
      <c r="B171" s="49">
        <v>113</v>
      </c>
      <c r="C171" s="49">
        <v>97</v>
      </c>
      <c r="D171" s="49">
        <v>114</v>
      </c>
      <c r="E171" s="49">
        <v>63</v>
      </c>
      <c r="F171" s="50">
        <f>(C171*100)/B171</f>
        <v>85.8407079646018</v>
      </c>
      <c r="G171" s="156">
        <f>(D171*100)/B171</f>
        <v>100.884955752212</v>
      </c>
      <c r="H171" s="154">
        <f>((B171-B172)/B171)*100</f>
        <v>13.2743362831858</v>
      </c>
      <c r="I171" s="52">
        <f>((B171-C171)/B171)*100</f>
        <v>14.1592920353982</v>
      </c>
      <c r="J171" s="52">
        <f>((C171-B172)/C171)*100</f>
        <v>-1.03092783505155</v>
      </c>
      <c r="K171" s="161"/>
      <c r="L171" s="54">
        <v>2.50515463917525</v>
      </c>
      <c r="M171" s="126" t="s">
        <v>29</v>
      </c>
      <c r="N171" s="54">
        <v>50.66</v>
      </c>
      <c r="O171" s="56">
        <f>N171/C171</f>
        <v>0.522268041237113</v>
      </c>
      <c r="P171" s="57">
        <f>(Boosters_IOS!B171*100)/Boosters_IOS!N171</f>
        <v>15.4154382031712</v>
      </c>
      <c r="Q171" s="57">
        <f>Boosters_IOS!B171/(C171+D171)</f>
        <v>0.850383624855558</v>
      </c>
      <c r="R171" s="57">
        <f>Boosters_IOS!N171/B171</f>
        <v>10.3006119367012</v>
      </c>
      <c r="S171" s="54">
        <v>9.51546391752577</v>
      </c>
      <c r="T171" s="54">
        <v>0.927835051546392</v>
      </c>
      <c r="U171" s="58">
        <v>337.783505154639</v>
      </c>
      <c r="V171" s="54">
        <v>17740</v>
      </c>
    </row>
    <row r="172" spans="1:22" s="168" customFormat="1" ht="22.500000" customHeight="1">
      <c r="A172" s="34">
        <v>170</v>
      </c>
      <c r="B172" s="49">
        <v>98</v>
      </c>
      <c r="C172" s="49">
        <v>97</v>
      </c>
      <c r="D172" s="49">
        <v>52</v>
      </c>
      <c r="E172" s="49">
        <v>27</v>
      </c>
      <c r="F172" s="50">
        <f>(C172*100)/B172</f>
        <v>98.9795918367347</v>
      </c>
      <c r="G172" s="156">
        <f>(D172*100)/B172</f>
        <v>53.0612244897959</v>
      </c>
      <c r="H172" s="152">
        <f>((B172-B173)/B172)*100</f>
        <v>-1.02040816326531</v>
      </c>
      <c r="I172" s="52">
        <f>((B172-C172)/B172)*100</f>
        <v>1.02040816326531</v>
      </c>
      <c r="J172" s="52">
        <f>((C172-B173)/C172)*100</f>
        <v>-2.06185567010309</v>
      </c>
      <c r="K172" s="161"/>
      <c r="L172" s="54">
        <v>1.35051546391752</v>
      </c>
      <c r="M172" s="125" t="s">
        <v>28</v>
      </c>
      <c r="N172" s="54">
        <v>0</v>
      </c>
      <c r="O172" s="56">
        <f>N172/C172</f>
        <v>0</v>
      </c>
      <c r="P172" s="57">
        <f>(Boosters_IOS!B172*100)/Boosters_IOS!N172</f>
        <v>11.7595488002956</v>
      </c>
      <c r="Q172" s="57">
        <f>Boosters_IOS!B172/(C172+D172)</f>
        <v>0.231688524101003</v>
      </c>
      <c r="R172" s="57">
        <f>Boosters_IOS!N172/B172</f>
        <v>2.9955326463648</v>
      </c>
      <c r="S172" s="54">
        <v>4.64948453608247</v>
      </c>
      <c r="T172" s="54">
        <v>0.639175257731959</v>
      </c>
      <c r="U172" s="58">
        <v>403.60824742268</v>
      </c>
      <c r="V172" s="54">
        <v>19670</v>
      </c>
    </row>
    <row r="173" spans="1:22" s="168" customFormat="1" ht="22.500000" customHeight="1">
      <c r="A173" s="34">
        <v>171</v>
      </c>
      <c r="B173" s="49">
        <v>99</v>
      </c>
      <c r="C173" s="49">
        <v>94</v>
      </c>
      <c r="D173" s="49">
        <v>71</v>
      </c>
      <c r="E173" s="49">
        <v>35</v>
      </c>
      <c r="F173" s="50">
        <f>(C173*100)/B173</f>
        <v>94.949494949495</v>
      </c>
      <c r="G173" s="156">
        <f>(D173*100)/B173</f>
        <v>71.7171717171717</v>
      </c>
      <c r="H173" s="152">
        <f>((B173-B174)/B173)*100</f>
        <v>2.02020202020202</v>
      </c>
      <c r="I173" s="52">
        <f>((B173-C173)/B173)*100</f>
        <v>5.05050505050505</v>
      </c>
      <c r="J173" s="52">
        <f>((C173-B174)/C173)*100</f>
        <v>-3.19148936170213</v>
      </c>
      <c r="K173" s="161"/>
      <c r="L173" s="54">
        <v>1.68085106382978</v>
      </c>
      <c r="M173" s="117" t="s">
        <v>28</v>
      </c>
      <c r="N173" s="54">
        <v>14.99</v>
      </c>
      <c r="O173" s="56">
        <f>N173/C173</f>
        <v>0.159468085106383</v>
      </c>
      <c r="P173" s="57">
        <f>(Boosters_IOS!B173*100)/Boosters_IOS!N173</f>
        <v>1.00683813601102</v>
      </c>
      <c r="Q173" s="57">
        <f>Boosters_IOS!B173/(C173+D173)</f>
        <v>0.0310933183197718</v>
      </c>
      <c r="R173" s="57">
        <f>Boosters_IOS!N173/B173</f>
        <v>5.14702367204064</v>
      </c>
      <c r="S173" s="54">
        <v>6.44680851063829</v>
      </c>
      <c r="T173" s="54">
        <v>0.627659574468085</v>
      </c>
      <c r="U173" s="58">
        <v>445.265957446809</v>
      </c>
      <c r="V173" s="54">
        <v>17325</v>
      </c>
    </row>
    <row r="174" spans="1:22" s="168" customFormat="1" ht="22.500000" customHeight="1">
      <c r="A174" s="34">
        <v>172</v>
      </c>
      <c r="B174" s="49">
        <v>97</v>
      </c>
      <c r="C174" s="49">
        <v>90</v>
      </c>
      <c r="D174" s="49">
        <v>99</v>
      </c>
      <c r="E174" s="49">
        <v>39</v>
      </c>
      <c r="F174" s="50">
        <f>(C174*100)/B174</f>
        <v>92.7835051546392</v>
      </c>
      <c r="G174" s="156">
        <f>(D174*100)/B174</f>
        <v>102.061855670103</v>
      </c>
      <c r="H174" s="152">
        <f>((B174-B175)/B174)*100</f>
        <v>5.15463917525773</v>
      </c>
      <c r="I174" s="52">
        <f>((B174-C174)/B174)*100</f>
        <v>7.21649484536082</v>
      </c>
      <c r="J174" s="52">
        <f>((C174-B175)/C174)*100</f>
        <v>-2.22222222222222</v>
      </c>
      <c r="K174" s="161"/>
      <c r="L174" s="54">
        <v>1.7</v>
      </c>
      <c r="M174" s="125" t="s">
        <v>28</v>
      </c>
      <c r="N174" s="54">
        <v>11.78</v>
      </c>
      <c r="O174" s="56">
        <f>N174/C174</f>
        <v>0.130888888888889</v>
      </c>
      <c r="P174" s="57">
        <f>(Boosters_IOS!B174*100)/Boosters_IOS!N174</f>
        <v>3.63748700239605</v>
      </c>
      <c r="Q174" s="57">
        <f>Boosters_IOS!B174/(C174+D174)</f>
        <v>0.123991390213682</v>
      </c>
      <c r="R174" s="57">
        <f>Boosters_IOS!N174/B174</f>
        <v>6.64171367469697</v>
      </c>
      <c r="S174" s="54">
        <v>8.34444444444444</v>
      </c>
      <c r="T174" s="54">
        <v>0.866666666666667</v>
      </c>
      <c r="U174" s="58">
        <v>342.277777777778</v>
      </c>
      <c r="V174" s="54">
        <v>14780</v>
      </c>
    </row>
    <row r="175" spans="1:22" s="168" customFormat="1" ht="22.500000" customHeight="1">
      <c r="A175" s="34">
        <v>173</v>
      </c>
      <c r="B175" s="49">
        <v>92</v>
      </c>
      <c r="C175" s="49">
        <v>86</v>
      </c>
      <c r="D175" s="49">
        <v>67</v>
      </c>
      <c r="E175" s="49">
        <v>35</v>
      </c>
      <c r="F175" s="50">
        <f>(C175*100)/B175</f>
        <v>93.4782608695652</v>
      </c>
      <c r="G175" s="156">
        <f>(D175*100)/B175</f>
        <v>72.8260869565217</v>
      </c>
      <c r="H175" s="152">
        <f>((B175-B176)/B175)*100</f>
        <v>7.60869565217391</v>
      </c>
      <c r="I175" s="52">
        <f>((B175-C175)/B175)*100</f>
        <v>6.52173913043478</v>
      </c>
      <c r="J175" s="52">
        <f>((C175-B176)/C175)*100</f>
        <v>1.16279069767442</v>
      </c>
      <c r="K175" s="161"/>
      <c r="L175" s="54">
        <v>1.56976744186046</v>
      </c>
      <c r="M175" s="117" t="s">
        <v>28</v>
      </c>
      <c r="N175" s="54">
        <v>4.99</v>
      </c>
      <c r="O175" s="56">
        <f>N175/C175</f>
        <v>0.0580232558139535</v>
      </c>
      <c r="P175" s="57">
        <f>(Boosters_IOS!B175*100)/Boosters_IOS!N175</f>
        <v>9.60776846582143</v>
      </c>
      <c r="Q175" s="57">
        <f>Boosters_IOS!B175/(C175+D175)</f>
        <v>0.317986847149097</v>
      </c>
      <c r="R175" s="57">
        <f>Boosters_IOS!N175/B175</f>
        <v>5.50414962855611</v>
      </c>
      <c r="S175" s="54">
        <v>6.91860465116279</v>
      </c>
      <c r="T175" s="54">
        <v>0.767441860465116</v>
      </c>
      <c r="U175" s="58">
        <v>484.825581395349</v>
      </c>
      <c r="V175" s="54">
        <v>13760</v>
      </c>
    </row>
    <row r="176" spans="1:22" s="168" customFormat="1" ht="22.500000" customHeight="1">
      <c r="A176" s="34">
        <v>174</v>
      </c>
      <c r="B176" s="49">
        <v>85</v>
      </c>
      <c r="C176" s="49">
        <v>84</v>
      </c>
      <c r="D176" s="49">
        <v>20</v>
      </c>
      <c r="E176" s="49">
        <v>10</v>
      </c>
      <c r="F176" s="50">
        <f>(C176*100)/B176</f>
        <v>98.8235294117647</v>
      </c>
      <c r="G176" s="156">
        <f>(D176*100)/B176</f>
        <v>23.5294117647059</v>
      </c>
      <c r="H176" s="152">
        <f>((B176-B177)/B176)*100</f>
        <v>-7.05882352941177</v>
      </c>
      <c r="I176" s="52">
        <f>((B176-C176)/B176)*100</f>
        <v>1.17647058823529</v>
      </c>
      <c r="J176" s="52">
        <f>((C176-B177)/C176)*100</f>
        <v>-8.33333333333333</v>
      </c>
      <c r="K176" s="161"/>
      <c r="L176" s="54">
        <v>1.0595238095238</v>
      </c>
      <c r="M176" s="125" t="s">
        <v>28</v>
      </c>
      <c r="N176" s="54">
        <v>8.49</v>
      </c>
      <c r="O176" s="56">
        <f>N176/C176</f>
        <v>0.101071428571429</v>
      </c>
      <c r="P176" s="57">
        <f>(Boosters_IOS!B176*100)/Boosters_IOS!N176</f>
        <v>7.37597893003134</v>
      </c>
      <c r="Q176" s="57">
        <f>Boosters_IOS!B176/(C176+D176)</f>
        <v>0.20317689925733</v>
      </c>
      <c r="R176" s="57">
        <f>Boosters_IOS!N176/B176</f>
        <v>3.37030398799474</v>
      </c>
      <c r="S176" s="54">
        <v>8.76190476190476</v>
      </c>
      <c r="T176" s="54">
        <v>0.535714285714286</v>
      </c>
      <c r="U176" s="58">
        <v>645.238095238095</v>
      </c>
      <c r="V176" s="54">
        <v>20965</v>
      </c>
    </row>
    <row r="177" spans="1:22" s="168" customFormat="1" ht="22.500000" customHeight="1">
      <c r="A177" s="34">
        <v>175</v>
      </c>
      <c r="B177" s="49">
        <v>91</v>
      </c>
      <c r="C177" s="49">
        <v>81</v>
      </c>
      <c r="D177" s="49">
        <v>84</v>
      </c>
      <c r="E177" s="49">
        <v>50</v>
      </c>
      <c r="F177" s="50">
        <f>(C177*100)/B177</f>
        <v>89.010989010989</v>
      </c>
      <c r="G177" s="156">
        <f>(D177*100)/B177</f>
        <v>92.3076923076923</v>
      </c>
      <c r="H177" s="152">
        <f>((B177-B178)/B177)*100</f>
        <v>0</v>
      </c>
      <c r="I177" s="52">
        <f>((B177-C177)/B177)*100</f>
        <v>10.989010989011</v>
      </c>
      <c r="J177" s="52">
        <f>((C177-B178)/C177)*100</f>
        <v>-12.3456790123457</v>
      </c>
      <c r="K177" s="161"/>
      <c r="L177" s="54">
        <v>1.80246913580246</v>
      </c>
      <c r="M177" s="126" t="s">
        <v>29</v>
      </c>
      <c r="N177" s="54">
        <v>14.34</v>
      </c>
      <c r="O177" s="56">
        <f>N177/C177</f>
        <v>0.177037037037037</v>
      </c>
      <c r="P177" s="57">
        <f>(Boosters_IOS!B177*100)/Boosters_IOS!N177</f>
        <v>25.2214360820939</v>
      </c>
      <c r="Q177" s="57">
        <f>Boosters_IOS!B177/(C177+D177)</f>
        <v>0.930679996022732</v>
      </c>
      <c r="R177" s="57">
        <f>Boosters_IOS!N177/B177</f>
        <v>6.69072407531632</v>
      </c>
      <c r="S177" s="54">
        <v>5.35802469135802</v>
      </c>
      <c r="T177" s="54">
        <v>0.901234567901235</v>
      </c>
      <c r="U177" s="58">
        <v>504.382716049383</v>
      </c>
      <c r="V177" s="54">
        <v>24595</v>
      </c>
    </row>
    <row r="178" spans="1:22" s="168" customFormat="1" ht="22.500000" customHeight="1">
      <c r="A178" s="34">
        <v>176</v>
      </c>
      <c r="B178" s="49">
        <v>91</v>
      </c>
      <c r="C178" s="49">
        <v>87</v>
      </c>
      <c r="D178" s="49">
        <v>64</v>
      </c>
      <c r="E178" s="49">
        <v>44</v>
      </c>
      <c r="F178" s="50">
        <f>(C178*100)/B178</f>
        <v>95.6043956043956</v>
      </c>
      <c r="G178" s="156">
        <f>(D178*100)/B178</f>
        <v>70.3296703296703</v>
      </c>
      <c r="H178" s="152">
        <f>((B178-B179)/B178)*100</f>
        <v>-6.59340659340659</v>
      </c>
      <c r="I178" s="52">
        <f>((B178-C178)/B178)*100</f>
        <v>4.3956043956044</v>
      </c>
      <c r="J178" s="52">
        <f>((C178-B179)/C178)*100</f>
        <v>-11.4942528735632</v>
      </c>
      <c r="K178" s="161"/>
      <c r="L178" s="54">
        <v>2.01149425287356</v>
      </c>
      <c r="M178" s="124" t="s">
        <v>29</v>
      </c>
      <c r="N178" s="54">
        <v>5.85</v>
      </c>
      <c r="O178" s="56">
        <f>N178/C178</f>
        <v>0.0672413793103448</v>
      </c>
      <c r="P178" s="57">
        <f>(Boosters_IOS!B178*100)/Boosters_IOS!N178</f>
        <v>23.0629756984443</v>
      </c>
      <c r="Q178" s="57">
        <f>Boosters_IOS!B178/(C178+D178)</f>
        <v>0.832984577375115</v>
      </c>
      <c r="R178" s="57">
        <f>Boosters_IOS!N178/B178</f>
        <v>5.9931779659095</v>
      </c>
      <c r="S178" s="54">
        <v>7.26436781609195</v>
      </c>
      <c r="T178" s="54">
        <v>0.770114942528736</v>
      </c>
      <c r="U178" s="58">
        <v>432.528735632184</v>
      </c>
      <c r="V178" s="54">
        <v>28550</v>
      </c>
    </row>
    <row r="179" spans="1:22" s="168" customFormat="1" ht="22.500000" customHeight="1">
      <c r="A179" s="34">
        <v>177</v>
      </c>
      <c r="B179" s="49">
        <v>97</v>
      </c>
      <c r="C179" s="49">
        <v>72</v>
      </c>
      <c r="D179" s="49">
        <v>95</v>
      </c>
      <c r="E179" s="49">
        <v>75</v>
      </c>
      <c r="F179" s="50">
        <f>(C179*100)/B179</f>
        <v>74.2268041237114</v>
      </c>
      <c r="G179" s="156">
        <f>(D179*100)/B179</f>
        <v>97.9381443298969</v>
      </c>
      <c r="H179" s="152">
        <f>((B179-B180)/B179)*100</f>
        <v>22.680412371134</v>
      </c>
      <c r="I179" s="52">
        <f>((B179-C179)/B179)*100</f>
        <v>25.7731958762887</v>
      </c>
      <c r="J179" s="52">
        <f>((C179-B180)/C179)*100</f>
        <v>-4.16666666666667</v>
      </c>
      <c r="K179" s="161"/>
      <c r="L179" s="54">
        <v>2.5</v>
      </c>
      <c r="M179" s="117" t="s">
        <v>28</v>
      </c>
      <c r="N179" s="54">
        <v>47.16</v>
      </c>
      <c r="O179" s="56">
        <f>N179/C179</f>
        <v>0.655</v>
      </c>
      <c r="P179" s="57">
        <f>(Boosters_IOS!B179*100)/Boosters_IOS!N179</f>
        <v>8.3831895748519</v>
      </c>
      <c r="Q179" s="57">
        <f>Boosters_IOS!B179/(C179+D179)</f>
        <v>0.569369140187222</v>
      </c>
      <c r="R179" s="57">
        <f>Boosters_IOS!N179/B179</f>
        <v>11.6930922050799</v>
      </c>
      <c r="S179" s="54">
        <v>6.88888888888888</v>
      </c>
      <c r="T179" s="54">
        <v>1.05555555555556</v>
      </c>
      <c r="U179" s="58">
        <v>423.541666666667</v>
      </c>
      <c r="V179" s="54">
        <v>25590</v>
      </c>
    </row>
    <row r="180" spans="1:22" s="168" customFormat="1" ht="22.500000" customHeight="1">
      <c r="A180" s="34">
        <v>178</v>
      </c>
      <c r="B180" s="49">
        <v>75</v>
      </c>
      <c r="C180" s="49">
        <v>71</v>
      </c>
      <c r="D180" s="49">
        <v>52</v>
      </c>
      <c r="E180" s="49">
        <v>26</v>
      </c>
      <c r="F180" s="50">
        <f>(C180*100)/B180</f>
        <v>94.6666666666667</v>
      </c>
      <c r="G180" s="156">
        <f>(D180*100)/B180</f>
        <v>69.3333333333333</v>
      </c>
      <c r="H180" s="152">
        <f>((B180-B181)/B180)*100</f>
        <v>1.33333333333333</v>
      </c>
      <c r="I180" s="52">
        <f>((B180-C180)/B180)*100</f>
        <v>5.33333333333333</v>
      </c>
      <c r="J180" s="52">
        <f>((C180-B181)/C180)*100</f>
        <v>-4.22535211267606</v>
      </c>
      <c r="K180" s="161"/>
      <c r="L180" s="54">
        <v>1.15492957746478</v>
      </c>
      <c r="M180" s="125" t="s">
        <v>28</v>
      </c>
      <c r="N180" s="54">
        <v>21.87</v>
      </c>
      <c r="O180" s="56">
        <f>N180/C180</f>
        <v>0.308028169014085</v>
      </c>
      <c r="P180" s="57">
        <f>(Boosters_IOS!B180*100)/Boosters_IOS!N180</f>
        <v>13.0917973156223</v>
      </c>
      <c r="Q180" s="57">
        <f>Boosters_IOS!B180/(C180+D180)</f>
        <v>0.4906203124655</v>
      </c>
      <c r="R180" s="57">
        <f>Boosters_IOS!N180/B180</f>
        <v>6.1459652410237</v>
      </c>
      <c r="S180" s="54">
        <v>7.77464788732394</v>
      </c>
      <c r="T180" s="54">
        <v>0.802816901408451</v>
      </c>
      <c r="U180" s="58">
        <v>744.788732394366</v>
      </c>
      <c r="V180" s="54">
        <v>22435</v>
      </c>
    </row>
    <row r="181" spans="1:22" s="168" customFormat="1" ht="22.500000" customHeight="1">
      <c r="A181" s="34">
        <v>179</v>
      </c>
      <c r="B181" s="49">
        <v>74</v>
      </c>
      <c r="C181" s="49">
        <v>69</v>
      </c>
      <c r="D181" s="49">
        <v>61</v>
      </c>
      <c r="E181" s="49">
        <v>31</v>
      </c>
      <c r="F181" s="50">
        <f>(C181*100)/B181</f>
        <v>93.2432432432432</v>
      </c>
      <c r="G181" s="156">
        <f>(D181*100)/B181</f>
        <v>82.4324324324324</v>
      </c>
      <c r="H181" s="152">
        <f>((B181-B182)/B181)*100</f>
        <v>5.40540540540541</v>
      </c>
      <c r="I181" s="52">
        <f>((B181-C181)/B181)*100</f>
        <v>6.75675675675676</v>
      </c>
      <c r="J181" s="52">
        <f>((C181-B182)/C181)*100</f>
        <v>-1.44927536231884</v>
      </c>
      <c r="K181" s="161"/>
      <c r="L181" s="54">
        <v>1.31884057971014</v>
      </c>
      <c r="M181" s="117" t="s">
        <v>28</v>
      </c>
      <c r="N181" s="54">
        <v>6.88</v>
      </c>
      <c r="O181" s="56">
        <f>N181/C181</f>
        <v>0.0997101449275362</v>
      </c>
      <c r="P181" s="57">
        <f>(Boosters_IOS!B181*100)/Boosters_IOS!N181</f>
        <v>15.570467326704</v>
      </c>
      <c r="Q181" s="57">
        <f>Boosters_IOS!B181/(C181+D181)</f>
        <v>0.411697947035259</v>
      </c>
      <c r="R181" s="57">
        <f>Boosters_IOS!N181/B181</f>
        <v>4.64503174517227</v>
      </c>
      <c r="S181" s="54">
        <v>5.08695652173913</v>
      </c>
      <c r="T181" s="54">
        <v>0.869565217391304</v>
      </c>
      <c r="U181" s="58">
        <v>549.347826086957</v>
      </c>
      <c r="V181" s="54">
        <v>21505</v>
      </c>
    </row>
    <row r="182" spans="1:22" s="168" customFormat="1" ht="22.500000" customHeight="1">
      <c r="A182" s="34">
        <v>180</v>
      </c>
      <c r="B182" s="49">
        <v>70</v>
      </c>
      <c r="C182" s="49">
        <v>70</v>
      </c>
      <c r="D182" s="49">
        <v>16</v>
      </c>
      <c r="E182" s="49">
        <v>5</v>
      </c>
      <c r="F182" s="50">
        <f>(C182*100)/B182</f>
        <v>100</v>
      </c>
      <c r="G182" s="156">
        <f>(D182*100)/B182</f>
        <v>22.8571428571429</v>
      </c>
      <c r="H182" s="152">
        <f>((B182-B183)/B182)*100</f>
        <v>-7.14285714285714</v>
      </c>
      <c r="I182" s="52">
        <f>((B182-C182)/B182)*100</f>
        <v>0</v>
      </c>
      <c r="J182" s="52">
        <f>((C182-B183)/C182)*100</f>
        <v>-7.14285714285714</v>
      </c>
      <c r="K182" s="161"/>
      <c r="L182" s="54">
        <v>1.01428571428571</v>
      </c>
      <c r="M182" s="125" t="s">
        <v>28</v>
      </c>
      <c r="N182" s="54">
        <v>0</v>
      </c>
      <c r="O182" s="56">
        <f>N182/C182</f>
        <v>0</v>
      </c>
      <c r="P182" s="57">
        <f>(Boosters_IOS!B182*100)/Boosters_IOS!N182</f>
        <v>5.10443180134523</v>
      </c>
      <c r="Q182" s="57">
        <f>Boosters_IOS!B182/(C182+D182)</f>
        <v>0.0975720066079891</v>
      </c>
      <c r="R182" s="57">
        <f>Boosters_IOS!N182/B182</f>
        <v>2.34843336559745</v>
      </c>
      <c r="S182" s="54">
        <v>9.2</v>
      </c>
      <c r="T182" s="54">
        <v>0.5</v>
      </c>
      <c r="U182" s="58">
        <v>580.428571428572</v>
      </c>
      <c r="V182" s="54">
        <v>25000</v>
      </c>
    </row>
    <row r="183" spans="1:22" s="168" customFormat="1" ht="22.500000" customHeight="1">
      <c r="A183" s="34">
        <v>181</v>
      </c>
      <c r="B183" s="49">
        <v>75</v>
      </c>
      <c r="C183" s="49">
        <v>72</v>
      </c>
      <c r="D183" s="49">
        <v>67</v>
      </c>
      <c r="E183" s="49">
        <v>33</v>
      </c>
      <c r="F183" s="50">
        <f>(C183*100)/B183</f>
        <v>96</v>
      </c>
      <c r="G183" s="156">
        <f>(D183*100)/B183</f>
        <v>89.3333333333333</v>
      </c>
      <c r="H183" s="152">
        <f>((B183-B184)/B183)*100</f>
        <v>-8</v>
      </c>
      <c r="I183" s="52">
        <f>((B183-C183)/B183)*100</f>
        <v>4</v>
      </c>
      <c r="J183" s="52">
        <f>((C183-B184)/C183)*100</f>
        <v>-12.5</v>
      </c>
      <c r="K183" s="161"/>
      <c r="L183" s="54">
        <v>1.52777777777777</v>
      </c>
      <c r="M183" s="126" t="s">
        <v>29</v>
      </c>
      <c r="N183" s="54">
        <v>6.27</v>
      </c>
      <c r="O183" s="56">
        <f>N183/C183</f>
        <v>0.0870833333333333</v>
      </c>
      <c r="P183" s="57">
        <f>(Boosters_IOS!B183*100)/Boosters_IOS!N183</f>
        <v>8.80732489034422</v>
      </c>
      <c r="Q183" s="57">
        <f>Boosters_IOS!B183/(C183+D183)</f>
        <v>0.339061442779112</v>
      </c>
      <c r="R183" s="57">
        <f>Boosters_IOS!N183/B183</f>
        <v>7.134900571677</v>
      </c>
      <c r="S183" s="54">
        <v>7.13888888888888</v>
      </c>
      <c r="T183" s="54">
        <v>0.861111111111111</v>
      </c>
      <c r="U183" s="58">
        <v>452.5</v>
      </c>
      <c r="V183" s="54">
        <v>22090</v>
      </c>
    </row>
    <row r="184" spans="1:22" s="168" customFormat="1" ht="22.500000" customHeight="1">
      <c r="A184" s="34">
        <v>182</v>
      </c>
      <c r="B184" s="49">
        <v>81</v>
      </c>
      <c r="C184" s="49">
        <v>74</v>
      </c>
      <c r="D184" s="49">
        <v>70</v>
      </c>
      <c r="E184" s="49">
        <v>40</v>
      </c>
      <c r="F184" s="50">
        <f>(C184*100)/B184</f>
        <v>91.358024691358</v>
      </c>
      <c r="G184" s="156">
        <f>(D184*100)/B184</f>
        <v>86.4197530864198</v>
      </c>
      <c r="H184" s="152">
        <f>((B184-B185)/B184)*100</f>
        <v>7.40740740740741</v>
      </c>
      <c r="I184" s="52">
        <f>((B184-C184)/B184)*100</f>
        <v>8.64197530864198</v>
      </c>
      <c r="J184" s="52">
        <f>((C184-B185)/C184)*100</f>
        <v>-1.35135135135135</v>
      </c>
      <c r="K184" s="161"/>
      <c r="L184" s="54">
        <v>1.64864864864864</v>
      </c>
      <c r="M184" s="124" t="s">
        <v>29</v>
      </c>
      <c r="N184" s="54">
        <v>22.07</v>
      </c>
      <c r="O184" s="56">
        <f>N184/C184</f>
        <v>0.298243243243243</v>
      </c>
      <c r="P184" s="57">
        <f>(Boosters_IOS!B184*100)/Boosters_IOS!N184</f>
        <v>29.8596496909148</v>
      </c>
      <c r="Q184" s="57">
        <f>Boosters_IOS!B184/(C184+D184)</f>
        <v>0.725832473181374</v>
      </c>
      <c r="R184" s="57">
        <f>Boosters_IOS!N184/B184</f>
        <v>4.32144668329429</v>
      </c>
      <c r="S184" s="54">
        <v>5.64864864864864</v>
      </c>
      <c r="T184" s="54">
        <v>0.918918918918919</v>
      </c>
      <c r="U184" s="58">
        <v>397.432432432432</v>
      </c>
      <c r="V184" s="54">
        <v>21975</v>
      </c>
    </row>
    <row r="185" spans="1:22" s="168" customFormat="1" ht="22.500000" customHeight="1">
      <c r="A185" s="34">
        <v>183</v>
      </c>
      <c r="B185" s="49">
        <v>75</v>
      </c>
      <c r="C185" s="49">
        <v>72</v>
      </c>
      <c r="D185" s="49">
        <v>26</v>
      </c>
      <c r="E185" s="49">
        <v>12</v>
      </c>
      <c r="F185" s="50">
        <f>(C185*100)/B185</f>
        <v>96</v>
      </c>
      <c r="G185" s="156">
        <f>(D185*100)/B185</f>
        <v>34.6666666666667</v>
      </c>
      <c r="H185" s="152">
        <f>((B185-B186)/B185)*100</f>
        <v>2.66666666666667</v>
      </c>
      <c r="I185" s="52">
        <f>((B185-C185)/B185)*100</f>
        <v>4</v>
      </c>
      <c r="J185" s="52">
        <f>((C185-B186)/C185)*100</f>
        <v>-1.38888888888889</v>
      </c>
      <c r="K185" s="161"/>
      <c r="L185" s="54">
        <v>1.125</v>
      </c>
      <c r="M185" s="117" t="s">
        <v>28</v>
      </c>
      <c r="N185" s="54">
        <v>4.99</v>
      </c>
      <c r="O185" s="56">
        <f>N185/C185</f>
        <v>0.0693055555555556</v>
      </c>
      <c r="P185" s="57">
        <f>(Boosters_IOS!B185*100)/Boosters_IOS!N185</f>
        <v>16.7497690326563</v>
      </c>
      <c r="Q185" s="57">
        <f>Boosters_IOS!B185/(C185+D185)</f>
        <v>0.357583471245907</v>
      </c>
      <c r="R185" s="57">
        <f>Boosters_IOS!N185/B185</f>
        <v>2.78954534547325</v>
      </c>
      <c r="S185" s="54">
        <v>7.44444444444444</v>
      </c>
      <c r="T185" s="54">
        <v>0.625</v>
      </c>
      <c r="U185" s="58">
        <v>463.402777777778</v>
      </c>
      <c r="V185" s="54">
        <v>18345</v>
      </c>
    </row>
    <row r="186" spans="1:22" s="168" customFormat="1" ht="22.500000" customHeight="1">
      <c r="A186" s="34">
        <v>184</v>
      </c>
      <c r="B186" s="49">
        <v>73</v>
      </c>
      <c r="C186" s="49">
        <v>72</v>
      </c>
      <c r="D186" s="49">
        <v>7</v>
      </c>
      <c r="E186" s="49">
        <v>2</v>
      </c>
      <c r="F186" s="50">
        <f>(C186*100)/B186</f>
        <v>98.6301369863014</v>
      </c>
      <c r="G186" s="156">
        <f>(D186*100)/B186</f>
        <v>9.58904109589041</v>
      </c>
      <c r="H186" s="154">
        <f>((B186-B187)/B186)*100</f>
        <v>-2.73972602739726</v>
      </c>
      <c r="I186" s="52">
        <f>((B186-C186)/B186)*100</f>
        <v>1.36986301369863</v>
      </c>
      <c r="J186" s="52">
        <f>((C186-B187)/C186)*100</f>
        <v>-4.16666666666667</v>
      </c>
      <c r="K186" s="161"/>
      <c r="L186" s="54">
        <v>1.01388888888888</v>
      </c>
      <c r="M186" s="125" t="s">
        <v>28</v>
      </c>
      <c r="N186" s="54">
        <v>0</v>
      </c>
      <c r="O186" s="56">
        <f>N186/C186</f>
        <v>0</v>
      </c>
      <c r="P186" s="57">
        <f>(Boosters_IOS!B186*100)/Boosters_IOS!N186</f>
        <v>1.88991473929479</v>
      </c>
      <c r="Q186" s="57">
        <f>Boosters_IOS!B186/(C186+D186)</f>
        <v>0.0632911392405063</v>
      </c>
      <c r="R186" s="57">
        <f>Boosters_IOS!N186/B186</f>
        <v>3.62413971703768</v>
      </c>
      <c r="S186" s="54">
        <v>10.2361111111111</v>
      </c>
      <c r="T186" s="54">
        <v>0.472222222222222</v>
      </c>
      <c r="U186" s="58">
        <v>513.75</v>
      </c>
      <c r="V186" s="54">
        <v>20345</v>
      </c>
    </row>
    <row r="187" spans="1:22" s="168" customFormat="1" ht="22.500000" customHeight="1">
      <c r="A187" s="34">
        <v>185</v>
      </c>
      <c r="B187" s="49">
        <v>75</v>
      </c>
      <c r="C187" s="49">
        <v>73</v>
      </c>
      <c r="D187" s="49">
        <v>21</v>
      </c>
      <c r="E187" s="49">
        <v>14</v>
      </c>
      <c r="F187" s="50">
        <f>(C187*100)/B187</f>
        <v>97.3333333333333</v>
      </c>
      <c r="G187" s="156">
        <f>(D187*100)/B187</f>
        <v>28</v>
      </c>
      <c r="H187" s="152">
        <f>((B187-B188)/B187)*100</f>
        <v>-2.66666666666667</v>
      </c>
      <c r="I187" s="52">
        <f>((B187-C187)/B187)*100</f>
        <v>2.66666666666667</v>
      </c>
      <c r="J187" s="52">
        <f>((C187-B188)/C187)*100</f>
        <v>-5.47945205479452</v>
      </c>
      <c r="K187" s="161"/>
      <c r="L187" s="54">
        <v>1.0958904109589</v>
      </c>
      <c r="M187" s="117" t="s">
        <v>28</v>
      </c>
      <c r="N187" s="54">
        <v>6.49</v>
      </c>
      <c r="O187" s="56">
        <f>N187/C187</f>
        <v>0.0889041095890411</v>
      </c>
      <c r="P187" s="57">
        <f>(Boosters_IOS!B187*100)/Boosters_IOS!N187</f>
        <v>7.65267811400666</v>
      </c>
      <c r="Q187" s="57">
        <f>Boosters_IOS!B187/(C187+D187)</f>
        <v>0.321923351548135</v>
      </c>
      <c r="R187" s="57">
        <f>Boosters_IOS!N187/B187</f>
        <v>5.27236689251545</v>
      </c>
      <c r="S187" s="54">
        <v>8.1917808219178</v>
      </c>
      <c r="T187" s="54">
        <v>0.506849315068493</v>
      </c>
      <c r="U187" s="58">
        <v>622.945205479452</v>
      </c>
      <c r="V187" s="54">
        <v>21335</v>
      </c>
    </row>
    <row r="188" spans="1:22" s="168" customFormat="1" ht="22.500000" customHeight="1">
      <c r="A188" s="34">
        <v>186</v>
      </c>
      <c r="B188" s="49">
        <v>77</v>
      </c>
      <c r="C188" s="49">
        <v>73</v>
      </c>
      <c r="D188" s="49">
        <v>64</v>
      </c>
      <c r="E188" s="49">
        <v>34</v>
      </c>
      <c r="F188" s="50">
        <f>(C188*100)/B188</f>
        <v>94.8051948051948</v>
      </c>
      <c r="G188" s="156">
        <f>(D188*100)/B188</f>
        <v>83.1168831168831</v>
      </c>
      <c r="H188" s="152">
        <f>((B188-B189)/B188)*100</f>
        <v>0</v>
      </c>
      <c r="I188" s="52">
        <f>((B188-C188)/B188)*100</f>
        <v>5.1948051948052</v>
      </c>
      <c r="J188" s="52">
        <f>((C188-B189)/C188)*100</f>
        <v>-5.47945205479452</v>
      </c>
      <c r="K188" s="161"/>
      <c r="L188" s="54">
        <v>1.67123287671232</v>
      </c>
      <c r="M188" s="124" t="s">
        <v>29</v>
      </c>
      <c r="N188" s="54">
        <v>8.5</v>
      </c>
      <c r="O188" s="56">
        <f>N188/C188</f>
        <v>0.116438356164384</v>
      </c>
      <c r="P188" s="57">
        <f>(Boosters_IOS!B188*100)/Boosters_IOS!N188</f>
        <v>18.8121385897715</v>
      </c>
      <c r="Q188" s="57">
        <f>Boosters_IOS!B188/(C188+D188)</f>
        <v>0.691514532857983</v>
      </c>
      <c r="R188" s="57">
        <f>Boosters_IOS!N188/B188</f>
        <v>6.54022943815139</v>
      </c>
      <c r="S188" s="54">
        <v>6.4931506849315</v>
      </c>
      <c r="T188" s="54">
        <v>0.780821917808219</v>
      </c>
      <c r="U188" s="58">
        <v>450.27397260274</v>
      </c>
      <c r="V188" s="54">
        <v>17375</v>
      </c>
    </row>
    <row r="189" spans="1:22" s="168" customFormat="1" ht="22.500000" customHeight="1">
      <c r="A189" s="34">
        <v>187</v>
      </c>
      <c r="B189" s="49">
        <v>77</v>
      </c>
      <c r="C189" s="49">
        <v>74</v>
      </c>
      <c r="D189" s="49">
        <v>58</v>
      </c>
      <c r="E189" s="49">
        <v>41</v>
      </c>
      <c r="F189" s="50">
        <f>(C189*100)/B189</f>
        <v>96.1038961038961</v>
      </c>
      <c r="G189" s="156">
        <f>(D189*100)/B189</f>
        <v>75.3246753246753</v>
      </c>
      <c r="H189" s="152">
        <f>((B189-B190)/B189)*100</f>
        <v>3.8961038961039</v>
      </c>
      <c r="I189" s="52">
        <f>((B189-C189)/B189)*100</f>
        <v>3.8961038961039</v>
      </c>
      <c r="J189" s="52">
        <f>((C189-B190)/C189)*100</f>
        <v>0</v>
      </c>
      <c r="K189" s="161"/>
      <c r="L189" s="54">
        <v>1.59459459459459</v>
      </c>
      <c r="M189" s="126" t="s">
        <v>29</v>
      </c>
      <c r="N189" s="54">
        <v>0</v>
      </c>
      <c r="O189" s="56">
        <f>N189/C189</f>
        <v>0</v>
      </c>
      <c r="P189" s="57">
        <f>(Boosters_IOS!B189*100)/Boosters_IOS!N189</f>
        <v>13.0072142718559</v>
      </c>
      <c r="Q189" s="57">
        <f>Boosters_IOS!B189/(C189+D189)</f>
        <v>0.563890271014546</v>
      </c>
      <c r="R189" s="57">
        <f>Boosters_IOS!N189/B189</f>
        <v>7.43179143374723</v>
      </c>
      <c r="S189" s="54">
        <v>9.29729729729729</v>
      </c>
      <c r="T189" s="54">
        <v>0.72972972972973</v>
      </c>
      <c r="U189" s="58">
        <v>413.918918918919</v>
      </c>
      <c r="V189" s="54">
        <v>24380</v>
      </c>
    </row>
    <row r="190" spans="1:22" s="168" customFormat="1" ht="22.500000" customHeight="1">
      <c r="A190" s="34">
        <v>188</v>
      </c>
      <c r="B190" s="49">
        <v>74</v>
      </c>
      <c r="C190" s="49">
        <v>74</v>
      </c>
      <c r="D190" s="49">
        <v>7</v>
      </c>
      <c r="E190" s="49">
        <v>3</v>
      </c>
      <c r="F190" s="50">
        <f>(C190*100)/B190</f>
        <v>100</v>
      </c>
      <c r="G190" s="156">
        <f>(D190*100)/B190</f>
        <v>9.45945945945946</v>
      </c>
      <c r="H190" s="152">
        <f>((B190-B191)/B190)*100</f>
        <v>-13.5135135135135</v>
      </c>
      <c r="I190" s="52">
        <f>((B190-C190)/B190)*100</f>
        <v>0</v>
      </c>
      <c r="J190" s="52">
        <f>((C190-B191)/C190)*100</f>
        <v>-13.5135135135135</v>
      </c>
      <c r="K190" s="161"/>
      <c r="L190" s="54">
        <v>1.02702702702702</v>
      </c>
      <c r="M190" s="125" t="s">
        <v>28</v>
      </c>
      <c r="N190" s="54">
        <v>0</v>
      </c>
      <c r="O190" s="56">
        <f>N190/C190</f>
        <v>0</v>
      </c>
      <c r="P190" s="57">
        <f>(Boosters_IOS!B190*100)/Boosters_IOS!N190</f>
        <v>2.2438942247499</v>
      </c>
      <c r="Q190" s="57">
        <f>Boosters_IOS!B190/(C190+D190)</f>
        <v>0.05421225392947</v>
      </c>
      <c r="R190" s="57">
        <f>Boosters_IOS!N190/B190</f>
        <v>2.64452929453933</v>
      </c>
      <c r="S190" s="54">
        <v>12.1081081081081</v>
      </c>
      <c r="T190" s="54">
        <v>0.45945945945946</v>
      </c>
      <c r="U190" s="58">
        <v>492.635135135135</v>
      </c>
      <c r="V190" s="54">
        <v>26975</v>
      </c>
    </row>
    <row r="191" spans="1:22" s="168" customFormat="1" ht="22.500000" customHeight="1">
      <c r="A191" s="34">
        <v>189</v>
      </c>
      <c r="B191" s="49">
        <v>84</v>
      </c>
      <c r="C191" s="49">
        <v>73</v>
      </c>
      <c r="D191" s="49">
        <v>73</v>
      </c>
      <c r="E191" s="49">
        <v>61</v>
      </c>
      <c r="F191" s="50">
        <f>(C191*100)/B191</f>
        <v>86.9047619047619</v>
      </c>
      <c r="G191" s="156">
        <f>(D191*100)/B191</f>
        <v>86.9047619047619</v>
      </c>
      <c r="H191" s="152">
        <f>((B191-B192)/B191)*100</f>
        <v>11.9047619047619</v>
      </c>
      <c r="I191" s="52">
        <f>((B191-C191)/B191)*100</f>
        <v>13.0952380952381</v>
      </c>
      <c r="J191" s="52">
        <f>((C191-B192)/C191)*100</f>
        <v>-1.36986301369863</v>
      </c>
      <c r="K191" s="161"/>
      <c r="L191" s="54">
        <v>2.1917808219178</v>
      </c>
      <c r="M191" s="126" t="s">
        <v>29</v>
      </c>
      <c r="N191" s="54">
        <v>3.86</v>
      </c>
      <c r="O191" s="56">
        <f>N191/C191</f>
        <v>0.0528767123287671</v>
      </c>
      <c r="P191" s="57">
        <f>(Boosters_IOS!B191*100)/Boosters_IOS!N191</f>
        <v>23.2410121161451</v>
      </c>
      <c r="Q191" s="57">
        <f>Boosters_IOS!B191/(C191+D191)</f>
        <v>1.36030494896838</v>
      </c>
      <c r="R191" s="57">
        <f>Boosters_IOS!N191/B191</f>
        <v>10.1731350697798</v>
      </c>
      <c r="S191" s="54">
        <v>5.75342465753424</v>
      </c>
      <c r="T191" s="54">
        <v>0.849315068493151</v>
      </c>
      <c r="U191" s="58">
        <v>432.739726027397</v>
      </c>
      <c r="V191" s="54">
        <v>23675</v>
      </c>
    </row>
    <row r="192" spans="1:22" s="168" customFormat="1" ht="22.500000" customHeight="1">
      <c r="A192" s="34">
        <v>190</v>
      </c>
      <c r="B192" s="49">
        <v>74</v>
      </c>
      <c r="C192" s="49">
        <v>74</v>
      </c>
      <c r="D192" s="49">
        <v>45</v>
      </c>
      <c r="E192" s="49">
        <v>11</v>
      </c>
      <c r="F192" s="50">
        <f>(C192*100)/B192</f>
        <v>100</v>
      </c>
      <c r="G192" s="156">
        <f>(D192*100)/B192</f>
        <v>60.8108108108108</v>
      </c>
      <c r="H192" s="152">
        <f>((B192-B193)/B192)*100</f>
        <v>0</v>
      </c>
      <c r="I192" s="52">
        <f>((B192-C192)/B192)*100</f>
        <v>0</v>
      </c>
      <c r="J192" s="52">
        <f>((C192-B193)/C192)*100</f>
        <v>0</v>
      </c>
      <c r="K192" s="161"/>
      <c r="L192" s="54">
        <v>1.08108108108108</v>
      </c>
      <c r="M192" s="125" t="s">
        <v>28</v>
      </c>
      <c r="N192" s="54">
        <v>1.88</v>
      </c>
      <c r="O192" s="56">
        <f>N192/C192</f>
        <v>0.0254054054054054</v>
      </c>
      <c r="P192" s="57">
        <f>(Boosters_IOS!B192*100)/Boosters_IOS!N192</f>
        <v>7.44524825536668</v>
      </c>
      <c r="Q192" s="57">
        <f>Boosters_IOS!B192/(C192+D192)</f>
        <v>0.221041808635492</v>
      </c>
      <c r="R192" s="57">
        <f>Boosters_IOS!N192/B192</f>
        <v>4.77430855903823</v>
      </c>
      <c r="S192" s="54">
        <v>9.25675675675675</v>
      </c>
      <c r="T192" s="54">
        <v>0.662162162162162</v>
      </c>
      <c r="U192" s="58">
        <v>395.675675675676</v>
      </c>
      <c r="V192" s="54">
        <v>22820</v>
      </c>
    </row>
    <row r="193" spans="1:22" s="168" customFormat="1" ht="22.500000" customHeight="1">
      <c r="A193" s="34">
        <v>191</v>
      </c>
      <c r="B193" s="49">
        <v>74</v>
      </c>
      <c r="C193" s="49">
        <v>74</v>
      </c>
      <c r="D193" s="49">
        <v>10</v>
      </c>
      <c r="E193" s="49">
        <v>4</v>
      </c>
      <c r="F193" s="50">
        <f>(C193*100)/B193</f>
        <v>100</v>
      </c>
      <c r="G193" s="156">
        <f>(D193*100)/B193</f>
        <v>13.5135135135135</v>
      </c>
      <c r="H193" s="152">
        <f>((B193-B194)/B193)*100</f>
        <v>0</v>
      </c>
      <c r="I193" s="52">
        <f>((B193-C193)/B193)*100</f>
        <v>0</v>
      </c>
      <c r="J193" s="52">
        <f>((C193-B194)/C193)*100</f>
        <v>0</v>
      </c>
      <c r="K193" s="161"/>
      <c r="L193" s="54">
        <v>1.08108108108108</v>
      </c>
      <c r="M193" s="127" t="s">
        <v>30</v>
      </c>
      <c r="N193" s="54">
        <v>0</v>
      </c>
      <c r="O193" s="56">
        <f>N193/C193</f>
        <v>0</v>
      </c>
      <c r="P193" s="57">
        <f>(Boosters_IOS!B193*100)/Boosters_IOS!N193</f>
        <v>4.97944571157156</v>
      </c>
      <c r="Q193" s="57">
        <f>Boosters_IOS!B193/(C193+D193)</f>
        <v>0.119047619047619</v>
      </c>
      <c r="R193" s="57">
        <f>Boosters_IOS!N193/B193</f>
        <v>2.71385899079288</v>
      </c>
      <c r="S193" s="54">
        <v>12.5</v>
      </c>
      <c r="T193" s="54">
        <v>0.567567567567568</v>
      </c>
      <c r="U193" s="58">
        <v>460.202702702703</v>
      </c>
      <c r="V193" s="54">
        <v>24150</v>
      </c>
    </row>
    <row r="194" spans="1:22" s="168" customFormat="1" ht="22.500000" customHeight="1">
      <c r="A194" s="34">
        <v>192</v>
      </c>
      <c r="B194" s="49">
        <v>74</v>
      </c>
      <c r="C194" s="49">
        <v>74</v>
      </c>
      <c r="D194" s="49">
        <v>33</v>
      </c>
      <c r="E194" s="49">
        <v>10</v>
      </c>
      <c r="F194" s="50">
        <f>(C194*100)/B194</f>
        <v>100</v>
      </c>
      <c r="G194" s="156">
        <f>(D194*100)/B194</f>
        <v>44.5945945945946</v>
      </c>
      <c r="H194" s="152">
        <f>((B194-B195)/B194)*100</f>
        <v>-5.40540540540541</v>
      </c>
      <c r="I194" s="52">
        <f>((B194-C194)/B194)*100</f>
        <v>0</v>
      </c>
      <c r="J194" s="52">
        <f>((C194-B195)/C194)*100</f>
        <v>-5.40540540540541</v>
      </c>
      <c r="K194" s="161"/>
      <c r="L194" s="54">
        <v>1.17567567567567</v>
      </c>
      <c r="M194" s="128" t="s">
        <v>30</v>
      </c>
      <c r="N194" s="54">
        <v>0</v>
      </c>
      <c r="O194" s="56">
        <f>N194/C194</f>
        <v>0</v>
      </c>
      <c r="P194" s="57">
        <f>(Boosters_IOS!B194*100)/Boosters_IOS!N194</f>
        <v>12.5806961217493</v>
      </c>
      <c r="Q194" s="57">
        <f>Boosters_IOS!B194/(C194+D194)</f>
        <v>0.340508156545662</v>
      </c>
      <c r="R194" s="57">
        <f>Boosters_IOS!N194/B194</f>
        <v>3.91358620980878</v>
      </c>
      <c r="S194" s="54">
        <v>5.7027027027027</v>
      </c>
      <c r="T194" s="54">
        <v>0.702702702702703</v>
      </c>
      <c r="U194" s="58">
        <v>415.608108108108</v>
      </c>
      <c r="V194" s="54">
        <v>22895</v>
      </c>
    </row>
    <row r="195" spans="1:22" s="168" customFormat="1" ht="22.500000" customHeight="1">
      <c r="A195" s="34">
        <v>193</v>
      </c>
      <c r="B195" s="49">
        <v>78</v>
      </c>
      <c r="C195" s="49">
        <v>74</v>
      </c>
      <c r="D195" s="49">
        <v>70</v>
      </c>
      <c r="E195" s="49">
        <v>32</v>
      </c>
      <c r="F195" s="50">
        <f>(C195*100)/B195</f>
        <v>94.8717948717949</v>
      </c>
      <c r="G195" s="156">
        <f>(D195*100)/B195</f>
        <v>89.7435897435897</v>
      </c>
      <c r="H195" s="152">
        <f>((B195-B196)/B195)*100</f>
        <v>1.28205128205128</v>
      </c>
      <c r="I195" s="52">
        <f>((B195-C195)/B195)*100</f>
        <v>5.12820512820513</v>
      </c>
      <c r="J195" s="52">
        <f>((C195-B196)/C195)*100</f>
        <v>-4.05405405405405</v>
      </c>
      <c r="K195" s="161"/>
      <c r="L195" s="54">
        <v>1.68918918918918</v>
      </c>
      <c r="M195" s="117" t="s">
        <v>28</v>
      </c>
      <c r="N195" s="54">
        <v>6.37</v>
      </c>
      <c r="O195" s="56">
        <f>N195/C195</f>
        <v>0.0860810810810811</v>
      </c>
      <c r="P195" s="57">
        <f>(Boosters_IOS!B195*100)/Boosters_IOS!N195</f>
        <v>11.9119123777085</v>
      </c>
      <c r="Q195" s="57">
        <f>Boosters_IOS!B195/(C195+D195)</f>
        <v>0.432660543410817</v>
      </c>
      <c r="R195" s="57">
        <f>Boosters_IOS!N195/B195</f>
        <v>6.70553896779542</v>
      </c>
      <c r="S195" s="54">
        <v>7.75675675675675</v>
      </c>
      <c r="T195" s="54">
        <v>0.851351351351351</v>
      </c>
      <c r="U195" s="58">
        <v>342.567567567568</v>
      </c>
      <c r="V195" s="54">
        <v>16510</v>
      </c>
    </row>
    <row r="196" spans="1:22" s="168" customFormat="1" ht="22.500000" customHeight="1">
      <c r="A196" s="34">
        <v>194</v>
      </c>
      <c r="B196" s="49">
        <v>77</v>
      </c>
      <c r="C196" s="49">
        <v>74</v>
      </c>
      <c r="D196" s="49">
        <v>46</v>
      </c>
      <c r="E196" s="49">
        <v>24</v>
      </c>
      <c r="F196" s="50">
        <f>(C196*100)/B196</f>
        <v>96.1038961038961</v>
      </c>
      <c r="G196" s="156">
        <f>(D196*100)/B196</f>
        <v>59.7402597402597</v>
      </c>
      <c r="H196" s="152">
        <f>((B196-B197)/B196)*100</f>
        <v>0</v>
      </c>
      <c r="I196" s="52">
        <f>((B196-C196)/B196)*100</f>
        <v>3.8961038961039</v>
      </c>
      <c r="J196" s="52">
        <f>((C196-B197)/C196)*100</f>
        <v>-4.05405405405405</v>
      </c>
      <c r="K196" s="161"/>
      <c r="L196" s="54">
        <v>1.35135135135135</v>
      </c>
      <c r="M196" s="125" t="s">
        <v>28</v>
      </c>
      <c r="N196" s="54">
        <v>21.5</v>
      </c>
      <c r="O196" s="56">
        <f>N196/C196</f>
        <v>0.290540540540541</v>
      </c>
      <c r="P196" s="57">
        <f>(Boosters_IOS!B196*100)/Boosters_IOS!N196</f>
        <v>4.08001422089238</v>
      </c>
      <c r="Q196" s="57">
        <f>Boosters_IOS!B196/(C196+D196)</f>
        <v>0.21811314754051</v>
      </c>
      <c r="R196" s="57">
        <f>Boosters_IOS!N196/B196</f>
        <v>8.33126001936532</v>
      </c>
      <c r="S196" s="54">
        <v>7.85135135135135</v>
      </c>
      <c r="T196" s="54">
        <v>0.743243243243243</v>
      </c>
      <c r="U196" s="58">
        <v>449.662162162162</v>
      </c>
      <c r="V196" s="54">
        <v>14500</v>
      </c>
    </row>
    <row r="197" spans="1:22" s="168" customFormat="1" ht="22.500000" customHeight="1">
      <c r="A197" s="34">
        <v>195</v>
      </c>
      <c r="B197" s="49">
        <v>77</v>
      </c>
      <c r="C197" s="49">
        <v>73</v>
      </c>
      <c r="D197" s="49">
        <v>70</v>
      </c>
      <c r="E197" s="49">
        <v>32</v>
      </c>
      <c r="F197" s="50">
        <f>(C197*100)/B197</f>
        <v>94.8051948051948</v>
      </c>
      <c r="G197" s="156">
        <f>(D197*100)/B197</f>
        <v>90.9090909090909</v>
      </c>
      <c r="H197" s="152">
        <f>((B197-B198)/B197)*100</f>
        <v>2.5974025974026</v>
      </c>
      <c r="I197" s="52">
        <f>((B197-C197)/B197)*100</f>
        <v>5.1948051948052</v>
      </c>
      <c r="J197" s="52">
        <f>((C197-B198)/C197)*100</f>
        <v>-2.73972602739726</v>
      </c>
      <c r="K197" s="161"/>
      <c r="L197" s="54">
        <v>1.54794520547945</v>
      </c>
      <c r="M197" s="117" t="s">
        <v>28</v>
      </c>
      <c r="N197" s="54">
        <v>14.15</v>
      </c>
      <c r="O197" s="56">
        <f>N197/C197</f>
        <v>0.193835616438356</v>
      </c>
      <c r="P197" s="57">
        <f>(Boosters_IOS!B197*100)/Boosters_IOS!N197</f>
        <v>16.4534451375767</v>
      </c>
      <c r="Q197" s="57">
        <f>Boosters_IOS!B197/(C197+D197)</f>
        <v>0.766175219022494</v>
      </c>
      <c r="R197" s="57">
        <f>Boosters_IOS!N197/B197</f>
        <v>8.64801762445391</v>
      </c>
      <c r="S197" s="54">
        <v>15.8356164383561</v>
      </c>
      <c r="T197" s="54">
        <v>0.794520547945205</v>
      </c>
      <c r="U197" s="58">
        <v>373.767123287671</v>
      </c>
      <c r="V197" s="54">
        <v>14300</v>
      </c>
    </row>
    <row r="198" spans="1:22" s="168" customFormat="1" ht="22.500000" customHeight="1">
      <c r="A198" s="34">
        <v>196</v>
      </c>
      <c r="B198" s="49">
        <v>75</v>
      </c>
      <c r="C198" s="49">
        <v>72</v>
      </c>
      <c r="D198" s="49">
        <v>26</v>
      </c>
      <c r="E198" s="49">
        <v>19</v>
      </c>
      <c r="F198" s="50">
        <f>(C198*100)/B198</f>
        <v>96</v>
      </c>
      <c r="G198" s="156">
        <f>(D198*100)/B198</f>
        <v>34.6666666666667</v>
      </c>
      <c r="H198" s="152">
        <f>((B198-B199)/B198)*100</f>
        <v>0</v>
      </c>
      <c r="I198" s="52">
        <f>((B198-C198)/B198)*100</f>
        <v>4</v>
      </c>
      <c r="J198" s="52">
        <f>((C198-B199)/C198)*100</f>
        <v>-4.16666666666667</v>
      </c>
      <c r="K198" s="161"/>
      <c r="L198" s="54">
        <v>1.26388888888888</v>
      </c>
      <c r="M198" s="124" t="s">
        <v>29</v>
      </c>
      <c r="N198" s="54">
        <v>4.99</v>
      </c>
      <c r="O198" s="56">
        <f>N198/C198</f>
        <v>0.0693055555555556</v>
      </c>
      <c r="P198" s="57">
        <f>(Boosters_IOS!B198*100)/Boosters_IOS!N198</f>
        <v>13.8038160350156</v>
      </c>
      <c r="Q198" s="57">
        <f>Boosters_IOS!B198/(C198+D198)</f>
        <v>0.570089239803793</v>
      </c>
      <c r="R198" s="57">
        <f>Boosters_IOS!N198/B198</f>
        <v>5.39645417460907</v>
      </c>
      <c r="S198" s="54">
        <v>5.19444444444444</v>
      </c>
      <c r="T198" s="54">
        <v>0.680555555555556</v>
      </c>
      <c r="U198" s="58">
        <v>520.833333333333</v>
      </c>
      <c r="V198" s="54">
        <v>14750</v>
      </c>
    </row>
    <row r="199" spans="1:22" s="168" customFormat="1" ht="22.500000" customHeight="1">
      <c r="A199" s="34">
        <v>197</v>
      </c>
      <c r="B199" s="49">
        <v>75</v>
      </c>
      <c r="C199" s="49">
        <v>72</v>
      </c>
      <c r="D199" s="49">
        <v>54</v>
      </c>
      <c r="E199" s="49">
        <v>29</v>
      </c>
      <c r="F199" s="50">
        <f>(C199*100)/B199</f>
        <v>96</v>
      </c>
      <c r="G199" s="156">
        <f>(D199*100)/B199</f>
        <v>72</v>
      </c>
      <c r="H199" s="152">
        <f>((B199-B200)/B199)*100</f>
        <v>1.33333333333333</v>
      </c>
      <c r="I199" s="52">
        <f>((B199-C199)/B199)*100</f>
        <v>4</v>
      </c>
      <c r="J199" s="52">
        <f>((C199-B200)/C199)*100</f>
        <v>-2.77777777777778</v>
      </c>
      <c r="K199" s="161"/>
      <c r="L199" s="54">
        <v>1.52777777777777</v>
      </c>
      <c r="M199" s="126" t="s">
        <v>29</v>
      </c>
      <c r="N199" s="54">
        <v>14.15</v>
      </c>
      <c r="O199" s="56">
        <f>N199/C199</f>
        <v>0.196527777777778</v>
      </c>
      <c r="P199" s="57">
        <f>(Boosters_IOS!B199*100)/Boosters_IOS!N199</f>
        <v>8.34818548557131</v>
      </c>
      <c r="Q199" s="57">
        <f>Boosters_IOS!B199/(C199+D199)</f>
        <v>0.405447304477759</v>
      </c>
      <c r="R199" s="57">
        <f>Boosters_IOS!N199/B199</f>
        <v>8.15927572165127</v>
      </c>
      <c r="S199" s="54">
        <v>8.08333333333333</v>
      </c>
      <c r="T199" s="54">
        <v>0.75</v>
      </c>
      <c r="U199" s="58">
        <v>609.097222222222</v>
      </c>
      <c r="V199" s="54">
        <v>13645</v>
      </c>
    </row>
    <row r="200" spans="1:22" s="168" customFormat="1" ht="22.500000" customHeight="1">
      <c r="A200" s="34">
        <v>198</v>
      </c>
      <c r="B200" s="49">
        <v>74</v>
      </c>
      <c r="C200" s="49">
        <v>75</v>
      </c>
      <c r="D200" s="49">
        <v>43</v>
      </c>
      <c r="E200" s="49">
        <v>25</v>
      </c>
      <c r="F200" s="50">
        <f>(C200*100)/B200</f>
        <v>101.351351351351</v>
      </c>
      <c r="G200" s="156">
        <f>(D200*100)/B200</f>
        <v>58.1081081081081</v>
      </c>
      <c r="H200" s="152">
        <f>((B200-B201)/B200)*100</f>
        <v>0</v>
      </c>
      <c r="I200" s="52">
        <f>((B200-C200)/B200)*100</f>
        <v>-1.35135135135135</v>
      </c>
      <c r="J200" s="52">
        <f>((C200-B201)/C200)*100</f>
        <v>1.33333333333333</v>
      </c>
      <c r="K200" s="161"/>
      <c r="L200" s="54">
        <v>1.28</v>
      </c>
      <c r="M200" s="125" t="s">
        <v>28</v>
      </c>
      <c r="N200" s="54">
        <v>39.36</v>
      </c>
      <c r="O200" s="56">
        <f>N200/C200</f>
        <v>0.5248</v>
      </c>
      <c r="P200" s="57">
        <f>(Boosters_IOS!B200*100)/Boosters_IOS!N200</f>
        <v>3.90733553201669</v>
      </c>
      <c r="Q200" s="57">
        <f>Boosters_IOS!B200/(C200+D200)</f>
        <v>0.191965996727218</v>
      </c>
      <c r="R200" s="57">
        <f>Boosters_IOS!N200/B200</f>
        <v>7.8341861920723</v>
      </c>
      <c r="S200" s="54">
        <v>5.6</v>
      </c>
      <c r="T200" s="54">
        <v>0.76</v>
      </c>
      <c r="U200" s="58">
        <v>1248.4</v>
      </c>
      <c r="V200" s="54">
        <v>18300</v>
      </c>
    </row>
    <row r="201" spans="1:22" s="168" customFormat="1" ht="22.500000" customHeight="1">
      <c r="A201" s="34">
        <v>199</v>
      </c>
      <c r="B201" s="49">
        <v>74</v>
      </c>
      <c r="C201" s="49">
        <v>73</v>
      </c>
      <c r="D201" s="49">
        <v>20</v>
      </c>
      <c r="E201" s="49">
        <v>5</v>
      </c>
      <c r="F201" s="50">
        <f>(C201*100)/B201</f>
        <v>98.6486486486487</v>
      </c>
      <c r="G201" s="156">
        <f>(D201*100)/B201</f>
        <v>27.027027027027</v>
      </c>
      <c r="H201" s="152">
        <f>((B201-B202)/B201)*100</f>
        <v>-9.45945945945946</v>
      </c>
      <c r="I201" s="52">
        <f>((B201-C201)/B201)*100</f>
        <v>1.35135135135135</v>
      </c>
      <c r="J201" s="52">
        <f>((C201-B202)/C201)*100</f>
        <v>-10.958904109589</v>
      </c>
      <c r="K201" s="161"/>
      <c r="L201" s="54">
        <v>1.04109589041095</v>
      </c>
      <c r="M201" s="117" t="s">
        <v>28</v>
      </c>
      <c r="N201" s="54">
        <v>2.49</v>
      </c>
      <c r="O201" s="56">
        <f>N201/C201</f>
        <v>0.0341095890410959</v>
      </c>
      <c r="P201" s="57">
        <f>(Boosters_IOS!B201*100)/Boosters_IOS!N201</f>
        <v>5.32595728896248</v>
      </c>
      <c r="Q201" s="57">
        <f>Boosters_IOS!B201/(C201+D201)</f>
        <v>0.344550324538697</v>
      </c>
      <c r="R201" s="57">
        <f>Boosters_IOS!N201/B201</f>
        <v>8.13029329589488</v>
      </c>
      <c r="S201" s="54">
        <v>10.4520547945205</v>
      </c>
      <c r="T201" s="54">
        <v>0.63013698630137</v>
      </c>
      <c r="U201" s="58">
        <v>1273.83561643836</v>
      </c>
      <c r="V201" s="54">
        <v>21520</v>
      </c>
    </row>
    <row r="202" spans="1:22" s="168" customFormat="1" ht="22.500000" customHeight="1">
      <c r="A202" s="34">
        <v>200</v>
      </c>
      <c r="B202" s="49">
        <v>81</v>
      </c>
      <c r="C202" s="49">
        <v>72</v>
      </c>
      <c r="D202" s="49">
        <v>71</v>
      </c>
      <c r="E202" s="49">
        <v>48</v>
      </c>
      <c r="F202" s="50">
        <f>(C202*100)/B202</f>
        <v>88.8888888888889</v>
      </c>
      <c r="G202" s="156">
        <f>(D202*100)/B202</f>
        <v>87.6543209876543</v>
      </c>
      <c r="H202" s="152">
        <f>((B202-B203)/B202)*100</f>
        <v>12.3456790123457</v>
      </c>
      <c r="I202" s="52">
        <f>((B202-C202)/B202)*100</f>
        <v>11.1111111111111</v>
      </c>
      <c r="J202" s="52">
        <f>((C202-B203)/C202)*100</f>
        <v>1.38888888888889</v>
      </c>
      <c r="K202" s="161"/>
      <c r="L202" s="54">
        <v>2.05479452054794</v>
      </c>
      <c r="M202" s="125" t="s">
        <v>28</v>
      </c>
      <c r="N202" s="54">
        <v>18.52</v>
      </c>
      <c r="O202" s="56">
        <f>N202/C202</f>
        <v>0.257222222222222</v>
      </c>
      <c r="P202" s="57">
        <f>(Boosters_IOS!B202*100)/Boosters_IOS!N202</f>
        <v>11.0111525237538</v>
      </c>
      <c r="Q202" s="57">
        <f>Boosters_IOS!B202/(C202+D202)</f>
        <v>0.87410789559862</v>
      </c>
      <c r="R202" s="57">
        <f>Boosters_IOS!N202/B202</f>
        <v>14.0146831437044</v>
      </c>
      <c r="S202" s="54">
        <v>8.91780821917808</v>
      </c>
      <c r="T202" s="54">
        <v>0.847222222222222</v>
      </c>
      <c r="U202" s="58">
        <v>1080.90277777778</v>
      </c>
      <c r="V202" s="54">
        <v>12880</v>
      </c>
    </row>
    <row r="203" spans="1:22" s="168" customFormat="1" ht="22.500000" customHeight="1">
      <c r="A203" s="34">
        <v>201</v>
      </c>
      <c r="B203" s="49">
        <v>71</v>
      </c>
      <c r="C203" s="49">
        <v>71</v>
      </c>
      <c r="D203" s="49">
        <v>0</v>
      </c>
      <c r="E203" s="49">
        <v>0</v>
      </c>
      <c r="F203" s="50">
        <f>(C203*100)/B203</f>
        <v>100</v>
      </c>
      <c r="G203" s="156">
        <f>(D203*100)/B203</f>
        <v>0</v>
      </c>
      <c r="H203" s="152">
        <f>((B203-B204)/B203)*100</f>
        <v>4.22535211267606</v>
      </c>
      <c r="I203" s="52">
        <f>((B203-C203)/B203)*100</f>
        <v>0</v>
      </c>
      <c r="J203" s="52">
        <f>((C203-B204)/C203)*100</f>
        <v>4.22535211267606</v>
      </c>
      <c r="K203" s="161"/>
      <c r="L203" s="54">
        <v>1.01408450704225</v>
      </c>
      <c r="M203" s="126" t="s">
        <v>29</v>
      </c>
      <c r="N203" s="54">
        <v>12.99</v>
      </c>
      <c r="O203" s="56">
        <f>N203/C203</f>
        <v>0.182957746478873</v>
      </c>
      <c r="P203" s="57">
        <f>(Boosters_IOS!B203*100)/Boosters_IOS!N203</f>
        <v>0</v>
      </c>
      <c r="Q203" s="57">
        <f>Boosters_IOS!B203/(C203+D203)</f>
        <v>0</v>
      </c>
      <c r="R203" s="57">
        <f>Boosters_IOS!N203/B203</f>
        <v>4.50704225352113</v>
      </c>
      <c r="S203" s="54">
        <v>6.56338028169014</v>
      </c>
      <c r="T203" s="54">
        <v>0.507042253521127</v>
      </c>
      <c r="U203" s="58">
        <v>1333.16901408451</v>
      </c>
      <c r="V203" s="54"/>
    </row>
    <row r="204" spans="1:22" s="168" customFormat="1" ht="22.500000" customHeight="1">
      <c r="A204" s="34">
        <v>202</v>
      </c>
      <c r="B204" s="49">
        <v>68</v>
      </c>
      <c r="C204" s="49">
        <v>68</v>
      </c>
      <c r="D204" s="49">
        <v>0</v>
      </c>
      <c r="E204" s="49">
        <v>0</v>
      </c>
      <c r="F204" s="50">
        <f>(C204*100)/B204</f>
        <v>100</v>
      </c>
      <c r="G204" s="156">
        <f>(D204*100)/B204</f>
        <v>0</v>
      </c>
      <c r="H204" s="152">
        <f>((B204-B205)/B204)*100</f>
        <v>-2.94117647058824</v>
      </c>
      <c r="I204" s="52">
        <f>((B204-C204)/B204)*100</f>
        <v>0</v>
      </c>
      <c r="J204" s="52">
        <f>((C204-B205)/C204)*100</f>
        <v>-2.94117647058824</v>
      </c>
      <c r="K204" s="161"/>
      <c r="L204" s="54">
        <v>1.01470588235294</v>
      </c>
      <c r="M204" s="124" t="s">
        <v>29</v>
      </c>
      <c r="N204" s="54">
        <v>0</v>
      </c>
      <c r="O204" s="56">
        <f>N204/C204</f>
        <v>0</v>
      </c>
      <c r="P204" s="57">
        <f>(Boosters_IOS!B204*100)/Boosters_IOS!N204</f>
        <v>0</v>
      </c>
      <c r="Q204" s="57">
        <f>Boosters_IOS!B204/(C204+D204)</f>
        <v>0</v>
      </c>
      <c r="R204" s="57">
        <f>Boosters_IOS!N204/B204</f>
        <v>3.16176470588235</v>
      </c>
      <c r="S204" s="54">
        <v>3.60294117647058</v>
      </c>
      <c r="T204" s="54">
        <v>0.470588235294118</v>
      </c>
      <c r="U204" s="58">
        <v>1337.79411764706</v>
      </c>
      <c r="V204" s="54"/>
    </row>
    <row r="205" spans="1:22" s="168" customFormat="1" ht="22.500000" customHeight="1">
      <c r="A205" s="34">
        <v>203</v>
      </c>
      <c r="B205" s="49">
        <v>70</v>
      </c>
      <c r="C205" s="49">
        <v>63</v>
      </c>
      <c r="D205" s="49">
        <v>54</v>
      </c>
      <c r="E205" s="49">
        <v>38</v>
      </c>
      <c r="F205" s="50">
        <f>(C205*100)/B205</f>
        <v>90</v>
      </c>
      <c r="G205" s="156">
        <f>(D205*100)/B205</f>
        <v>77.1428571428571</v>
      </c>
      <c r="H205" s="152">
        <f>((B205-B206)/B205)*100</f>
        <v>2.85714285714286</v>
      </c>
      <c r="I205" s="52">
        <f>((B205-C205)/B205)*100</f>
        <v>10</v>
      </c>
      <c r="J205" s="52">
        <f>((C205-B206)/C205)*100</f>
        <v>-7.93650793650794</v>
      </c>
      <c r="K205" s="161"/>
      <c r="L205" s="54">
        <v>1.95238095238095</v>
      </c>
      <c r="M205" s="117" t="s">
        <v>28</v>
      </c>
      <c r="N205" s="54">
        <v>14.46</v>
      </c>
      <c r="O205" s="56">
        <f>N205/C205</f>
        <v>0.22952380952381</v>
      </c>
      <c r="P205" s="57">
        <f>(Boosters_IOS!B205*100)/Boosters_IOS!N205</f>
        <v>14.8755689692949</v>
      </c>
      <c r="Q205" s="57">
        <f>Boosters_IOS!B205/(C205+D205)</f>
        <v>0.573011309449855</v>
      </c>
      <c r="R205" s="57">
        <f>Boosters_IOS!N205/B205</f>
        <v>6.43839221439597</v>
      </c>
      <c r="S205" s="54">
        <v>7.34920634920634</v>
      </c>
      <c r="T205" s="54">
        <v>0.746031746031746</v>
      </c>
      <c r="U205" s="58">
        <v>1186.19047619048</v>
      </c>
      <c r="V205" s="54"/>
    </row>
    <row r="206" spans="1:22" s="168" customFormat="1" ht="22.500000" customHeight="1">
      <c r="A206" s="34">
        <v>204</v>
      </c>
      <c r="B206" s="49">
        <v>68</v>
      </c>
      <c r="C206" s="49">
        <v>63</v>
      </c>
      <c r="D206" s="49">
        <v>29</v>
      </c>
      <c r="E206" s="49">
        <v>16</v>
      </c>
      <c r="F206" s="50">
        <f>(C206*100)/B206</f>
        <v>92.6470588235294</v>
      </c>
      <c r="G206" s="156">
        <f>(D206*100)/B206</f>
        <v>42.6470588235294</v>
      </c>
      <c r="H206" s="152">
        <f>((B206-B207)/B206)*100</f>
        <v>5.88235294117647</v>
      </c>
      <c r="I206" s="52">
        <f>((B206-C206)/B206)*100</f>
        <v>7.35294117647059</v>
      </c>
      <c r="J206" s="52">
        <f>((C206-B207)/C206)*100</f>
        <v>-1.58730158730159</v>
      </c>
      <c r="K206" s="161"/>
      <c r="L206" s="54">
        <v>1.2063492063492</v>
      </c>
      <c r="M206" s="125" t="s">
        <v>28</v>
      </c>
      <c r="N206" s="54">
        <v>2.49</v>
      </c>
      <c r="O206" s="56">
        <f>N206/C206</f>
        <v>0.0395238095238095</v>
      </c>
      <c r="P206" s="57">
        <f>(Boosters_IOS!B206*100)/Boosters_IOS!N206</f>
        <v>7.35760448039015</v>
      </c>
      <c r="Q206" s="57">
        <f>Boosters_IOS!B206/(C206+D206)</f>
        <v>0.330808399460717</v>
      </c>
      <c r="R206" s="57">
        <f>Boosters_IOS!N206/B206</f>
        <v>6.08301664414831</v>
      </c>
      <c r="S206" s="54">
        <v>10</v>
      </c>
      <c r="T206" s="54">
        <v>0.603174603174603</v>
      </c>
      <c r="U206" s="58">
        <v>1186.8253968254</v>
      </c>
      <c r="V206" s="54"/>
    </row>
    <row r="207" spans="1:22" s="168" customFormat="1" ht="22.500000" customHeight="1">
      <c r="A207" s="34">
        <v>205</v>
      </c>
      <c r="B207" s="49">
        <v>64</v>
      </c>
      <c r="C207" s="49">
        <v>64</v>
      </c>
      <c r="D207" s="49">
        <v>3</v>
      </c>
      <c r="E207" s="49">
        <v>2</v>
      </c>
      <c r="F207" s="50">
        <f>(C207*100)/B207</f>
        <v>100</v>
      </c>
      <c r="G207" s="156">
        <f>(D207*100)/B207</f>
        <v>4.6875</v>
      </c>
      <c r="H207" s="152">
        <f>((B207-B208)/B207)*100</f>
        <v>0</v>
      </c>
      <c r="I207" s="52">
        <f>((B207-C207)/B207)*100</f>
        <v>0</v>
      </c>
      <c r="J207" s="52">
        <f>((C207-B208)/C207)*100</f>
        <v>0</v>
      </c>
      <c r="K207" s="161"/>
      <c r="L207" s="54">
        <v>1.015625</v>
      </c>
      <c r="M207" s="117" t="s">
        <v>28</v>
      </c>
      <c r="N207" s="54">
        <v>0</v>
      </c>
      <c r="O207" s="56">
        <f>N207/C207</f>
        <v>0</v>
      </c>
      <c r="P207" s="57">
        <f>(Boosters_IOS!B207*100)/Boosters_IOS!N207</f>
        <v>4.49121534966318</v>
      </c>
      <c r="Q207" s="57">
        <f>Boosters_IOS!B207/(C207+D207)</f>
        <v>0.134328358208955</v>
      </c>
      <c r="R207" s="57">
        <f>Boosters_IOS!N207/B207</f>
        <v>3.13111238387949</v>
      </c>
      <c r="S207" s="54">
        <v>4.890625</v>
      </c>
      <c r="T207" s="54">
        <v>0.53125</v>
      </c>
      <c r="U207" s="58">
        <v>1257.421875</v>
      </c>
      <c r="V207" s="54"/>
    </row>
    <row r="208" spans="1:22" s="168" customFormat="1" ht="22.500000" customHeight="1">
      <c r="A208" s="34">
        <v>206</v>
      </c>
      <c r="B208" s="49">
        <v>64</v>
      </c>
      <c r="C208" s="49">
        <v>64</v>
      </c>
      <c r="D208" s="49">
        <v>10</v>
      </c>
      <c r="E208" s="49">
        <v>7</v>
      </c>
      <c r="F208" s="50">
        <f>(C208*100)/B208</f>
        <v>100</v>
      </c>
      <c r="G208" s="156">
        <f>(D208*100)/B208</f>
        <v>15.625</v>
      </c>
      <c r="H208" s="152">
        <f>((B208-B209)/B208)*100</f>
        <v>1.5625</v>
      </c>
      <c r="I208" s="52">
        <f>((B208-C208)/B208)*100</f>
        <v>0</v>
      </c>
      <c r="J208" s="52">
        <f>((C208-B209)/C208)*100</f>
        <v>1.5625</v>
      </c>
      <c r="K208" s="161"/>
      <c r="L208" s="54">
        <v>1.140625</v>
      </c>
      <c r="M208" s="125" t="s">
        <v>28</v>
      </c>
      <c r="N208" s="54">
        <v>0</v>
      </c>
      <c r="O208" s="56">
        <f>N208/C208</f>
        <v>0</v>
      </c>
      <c r="P208" s="57">
        <f>(Boosters_IOS!B208*100)/Boosters_IOS!N208</f>
        <v>13.6017295437927</v>
      </c>
      <c r="Q208" s="57">
        <f>Boosters_IOS!B208/(C208+D208)</f>
        <v>0.408929662777361</v>
      </c>
      <c r="R208" s="57">
        <f>Boosters_IOS!N208/B208</f>
        <v>3.47621176457007</v>
      </c>
      <c r="S208" s="54">
        <v>11.140625</v>
      </c>
      <c r="T208" s="54">
        <v>0.578125</v>
      </c>
      <c r="U208" s="58">
        <v>1315.234375</v>
      </c>
      <c r="V208" s="54"/>
    </row>
    <row r="209" spans="1:22" s="168" customFormat="1" ht="22.500000" customHeight="1">
      <c r="A209" s="34">
        <v>207</v>
      </c>
      <c r="B209" s="49">
        <v>63</v>
      </c>
      <c r="C209" s="49">
        <v>61</v>
      </c>
      <c r="D209" s="49">
        <v>38</v>
      </c>
      <c r="E209" s="49">
        <v>13</v>
      </c>
      <c r="F209" s="50">
        <f>(C209*100)/B209</f>
        <v>96.8253968253968</v>
      </c>
      <c r="G209" s="156">
        <f>(D209*100)/B209</f>
        <v>60.3174603174603</v>
      </c>
      <c r="H209" s="152">
        <f>((B209-B210)/B209)*100</f>
        <v>4.76190476190476</v>
      </c>
      <c r="I209" s="52">
        <f>((B209-C209)/B209)*100</f>
        <v>3.17460317460317</v>
      </c>
      <c r="J209" s="52">
        <f>((C209-B210)/C209)*100</f>
        <v>1.63934426229508</v>
      </c>
      <c r="K209" s="161"/>
      <c r="L209" s="54">
        <v>1.55737704918032</v>
      </c>
      <c r="M209" s="117" t="s">
        <v>28</v>
      </c>
      <c r="N209" s="54">
        <v>2.67</v>
      </c>
      <c r="O209" s="56">
        <f>N209/C209</f>
        <v>0.0437704918032787</v>
      </c>
      <c r="P209" s="57">
        <f>(Boosters_IOS!B209*100)/Boosters_IOS!N209</f>
        <v>4.96377841708345</v>
      </c>
      <c r="Q209" s="57">
        <f>Boosters_IOS!B209/(C209+D209)</f>
        <v>0.111111111111111</v>
      </c>
      <c r="R209" s="57">
        <f>Boosters_IOS!N209/B209</f>
        <v>3.51754570675952</v>
      </c>
      <c r="S209" s="54">
        <v>4.1311475409836</v>
      </c>
      <c r="T209" s="54">
        <v>0.672131147540984</v>
      </c>
      <c r="U209" s="58">
        <v>1068.85245901639</v>
      </c>
      <c r="V209" s="54"/>
    </row>
    <row r="210" spans="1:22" s="168" customFormat="1" ht="22.500000" customHeight="1">
      <c r="A210" s="34">
        <v>208</v>
      </c>
      <c r="B210" s="49">
        <v>60</v>
      </c>
      <c r="C210" s="49">
        <v>59</v>
      </c>
      <c r="D210" s="49">
        <v>43</v>
      </c>
      <c r="E210" s="49">
        <v>19</v>
      </c>
      <c r="F210" s="50">
        <f>(C210*100)/B210</f>
        <v>98.3333333333333</v>
      </c>
      <c r="G210" s="156">
        <f>(D210*100)/B210</f>
        <v>71.6666666666667</v>
      </c>
      <c r="H210" s="152">
        <f>((B210-B211)/B210)*100</f>
        <v>-1.66666666666667</v>
      </c>
      <c r="I210" s="52">
        <f>((B210-C210)/B210)*100</f>
        <v>1.66666666666667</v>
      </c>
      <c r="J210" s="52">
        <f>((C210-B211)/C210)*100</f>
        <v>-3.38983050847458</v>
      </c>
      <c r="K210" s="161"/>
      <c r="L210" s="54">
        <v>1.25423728813559</v>
      </c>
      <c r="M210" s="124" t="s">
        <v>29</v>
      </c>
      <c r="N210" s="54">
        <v>0</v>
      </c>
      <c r="O210" s="56">
        <f>N210/C210</f>
        <v>0</v>
      </c>
      <c r="P210" s="57">
        <f>(Boosters_IOS!B210*100)/Boosters_IOS!N210</f>
        <v>22.3396496960425</v>
      </c>
      <c r="Q210" s="57">
        <f>Boosters_IOS!B210/(C210+D210)</f>
        <v>0.685411036106575</v>
      </c>
      <c r="R210" s="57">
        <f>Boosters_IOS!N210/B210</f>
        <v>5.21583273343624</v>
      </c>
      <c r="S210" s="54">
        <v>11.5084745762711</v>
      </c>
      <c r="T210" s="54">
        <v>0.779661016949153</v>
      </c>
      <c r="U210" s="58">
        <v>927.203389830509</v>
      </c>
      <c r="V210" s="54"/>
    </row>
    <row r="211" spans="1:22" s="168" customFormat="1" ht="22.500000" customHeight="1">
      <c r="A211" s="34">
        <v>209</v>
      </c>
      <c r="B211" s="49">
        <v>61</v>
      </c>
      <c r="C211" s="49">
        <v>60</v>
      </c>
      <c r="D211" s="49">
        <v>36</v>
      </c>
      <c r="E211" s="49">
        <v>20</v>
      </c>
      <c r="F211" s="50">
        <f>(C211*100)/B211</f>
        <v>98.3606557377049</v>
      </c>
      <c r="G211" s="156">
        <f>(D211*100)/B211</f>
        <v>59.016393442623</v>
      </c>
      <c r="H211" s="152">
        <f>((B211-B212)/B211)*100</f>
        <v>-1.63934426229508</v>
      </c>
      <c r="I211" s="52">
        <f>((B211-C211)/B211)*100</f>
        <v>1.63934426229508</v>
      </c>
      <c r="J211" s="52">
        <f>((C211-B212)/C211)*100</f>
        <v>-3.33333333333333</v>
      </c>
      <c r="K211" s="161"/>
      <c r="L211" s="54">
        <v>1.4</v>
      </c>
      <c r="M211" s="126" t="s">
        <v>29</v>
      </c>
      <c r="N211" s="54">
        <v>6.49</v>
      </c>
      <c r="O211" s="56">
        <f>N211/C211</f>
        <v>0.108166666666667</v>
      </c>
      <c r="P211" s="57">
        <f>(Boosters_IOS!B211*100)/Boosters_IOS!N211</f>
        <v>10.1883841727025</v>
      </c>
      <c r="Q211" s="57">
        <f>Boosters_IOS!B211/(C211+D211)</f>
        <v>0.345558101092304</v>
      </c>
      <c r="R211" s="57">
        <f>Boosters_IOS!N211/B211</f>
        <v>5.33773691180305</v>
      </c>
      <c r="S211" s="54">
        <v>8.71666666666666</v>
      </c>
      <c r="T211" s="54">
        <v>0.633333333333333</v>
      </c>
      <c r="U211" s="58">
        <v>1002.91666666667</v>
      </c>
      <c r="V211" s="54"/>
    </row>
    <row r="212" spans="1:22" s="168" customFormat="1" ht="22.500000" customHeight="1">
      <c r="A212" s="34">
        <v>210</v>
      </c>
      <c r="B212" s="49">
        <v>62</v>
      </c>
      <c r="C212" s="49">
        <v>62</v>
      </c>
      <c r="D212" s="49">
        <v>43</v>
      </c>
      <c r="E212" s="49">
        <v>40</v>
      </c>
      <c r="F212" s="50">
        <f>(C212*100)/B212</f>
        <v>100</v>
      </c>
      <c r="G212" s="156">
        <f>(D212*100)/B212</f>
        <v>69.3548387096774</v>
      </c>
      <c r="H212" s="152">
        <f>((B212-B213)/B212)*100</f>
        <v>-3.2258064516129</v>
      </c>
      <c r="I212" s="52">
        <f>((B212-C212)/B212)*100</f>
        <v>0</v>
      </c>
      <c r="J212" s="52">
        <f>((C212-B213)/C212)*100</f>
        <v>-3.2258064516129</v>
      </c>
      <c r="K212" s="161"/>
      <c r="L212" s="54">
        <v>1.51612903225806</v>
      </c>
      <c r="M212" s="125" t="s">
        <v>28</v>
      </c>
      <c r="N212" s="54">
        <v>0</v>
      </c>
      <c r="O212" s="56">
        <f>N212/C212</f>
        <v>0</v>
      </c>
      <c r="P212" s="57">
        <f>(Boosters_IOS!B212*100)/Boosters_IOS!N212</f>
        <v>48.9434233190942</v>
      </c>
      <c r="Q212" s="57">
        <f>Boosters_IOS!B212/(C212+D212)</f>
        <v>1.17968601474133</v>
      </c>
      <c r="R212" s="57">
        <f>Boosters_IOS!N212/B212</f>
        <v>4.08196895938497</v>
      </c>
      <c r="S212" s="54">
        <v>5.04838709677419</v>
      </c>
      <c r="T212" s="54">
        <v>0.596774193548387</v>
      </c>
      <c r="U212" s="58">
        <v>720.241935483871</v>
      </c>
      <c r="V212" s="54"/>
    </row>
    <row r="213" spans="1:22" s="168" customFormat="1" ht="22.500000" customHeight="1">
      <c r="A213" s="34">
        <v>211</v>
      </c>
      <c r="B213" s="49">
        <v>64</v>
      </c>
      <c r="C213" s="49">
        <v>64</v>
      </c>
      <c r="D213" s="49">
        <v>37</v>
      </c>
      <c r="E213" s="49">
        <v>14</v>
      </c>
      <c r="F213" s="50">
        <f>(C213*100)/B213</f>
        <v>100</v>
      </c>
      <c r="G213" s="156">
        <f>(D213*100)/B213</f>
        <v>57.8125</v>
      </c>
      <c r="H213" s="152">
        <f>((B213-B214)/B213)*100</f>
        <v>0</v>
      </c>
      <c r="I213" s="52">
        <f>((B213-C213)/B213)*100</f>
        <v>0</v>
      </c>
      <c r="J213" s="52">
        <f>((C213-B214)/C213)*100</f>
        <v>0</v>
      </c>
      <c r="K213" s="161"/>
      <c r="L213" s="54">
        <v>1.625</v>
      </c>
      <c r="M213" s="127" t="s">
        <v>30</v>
      </c>
      <c r="N213" s="54">
        <v>8.03</v>
      </c>
      <c r="O213" s="56">
        <f>N213/C213</f>
        <v>0.12546875</v>
      </c>
      <c r="P213" s="57">
        <f>(Boosters_IOS!B213*100)/Boosters_IOS!N213</f>
        <v>25.4948688738919</v>
      </c>
      <c r="Q213" s="57">
        <f>Boosters_IOS!B213/(C213+D213)</f>
        <v>0.582431339788841</v>
      </c>
      <c r="R213" s="57">
        <f>Boosters_IOS!N213/B213</f>
        <v>3.60523312612728</v>
      </c>
      <c r="S213" s="54">
        <v>11.453125</v>
      </c>
      <c r="T213" s="54">
        <v>0.734375</v>
      </c>
      <c r="U213" s="58">
        <v>679.84375</v>
      </c>
      <c r="V213" s="54"/>
    </row>
    <row r="214" spans="1:22" s="168" customFormat="1" ht="22.500000" customHeight="1">
      <c r="A214" s="34">
        <v>212</v>
      </c>
      <c r="B214" s="49">
        <v>64</v>
      </c>
      <c r="C214" s="49">
        <v>63</v>
      </c>
      <c r="D214" s="49">
        <v>36</v>
      </c>
      <c r="E214" s="49">
        <v>19</v>
      </c>
      <c r="F214" s="50">
        <f>(C214*100)/B214</f>
        <v>98.4375</v>
      </c>
      <c r="G214" s="156">
        <f>(D214*100)/B214</f>
        <v>56.25</v>
      </c>
      <c r="H214" s="152">
        <f>((B214-B215)/B214)*100</f>
        <v>0</v>
      </c>
      <c r="I214" s="52">
        <f>((B214-C214)/B214)*100</f>
        <v>1.5625</v>
      </c>
      <c r="J214" s="52">
        <f>((C214-B215)/C214)*100</f>
        <v>-1.58730158730159</v>
      </c>
      <c r="K214" s="161"/>
      <c r="L214" s="54">
        <v>1.46031746031746</v>
      </c>
      <c r="M214" s="125" t="s">
        <v>28</v>
      </c>
      <c r="N214" s="54">
        <v>0</v>
      </c>
      <c r="O214" s="56">
        <f>N214/C214</f>
        <v>0</v>
      </c>
      <c r="P214" s="57">
        <f>(Boosters_IOS!B214*100)/Boosters_IOS!N214</f>
        <v>17.0571527130755</v>
      </c>
      <c r="Q214" s="57">
        <f>Boosters_IOS!B214/(C214+D214)</f>
        <v>0.34870293021262</v>
      </c>
      <c r="R214" s="57">
        <f>Boosters_IOS!N214/B214</f>
        <v>3.16230882285037</v>
      </c>
      <c r="S214" s="54">
        <v>12.2063492063492</v>
      </c>
      <c r="T214" s="54">
        <v>0.698412698412698</v>
      </c>
      <c r="U214" s="58">
        <v>692.063492063492</v>
      </c>
      <c r="V214" s="54"/>
    </row>
    <row r="215" spans="1:22" s="168" customFormat="1" ht="22.500000" customHeight="1">
      <c r="A215" s="34">
        <v>213</v>
      </c>
      <c r="B215" s="49">
        <v>64</v>
      </c>
      <c r="C215" s="49">
        <v>57</v>
      </c>
      <c r="D215" s="49">
        <v>43</v>
      </c>
      <c r="E215" s="49">
        <v>25</v>
      </c>
      <c r="F215" s="50">
        <f>(C215*100)/B215</f>
        <v>89.0625</v>
      </c>
      <c r="G215" s="156">
        <f>(D215*100)/B215</f>
        <v>67.1875</v>
      </c>
      <c r="H215" s="152">
        <f>((B215-B216)/B215)*100</f>
        <v>7.8125</v>
      </c>
      <c r="I215" s="52">
        <f>((B215-C215)/B215)*100</f>
        <v>10.9375</v>
      </c>
      <c r="J215" s="52">
        <f>((C215-B216)/C215)*100</f>
        <v>-3.50877192982456</v>
      </c>
      <c r="K215" s="161"/>
      <c r="L215" s="54">
        <v>1.66666666666666</v>
      </c>
      <c r="M215" s="117" t="s">
        <v>28</v>
      </c>
      <c r="N215" s="54">
        <v>0</v>
      </c>
      <c r="O215" s="56">
        <f>N215/C215</f>
        <v>0</v>
      </c>
      <c r="P215" s="57">
        <f>(Boosters_IOS!B215*100)/Boosters_IOS!N215</f>
        <v>16.7392708208666</v>
      </c>
      <c r="Q215" s="57">
        <f>Boosters_IOS!B215/(C215+D215)</f>
        <v>0.503039752276235</v>
      </c>
      <c r="R215" s="57">
        <f>Boosters_IOS!N215/B215</f>
        <v>4.69554272311441</v>
      </c>
      <c r="S215" s="54">
        <v>7.68421052631578</v>
      </c>
      <c r="T215" s="54">
        <v>0.789473684210526</v>
      </c>
      <c r="U215" s="58">
        <v>540.175438596491</v>
      </c>
      <c r="V215" s="54"/>
    </row>
    <row r="216" spans="1:22" s="168" customFormat="1" ht="22.500000" customHeight="1">
      <c r="A216" s="34">
        <v>214</v>
      </c>
      <c r="B216" s="49">
        <v>59</v>
      </c>
      <c r="C216" s="49">
        <v>55</v>
      </c>
      <c r="D216" s="49">
        <v>41</v>
      </c>
      <c r="E216" s="49">
        <v>25</v>
      </c>
      <c r="F216" s="50">
        <f>(C216*100)/B216</f>
        <v>93.2203389830509</v>
      </c>
      <c r="G216" s="156">
        <f>(D216*100)/B216</f>
        <v>69.4915254237288</v>
      </c>
      <c r="H216" s="152">
        <f>((B216-B217)/B216)*100</f>
        <v>0</v>
      </c>
      <c r="I216" s="52">
        <f>((B216-C216)/B216)*100</f>
        <v>6.77966101694915</v>
      </c>
      <c r="J216" s="52">
        <f>((C216-B217)/C216)*100</f>
        <v>-7.27272727272727</v>
      </c>
      <c r="K216" s="161"/>
      <c r="L216" s="54">
        <v>1.43636363636363</v>
      </c>
      <c r="M216" s="124" t="s">
        <v>29</v>
      </c>
      <c r="N216" s="54">
        <v>0</v>
      </c>
      <c r="O216" s="56">
        <f>N216/C216</f>
        <v>0</v>
      </c>
      <c r="P216" s="57">
        <f>(Boosters_IOS!B216*100)/Boosters_IOS!N216</f>
        <v>16.5310257291138</v>
      </c>
      <c r="Q216" s="57">
        <f>Boosters_IOS!B216/(C216+D216)</f>
        <v>0.413491331207402</v>
      </c>
      <c r="R216" s="57">
        <f>Boosters_IOS!N216/B216</f>
        <v>4.06991958752487</v>
      </c>
      <c r="S216" s="54">
        <v>6.07272727272727</v>
      </c>
      <c r="T216" s="54">
        <v>0.781818181818182</v>
      </c>
      <c r="U216" s="58">
        <v>477.636363636364</v>
      </c>
      <c r="V216" s="54"/>
    </row>
    <row r="217" spans="1:22" s="168" customFormat="1" ht="22.500000" customHeight="1">
      <c r="A217" s="34">
        <v>215</v>
      </c>
      <c r="B217" s="49">
        <v>59</v>
      </c>
      <c r="C217" s="49">
        <v>58</v>
      </c>
      <c r="D217" s="49">
        <v>41</v>
      </c>
      <c r="E217" s="49">
        <v>17</v>
      </c>
      <c r="F217" s="50">
        <f>(C217*100)/B217</f>
        <v>98.3050847457627</v>
      </c>
      <c r="G217" s="156">
        <f>(D217*100)/B217</f>
        <v>69.4915254237288</v>
      </c>
      <c r="H217" s="152">
        <f>((B217-B218)/B217)*100</f>
        <v>0</v>
      </c>
      <c r="I217" s="52">
        <f>((B217-C217)/B217)*100</f>
        <v>1.69491525423729</v>
      </c>
      <c r="J217" s="52">
        <f>((C217-B218)/C217)*100</f>
        <v>-1.72413793103448</v>
      </c>
      <c r="K217" s="161"/>
      <c r="L217" s="54">
        <v>1.22413793103448</v>
      </c>
      <c r="M217" s="117" t="s">
        <v>28</v>
      </c>
      <c r="N217" s="54">
        <v>4.37</v>
      </c>
      <c r="O217" s="56">
        <f>N217/C217</f>
        <v>0.0753448275862069</v>
      </c>
      <c r="P217" s="57">
        <f>(Boosters_IOS!B217*100)/Boosters_IOS!N217</f>
        <v>8.33196802893134</v>
      </c>
      <c r="Q217" s="57">
        <f>Boosters_IOS!B217/(C217+D217)</f>
        <v>0.208605935493048</v>
      </c>
      <c r="R217" s="57">
        <f>Boosters_IOS!N217/B217</f>
        <v>4.20109255285496</v>
      </c>
      <c r="S217" s="54">
        <v>8.6551724137931</v>
      </c>
      <c r="T217" s="54">
        <v>0.741379310344828</v>
      </c>
      <c r="U217" s="58">
        <v>383.448275862069</v>
      </c>
      <c r="V217" s="54"/>
    </row>
    <row r="218" spans="1:22" s="168" customFormat="1" ht="22.500000" customHeight="1">
      <c r="A218" s="34">
        <v>216</v>
      </c>
      <c r="B218" s="49">
        <v>59</v>
      </c>
      <c r="C218" s="49">
        <v>57</v>
      </c>
      <c r="D218" s="49">
        <v>17</v>
      </c>
      <c r="E218" s="49">
        <v>4</v>
      </c>
      <c r="F218" s="50">
        <f>(C218*100)/B218</f>
        <v>96.6101694915254</v>
      </c>
      <c r="G218" s="156">
        <f>(D218*100)/B218</f>
        <v>28.8135593220339</v>
      </c>
      <c r="H218" s="152">
        <f>((B218-B219)/B218)*100</f>
        <v>3.38983050847458</v>
      </c>
      <c r="I218" s="52">
        <f>((B218-C218)/B218)*100</f>
        <v>3.38983050847458</v>
      </c>
      <c r="J218" s="52">
        <f>((C218-B219)/C218)*100</f>
        <v>0</v>
      </c>
      <c r="K218" s="161"/>
      <c r="L218" s="54">
        <v>1.10526315789473</v>
      </c>
      <c r="M218" s="125" t="s">
        <v>28</v>
      </c>
      <c r="N218" s="54">
        <v>0</v>
      </c>
      <c r="O218" s="56">
        <f>N218/C218</f>
        <v>0</v>
      </c>
      <c r="P218" s="57">
        <f>(Boosters_IOS!B218*100)/Boosters_IOS!N218</f>
        <v>7.35791524922192</v>
      </c>
      <c r="Q218" s="57">
        <f>Boosters_IOS!B218/(C218+D218)</f>
        <v>0.216799732190525</v>
      </c>
      <c r="R218" s="57">
        <f>Boosters_IOS!N218/B218</f>
        <v>3.69558902163111</v>
      </c>
      <c r="S218" s="54">
        <v>17.1228070175438</v>
      </c>
      <c r="T218" s="54">
        <v>0.701754385964912</v>
      </c>
      <c r="U218" s="58">
        <v>412.105263157895</v>
      </c>
      <c r="V218" s="54"/>
    </row>
    <row r="219" spans="1:22" s="168" customFormat="1" ht="22.500000" customHeight="1">
      <c r="A219" s="34">
        <v>217</v>
      </c>
      <c r="B219" s="49">
        <v>57</v>
      </c>
      <c r="C219" s="49">
        <v>55</v>
      </c>
      <c r="D219" s="49">
        <v>45</v>
      </c>
      <c r="E219" s="49">
        <v>25</v>
      </c>
      <c r="F219" s="50">
        <f>(C219*100)/B219</f>
        <v>96.4912280701754</v>
      </c>
      <c r="G219" s="156">
        <f>(D219*100)/B219</f>
        <v>78.9473684210526</v>
      </c>
      <c r="H219" s="152">
        <f>((B219-B220)/B219)*100</f>
        <v>3.50877192982456</v>
      </c>
      <c r="I219" s="52">
        <f>((B219-C219)/B219)*100</f>
        <v>3.50877192982456</v>
      </c>
      <c r="J219" s="52">
        <f>((C219-B220)/C219)*100</f>
        <v>0</v>
      </c>
      <c r="K219" s="161"/>
      <c r="L219" s="54">
        <v>2.1090909090909</v>
      </c>
      <c r="M219" s="126" t="s">
        <v>29</v>
      </c>
      <c r="N219" s="54">
        <v>0</v>
      </c>
      <c r="O219" s="56">
        <f>N219/C219</f>
        <v>0</v>
      </c>
      <c r="P219" s="57">
        <f>(Boosters_IOS!B219*100)/Boosters_IOS!N219</f>
        <v>13.0039561634501</v>
      </c>
      <c r="Q219" s="57">
        <f>Boosters_IOS!B219/(C219+D219)</f>
        <v>0.371735777048612</v>
      </c>
      <c r="R219" s="57">
        <f>Boosters_IOS!N219/B219</f>
        <v>5.0151509410873</v>
      </c>
      <c r="S219" s="54">
        <v>8.6</v>
      </c>
      <c r="T219" s="54">
        <v>0.763636363636364</v>
      </c>
      <c r="U219" s="58">
        <v>401</v>
      </c>
      <c r="V219" s="54"/>
    </row>
    <row r="220" spans="1:22" s="168" customFormat="1" ht="22.500000" customHeight="1">
      <c r="A220" s="34">
        <v>218</v>
      </c>
      <c r="B220" s="49">
        <v>55</v>
      </c>
      <c r="C220" s="49">
        <v>51</v>
      </c>
      <c r="D220" s="49">
        <v>37</v>
      </c>
      <c r="E220" s="49">
        <v>27</v>
      </c>
      <c r="F220" s="50">
        <f>(C220*100)/B220</f>
        <v>92.7272727272727</v>
      </c>
      <c r="G220" s="156">
        <f>(D220*100)/B220</f>
        <v>67.2727272727273</v>
      </c>
      <c r="H220" s="152">
        <f>((B220-B221)/B220)*100</f>
        <v>3.63636363636364</v>
      </c>
      <c r="I220" s="52">
        <f>((B220-C220)/B220)*100</f>
        <v>7.27272727272727</v>
      </c>
      <c r="J220" s="52">
        <f>((C220-B221)/C220)*100</f>
        <v>-3.92156862745098</v>
      </c>
      <c r="K220" s="161"/>
      <c r="L220" s="54">
        <v>1.39215686274509</v>
      </c>
      <c r="M220" s="125" t="s">
        <v>28</v>
      </c>
      <c r="N220" s="54">
        <v>4.99</v>
      </c>
      <c r="O220" s="56">
        <f>N220/C220</f>
        <v>0.097843137254902</v>
      </c>
      <c r="P220" s="57">
        <f>(Boosters_IOS!B220*100)/Boosters_IOS!N220</f>
        <v>20.5408245069503</v>
      </c>
      <c r="Q220" s="57">
        <f>Boosters_IOS!B220/(C220+D220)</f>
        <v>1.01727131975134</v>
      </c>
      <c r="R220" s="57">
        <f>Boosters_IOS!N220/B220</f>
        <v>7.9238986295385</v>
      </c>
      <c r="S220" s="54">
        <v>8.78431372549019</v>
      </c>
      <c r="T220" s="54">
        <v>0.823529411764706</v>
      </c>
      <c r="U220" s="58">
        <v>387.941176470588</v>
      </c>
      <c r="V220" s="54"/>
    </row>
    <row r="221" spans="1:22" s="168" customFormat="1" ht="22.500000" customHeight="1">
      <c r="A221" s="34">
        <v>219</v>
      </c>
      <c r="B221" s="49">
        <v>53</v>
      </c>
      <c r="C221" s="49">
        <v>54</v>
      </c>
      <c r="D221" s="49">
        <v>7</v>
      </c>
      <c r="E221" s="49">
        <v>5</v>
      </c>
      <c r="F221" s="50">
        <f>(C221*100)/B221</f>
        <v>101.88679245283</v>
      </c>
      <c r="G221" s="156">
        <f>(D221*100)/B221</f>
        <v>13.2075471698113</v>
      </c>
      <c r="H221" s="152">
        <f>((B221-B222)/B221)*100</f>
        <v>1.88679245283019</v>
      </c>
      <c r="I221" s="52">
        <f>((B221-C221)/B221)*100</f>
        <v>-1.88679245283019</v>
      </c>
      <c r="J221" s="52">
        <f>((C221-B222)/C221)*100</f>
        <v>3.7037037037037</v>
      </c>
      <c r="K221" s="161"/>
      <c r="L221" s="54">
        <v>1.05555555555555</v>
      </c>
      <c r="M221" s="117" t="s">
        <v>28</v>
      </c>
      <c r="N221" s="54">
        <v>0</v>
      </c>
      <c r="O221" s="56">
        <f>N221/C221</f>
        <v>0</v>
      </c>
      <c r="P221" s="57">
        <f>(Boosters_IOS!B221*100)/Boosters_IOS!N221</f>
        <v>6.70229381973399</v>
      </c>
      <c r="Q221" s="57">
        <f>Boosters_IOS!B221/(C221+D221)</f>
        <v>0.0983606557377049</v>
      </c>
      <c r="R221" s="57">
        <f>Boosters_IOS!N221/B221</f>
        <v>1.6890866054915</v>
      </c>
      <c r="S221" s="54">
        <v>7.35185185185185</v>
      </c>
      <c r="T221" s="54">
        <v>0.574074074074074</v>
      </c>
      <c r="U221" s="58">
        <v>479.814814814815</v>
      </c>
      <c r="V221" s="54"/>
    </row>
    <row r="222" spans="1:22" s="168" customFormat="1" ht="22.500000" customHeight="1">
      <c r="A222" s="34">
        <v>220</v>
      </c>
      <c r="B222" s="49">
        <v>52</v>
      </c>
      <c r="C222" s="49">
        <v>52</v>
      </c>
      <c r="D222" s="49">
        <v>40</v>
      </c>
      <c r="E222" s="49">
        <v>17</v>
      </c>
      <c r="F222" s="50">
        <f>(C222*100)/B222</f>
        <v>100</v>
      </c>
      <c r="G222" s="156">
        <f>(D222*100)/B222</f>
        <v>76.9230769230769</v>
      </c>
      <c r="H222" s="152">
        <f>((B222-B223)/B222)*100</f>
        <v>0</v>
      </c>
      <c r="I222" s="52">
        <f>((B222-C222)/B222)*100</f>
        <v>0</v>
      </c>
      <c r="J222" s="52">
        <f>((C222-B223)/C222)*100</f>
        <v>0</v>
      </c>
      <c r="K222" s="161"/>
      <c r="L222" s="54">
        <v>1.76923076923076</v>
      </c>
      <c r="M222" s="124" t="s">
        <v>29</v>
      </c>
      <c r="N222" s="54">
        <v>34.99</v>
      </c>
      <c r="O222" s="56">
        <f>N222/C222</f>
        <v>0.672884615384615</v>
      </c>
      <c r="P222" s="57">
        <f>(Boosters_IOS!B222*100)/Boosters_IOS!N222</f>
        <v>22.4029808434111</v>
      </c>
      <c r="Q222" s="57">
        <f>Boosters_IOS!B222/(C222+D222)</f>
        <v>0.579860384888287</v>
      </c>
      <c r="R222" s="57">
        <f>Boosters_IOS!N222/B222</f>
        <v>4.57933183969168</v>
      </c>
      <c r="S222" s="54">
        <v>10.2115384615384</v>
      </c>
      <c r="T222" s="54">
        <v>0.769230769230769</v>
      </c>
      <c r="U222" s="58">
        <v>1262.88461538462</v>
      </c>
      <c r="V222" s="54"/>
    </row>
    <row r="223" spans="1:22" s="168" customFormat="1" ht="22.500000" customHeight="1">
      <c r="A223" s="34">
        <v>221</v>
      </c>
      <c r="B223" s="49">
        <v>52</v>
      </c>
      <c r="C223" s="49">
        <v>51</v>
      </c>
      <c r="D223" s="49">
        <v>23</v>
      </c>
      <c r="E223" s="49">
        <v>8</v>
      </c>
      <c r="F223" s="50">
        <f>(C223*100)/B223</f>
        <v>98.0769230769231</v>
      </c>
      <c r="G223" s="156">
        <f>(D223*100)/B223</f>
        <v>44.2307692307692</v>
      </c>
      <c r="H223" s="152">
        <f>((B223-B224)/B223)*100</f>
        <v>-11.5384615384615</v>
      </c>
      <c r="I223" s="52">
        <f>((B223-C223)/B223)*100</f>
        <v>1.92307692307692</v>
      </c>
      <c r="J223" s="52">
        <f>((C223-B224)/C223)*100</f>
        <v>-13.7254901960784</v>
      </c>
      <c r="K223" s="161"/>
      <c r="L223" s="54">
        <v>1.17647058823529</v>
      </c>
      <c r="M223" s="126" t="s">
        <v>29</v>
      </c>
      <c r="N223" s="54">
        <v>0</v>
      </c>
      <c r="O223" s="56">
        <f>N223/C223</f>
        <v>0</v>
      </c>
      <c r="P223" s="57">
        <f>(Boosters_IOS!B223*100)/Boosters_IOS!N223</f>
        <v>12.5388710768948</v>
      </c>
      <c r="Q223" s="57">
        <f>Boosters_IOS!B223/(C223+D223)</f>
        <v>0.333134967754213</v>
      </c>
      <c r="R223" s="57">
        <f>Boosters_IOS!N223/B223</f>
        <v>3.78085620287277</v>
      </c>
      <c r="S223" s="54">
        <v>9.49019607843137</v>
      </c>
      <c r="T223" s="54">
        <v>0.745098039215686</v>
      </c>
      <c r="U223" s="58">
        <v>1261.96078431373</v>
      </c>
      <c r="V223" s="54"/>
    </row>
    <row r="224" spans="1:22" s="168" customFormat="1" ht="22.500000" customHeight="1">
      <c r="A224" s="34">
        <v>222</v>
      </c>
      <c r="B224" s="49">
        <v>58</v>
      </c>
      <c r="C224" s="49">
        <v>53</v>
      </c>
      <c r="D224" s="49">
        <v>52</v>
      </c>
      <c r="E224" s="49">
        <v>34</v>
      </c>
      <c r="F224" s="50">
        <f>(C224*100)/B224</f>
        <v>91.3793103448276</v>
      </c>
      <c r="G224" s="156">
        <f>(D224*100)/B224</f>
        <v>89.6551724137931</v>
      </c>
      <c r="H224" s="152">
        <f>((B224-B225)/B224)*100</f>
        <v>5.17241379310345</v>
      </c>
      <c r="I224" s="52">
        <f>((B224-C224)/B224)*100</f>
        <v>8.62068965517242</v>
      </c>
      <c r="J224" s="52">
        <f>((C224-B225)/C224)*100</f>
        <v>-3.77358490566038</v>
      </c>
      <c r="K224" s="161"/>
      <c r="L224" s="54">
        <v>2.67924528301886</v>
      </c>
      <c r="M224" s="125" t="s">
        <v>28</v>
      </c>
      <c r="N224" s="54">
        <v>11.86</v>
      </c>
      <c r="O224" s="56">
        <f>N224/C224</f>
        <v>0.22377358490566</v>
      </c>
      <c r="P224" s="57">
        <f>(Boosters_IOS!B224*100)/Boosters_IOS!N224</f>
        <v>20.7075389245761</v>
      </c>
      <c r="Q224" s="57">
        <f>Boosters_IOS!B224/(C224+D224)</f>
        <v>0.935800772310411</v>
      </c>
      <c r="R224" s="57">
        <f>Boosters_IOS!N224/B224</f>
        <v>8.18118509386314</v>
      </c>
      <c r="S224" s="54">
        <v>5.11320754716981</v>
      </c>
      <c r="T224" s="54">
        <v>0.886792452830189</v>
      </c>
      <c r="U224" s="58">
        <v>1042.83018867925</v>
      </c>
      <c r="V224" s="54"/>
    </row>
    <row r="225" spans="1:22" s="168" customFormat="1" ht="22.500000" customHeight="1">
      <c r="A225" s="34">
        <v>223</v>
      </c>
      <c r="B225" s="49">
        <v>55</v>
      </c>
      <c r="C225" s="49">
        <v>50</v>
      </c>
      <c r="D225" s="49">
        <v>52</v>
      </c>
      <c r="E225" s="49">
        <v>26</v>
      </c>
      <c r="F225" s="50">
        <f>(C225*100)/B225</f>
        <v>90.9090909090909</v>
      </c>
      <c r="G225" s="156">
        <f>(D225*100)/B225</f>
        <v>94.5454545454546</v>
      </c>
      <c r="H225" s="152">
        <f>((B225-B226)/B225)*100</f>
        <v>7.27272727272727</v>
      </c>
      <c r="I225" s="52">
        <f>((B225-C225)/B225)*100</f>
        <v>9.09090909090909</v>
      </c>
      <c r="J225" s="52">
        <f>((C225-B226)/C225)*100</f>
        <v>-2</v>
      </c>
      <c r="K225" s="161"/>
      <c r="L225" s="54">
        <v>1.94</v>
      </c>
      <c r="M225" s="117" t="s">
        <v>28</v>
      </c>
      <c r="N225" s="54">
        <v>4.49</v>
      </c>
      <c r="O225" s="56">
        <f>N225/C225</f>
        <v>0.0898</v>
      </c>
      <c r="P225" s="57">
        <f>(Boosters_IOS!B225*100)/Boosters_IOS!N225</f>
        <v>10.9949900917571</v>
      </c>
      <c r="Q225" s="57">
        <f>Boosters_IOS!B225/(C225+D225)</f>
        <v>0.317984046572411</v>
      </c>
      <c r="R225" s="57">
        <f>Boosters_IOS!N225/B225</f>
        <v>5.36349613112377</v>
      </c>
      <c r="S225" s="54">
        <v>7.76</v>
      </c>
      <c r="T225" s="54">
        <v>0.8</v>
      </c>
      <c r="U225" s="58">
        <v>1112.7</v>
      </c>
      <c r="V225" s="54"/>
    </row>
    <row r="226" spans="1:22" s="168" customFormat="1" ht="22.500000" customHeight="1">
      <c r="A226" s="34">
        <v>224</v>
      </c>
      <c r="B226" s="49">
        <v>51</v>
      </c>
      <c r="C226" s="49">
        <v>50</v>
      </c>
      <c r="D226" s="49">
        <v>29</v>
      </c>
      <c r="E226" s="49">
        <v>16</v>
      </c>
      <c r="F226" s="50">
        <f>(C226*100)/B226</f>
        <v>98.0392156862745</v>
      </c>
      <c r="G226" s="156">
        <f>(D226*100)/B226</f>
        <v>56.8627450980392</v>
      </c>
      <c r="H226" s="152">
        <f>((B226-B227)/B226)*100</f>
        <v>-7.84313725490196</v>
      </c>
      <c r="I226" s="52">
        <f>((B226-C226)/B226)*100</f>
        <v>1.96078431372549</v>
      </c>
      <c r="J226" s="52">
        <f>((C226-B227)/C226)*100</f>
        <v>-10</v>
      </c>
      <c r="K226" s="161"/>
      <c r="L226" s="54">
        <v>1.3</v>
      </c>
      <c r="M226" s="125" t="s">
        <v>28</v>
      </c>
      <c r="N226" s="54">
        <v>0</v>
      </c>
      <c r="O226" s="56">
        <f>N226/C226</f>
        <v>0</v>
      </c>
      <c r="P226" s="57">
        <f>(Boosters_IOS!B226*100)/Boosters_IOS!N226</f>
        <v>26.4879283067777</v>
      </c>
      <c r="Q226" s="57">
        <f>Boosters_IOS!B226/(C226+D226)</f>
        <v>0.624647536831929</v>
      </c>
      <c r="R226" s="57">
        <f>Boosters_IOS!N226/B226</f>
        <v>3.65295190826981</v>
      </c>
      <c r="S226" s="54">
        <v>15.02</v>
      </c>
      <c r="T226" s="54">
        <v>0.74</v>
      </c>
      <c r="U226" s="58">
        <v>1059.3</v>
      </c>
      <c r="V226" s="54"/>
    </row>
    <row r="227" spans="1:22" s="168" customFormat="1" ht="22.500000" customHeight="1">
      <c r="A227" s="34">
        <v>225</v>
      </c>
      <c r="B227" s="49">
        <v>55</v>
      </c>
      <c r="C227" s="49">
        <v>47</v>
      </c>
      <c r="D227" s="49">
        <v>51</v>
      </c>
      <c r="E227" s="49">
        <v>32</v>
      </c>
      <c r="F227" s="50">
        <f>(C227*100)/B227</f>
        <v>85.4545454545455</v>
      </c>
      <c r="G227" s="156">
        <f>(D227*100)/B227</f>
        <v>92.7272727272727</v>
      </c>
      <c r="H227" s="152">
        <f>((B227-B228)/B227)*100</f>
        <v>7.27272727272727</v>
      </c>
      <c r="I227" s="52">
        <f>((B227-C227)/B227)*100</f>
        <v>14.5454545454545</v>
      </c>
      <c r="J227" s="52">
        <f>((C227-B228)/C227)*100</f>
        <v>-8.51063829787234</v>
      </c>
      <c r="K227" s="161"/>
      <c r="L227" s="54">
        <v>2.12765957446808</v>
      </c>
      <c r="M227" s="117" t="s">
        <v>28</v>
      </c>
      <c r="N227" s="54">
        <v>4.16</v>
      </c>
      <c r="O227" s="56">
        <f>N227/C227</f>
        <v>0.0885106382978723</v>
      </c>
      <c r="P227" s="57">
        <f>(Boosters_IOS!B227*100)/Boosters_IOS!N227</f>
        <v>18.2919899644917</v>
      </c>
      <c r="Q227" s="57">
        <f>Boosters_IOS!B227/(C227+D227)</f>
        <v>0.838047791528885</v>
      </c>
      <c r="R227" s="57">
        <f>Boosters_IOS!N227/B227</f>
        <v>8.16340264278204</v>
      </c>
      <c r="S227" s="54">
        <v>6.04255319148936</v>
      </c>
      <c r="T227" s="54">
        <v>0.936170212765958</v>
      </c>
      <c r="U227" s="58">
        <v>888.085106382979</v>
      </c>
      <c r="V227" s="54"/>
    </row>
    <row r="228" spans="1:22" s="168" customFormat="1" ht="22.500000" customHeight="1">
      <c r="A228" s="34">
        <v>226</v>
      </c>
      <c r="B228" s="49">
        <v>51</v>
      </c>
      <c r="C228" s="49">
        <v>48</v>
      </c>
      <c r="D228" s="49">
        <v>31</v>
      </c>
      <c r="E228" s="49">
        <v>20</v>
      </c>
      <c r="F228" s="50">
        <f>(C228*100)/B228</f>
        <v>94.1176470588235</v>
      </c>
      <c r="G228" s="156">
        <f>(D228*100)/B228</f>
        <v>60.7843137254902</v>
      </c>
      <c r="H228" s="152">
        <f>((B228-B229)/B228)*100</f>
        <v>1.96078431372549</v>
      </c>
      <c r="I228" s="52">
        <f>((B228-C228)/B228)*100</f>
        <v>5.88235294117647</v>
      </c>
      <c r="J228" s="52">
        <f>((C228-B229)/C228)*100</f>
        <v>-4.16666666666667</v>
      </c>
      <c r="K228" s="161"/>
      <c r="L228" s="54">
        <v>1.5625</v>
      </c>
      <c r="M228" s="124" t="s">
        <v>29</v>
      </c>
      <c r="N228" s="54">
        <v>4.99</v>
      </c>
      <c r="O228" s="56">
        <f>N228/C228</f>
        <v>0.103958333333333</v>
      </c>
      <c r="P228" s="57">
        <f>(Boosters_IOS!B228*100)/Boosters_IOS!N228</f>
        <v>15.4262793462222</v>
      </c>
      <c r="Q228" s="57">
        <f>Boosters_IOS!B228/(C228+D228)</f>
        <v>0.362683387516605</v>
      </c>
      <c r="R228" s="57">
        <f>Boosters_IOS!N228/B228</f>
        <v>3.64186117788522</v>
      </c>
      <c r="S228" s="54">
        <v>13.5625</v>
      </c>
      <c r="T228" s="54">
        <v>0.75</v>
      </c>
      <c r="U228" s="58">
        <v>993.229166666667</v>
      </c>
      <c r="V228" s="54"/>
    </row>
    <row r="229" spans="1:22" s="168" customFormat="1" ht="22.500000" customHeight="1">
      <c r="A229" s="34">
        <v>227</v>
      </c>
      <c r="B229" s="49">
        <v>50</v>
      </c>
      <c r="C229" s="49">
        <v>48</v>
      </c>
      <c r="D229" s="49">
        <v>17</v>
      </c>
      <c r="E229" s="49">
        <v>7</v>
      </c>
      <c r="F229" s="50">
        <f>(C229*100)/B229</f>
        <v>96</v>
      </c>
      <c r="G229" s="156">
        <f>(D229*100)/B229</f>
        <v>34</v>
      </c>
      <c r="H229" s="152">
        <f>((B229-B230)/B229)*100</f>
        <v>-4</v>
      </c>
      <c r="I229" s="52">
        <f>((B229-C229)/B229)*100</f>
        <v>4</v>
      </c>
      <c r="J229" s="52">
        <f>((C229-B230)/C229)*100</f>
        <v>-8.33333333333333</v>
      </c>
      <c r="K229" s="161"/>
      <c r="L229" s="54">
        <v>1.14583333333333</v>
      </c>
      <c r="M229" s="126" t="s">
        <v>29</v>
      </c>
      <c r="N229" s="54">
        <v>16.65</v>
      </c>
      <c r="O229" s="56">
        <f>N229/C229</f>
        <v>0.346875</v>
      </c>
      <c r="P229" s="57">
        <f>(Boosters_IOS!B229*100)/Boosters_IOS!N229</f>
        <v>16.1242831516458</v>
      </c>
      <c r="Q229" s="57">
        <f>Boosters_IOS!B229/(C229+D229)</f>
        <v>0.215384615384615</v>
      </c>
      <c r="R229" s="57">
        <f>Boosters_IOS!N229/B229</f>
        <v>1.73651130637346</v>
      </c>
      <c r="S229" s="54">
        <v>8.625</v>
      </c>
      <c r="T229" s="54">
        <v>0.6875</v>
      </c>
      <c r="U229" s="58">
        <v>1069.27083333333</v>
      </c>
      <c r="V229" s="54"/>
    </row>
    <row r="230" spans="1:22" s="168" customFormat="1" ht="22.500000" customHeight="1">
      <c r="A230" s="34">
        <v>228</v>
      </c>
      <c r="B230" s="49">
        <v>52</v>
      </c>
      <c r="C230" s="49">
        <v>52</v>
      </c>
      <c r="D230" s="49">
        <v>1</v>
      </c>
      <c r="E230" s="49">
        <v>1</v>
      </c>
      <c r="F230" s="50">
        <f>(C230*100)/B230</f>
        <v>100</v>
      </c>
      <c r="G230" s="156">
        <f>(D230*100)/B230</f>
        <v>1.92307692307692</v>
      </c>
      <c r="H230" s="152">
        <f>((B230-B231)/B230)*100</f>
        <v>0</v>
      </c>
      <c r="I230" s="52">
        <f>((B230-C230)/B230)*100</f>
        <v>0</v>
      </c>
      <c r="J230" s="52">
        <f>((C230-B231)/C230)*100</f>
        <v>0</v>
      </c>
      <c r="K230" s="161"/>
      <c r="L230" s="54">
        <v>1</v>
      </c>
      <c r="M230" s="125" t="s">
        <v>28</v>
      </c>
      <c r="N230" s="54">
        <v>0</v>
      </c>
      <c r="O230" s="56">
        <f>N230/C230</f>
        <v>0</v>
      </c>
      <c r="P230" s="57">
        <f>(Boosters_IOS!B230*100)/Boosters_IOS!N230</f>
        <v>0</v>
      </c>
      <c r="Q230" s="57">
        <f>Boosters_IOS!B230/(C230+D230)</f>
        <v>0</v>
      </c>
      <c r="R230" s="57">
        <f>Boosters_IOS!N230/B230</f>
        <v>1.50250764466851</v>
      </c>
      <c r="S230" s="54">
        <v>3.32692307692307</v>
      </c>
      <c r="T230" s="54">
        <v>0.480769230769231</v>
      </c>
      <c r="U230" s="58">
        <v>1142.01923076923</v>
      </c>
      <c r="V230" s="54"/>
    </row>
    <row r="231" spans="1:22" s="168" customFormat="1" ht="22.500000" customHeight="1">
      <c r="A231" s="34">
        <v>229</v>
      </c>
      <c r="B231" s="49">
        <v>52</v>
      </c>
      <c r="C231" s="49">
        <v>51</v>
      </c>
      <c r="D231" s="49">
        <v>29</v>
      </c>
      <c r="E231" s="49">
        <v>14</v>
      </c>
      <c r="F231" s="50">
        <f>(C231*100)/B231</f>
        <v>98.0769230769231</v>
      </c>
      <c r="G231" s="156">
        <f>(D231*100)/B231</f>
        <v>55.7692307692308</v>
      </c>
      <c r="H231" s="152">
        <f>((B231-B232)/B231)*100</f>
        <v>-3.84615384615385</v>
      </c>
      <c r="I231" s="52">
        <f>((B231-C231)/B231)*100</f>
        <v>1.92307692307692</v>
      </c>
      <c r="J231" s="52">
        <f>((C231-B232)/C231)*100</f>
        <v>-5.88235294117647</v>
      </c>
      <c r="K231" s="161"/>
      <c r="L231" s="54">
        <v>1.54901960784313</v>
      </c>
      <c r="M231" s="127" t="s">
        <v>30</v>
      </c>
      <c r="N231" s="54">
        <v>0</v>
      </c>
      <c r="O231" s="56">
        <f>N231/C231</f>
        <v>0</v>
      </c>
      <c r="P231" s="57">
        <f>(Boosters_IOS!B231*100)/Boosters_IOS!N231</f>
        <v>26.8104860636199</v>
      </c>
      <c r="Q231" s="57">
        <f>Boosters_IOS!B231/(C231+D231)</f>
        <v>0.392389907103588</v>
      </c>
      <c r="R231" s="57">
        <f>Boosters_IOS!N231/B231</f>
        <v>2.25164429591792</v>
      </c>
      <c r="S231" s="54">
        <v>4.62745098039215</v>
      </c>
      <c r="T231" s="54">
        <v>0.725490196078431</v>
      </c>
      <c r="U231" s="58">
        <v>1145.19607843137</v>
      </c>
      <c r="V231" s="54"/>
    </row>
    <row r="232" spans="1:22" s="168" customFormat="1" ht="22.500000" customHeight="1">
      <c r="A232" s="34">
        <v>230</v>
      </c>
      <c r="B232" s="49">
        <v>54</v>
      </c>
      <c r="C232" s="49">
        <v>53</v>
      </c>
      <c r="D232" s="49">
        <v>35</v>
      </c>
      <c r="E232" s="49">
        <v>16</v>
      </c>
      <c r="F232" s="50">
        <f>(C232*100)/B232</f>
        <v>98.1481481481482</v>
      </c>
      <c r="G232" s="156">
        <f>(D232*100)/B232</f>
        <v>64.8148148148148</v>
      </c>
      <c r="H232" s="152">
        <f>((B232-B233)/B232)*100</f>
        <v>-1.85185185185185</v>
      </c>
      <c r="I232" s="52">
        <f>((B232-C232)/B232)*100</f>
        <v>1.85185185185185</v>
      </c>
      <c r="J232" s="52">
        <f>((C232-B233)/C232)*100</f>
        <v>-3.77358490566038</v>
      </c>
      <c r="K232" s="161"/>
      <c r="L232" s="54">
        <v>1.37735849056603</v>
      </c>
      <c r="M232" s="125" t="s">
        <v>28</v>
      </c>
      <c r="N232" s="54">
        <v>1.87</v>
      </c>
      <c r="O232" s="56">
        <f>N232/C232</f>
        <v>0.0352830188679245</v>
      </c>
      <c r="P232" s="57">
        <f>(Boosters_IOS!B232*100)/Boosters_IOS!N232</f>
        <v>33.8013748391115</v>
      </c>
      <c r="Q232" s="57">
        <f>Boosters_IOS!B232/(C232+D232)</f>
        <v>0.642781480376684</v>
      </c>
      <c r="R232" s="57">
        <f>Boosters_IOS!N232/B232</f>
        <v>3.09897378667268</v>
      </c>
      <c r="S232" s="54">
        <v>7.83018867924528</v>
      </c>
      <c r="T232" s="54">
        <v>0.792452830188679</v>
      </c>
      <c r="U232" s="58">
        <v>993.962264150943</v>
      </c>
      <c r="V232" s="54"/>
    </row>
    <row r="233" spans="1:22" s="168" customFormat="1" ht="22.500000" customHeight="1">
      <c r="A233" s="34">
        <v>231</v>
      </c>
      <c r="B233" s="49">
        <v>55</v>
      </c>
      <c r="C233" s="49">
        <v>52</v>
      </c>
      <c r="D233" s="49">
        <v>46</v>
      </c>
      <c r="E233" s="49">
        <v>17</v>
      </c>
      <c r="F233" s="50">
        <f>(C233*100)/B233</f>
        <v>94.5454545454546</v>
      </c>
      <c r="G233" s="156">
        <f>(D233*100)/B233</f>
        <v>83.6363636363636</v>
      </c>
      <c r="H233" s="152">
        <f>((B233-B234)/B233)*100</f>
        <v>3.63636363636364</v>
      </c>
      <c r="I233" s="52">
        <f>((B233-C233)/B233)*100</f>
        <v>5.45454545454545</v>
      </c>
      <c r="J233" s="52">
        <f>((C233-B234)/C233)*100</f>
        <v>-1.92307692307692</v>
      </c>
      <c r="K233" s="161"/>
      <c r="L233" s="54">
        <v>1.84615384615384</v>
      </c>
      <c r="M233" s="126" t="s">
        <v>29</v>
      </c>
      <c r="N233" s="54">
        <v>0</v>
      </c>
      <c r="O233" s="56">
        <f>N233/C233</f>
        <v>0</v>
      </c>
      <c r="P233" s="57">
        <f>(Boosters_IOS!B233*100)/Boosters_IOS!N233</f>
        <v>12.2091429280929</v>
      </c>
      <c r="Q233" s="57">
        <f>Boosters_IOS!B233/(C233+D233)</f>
        <v>0.209403980520912</v>
      </c>
      <c r="R233" s="57">
        <f>Boosters_IOS!N233/B233</f>
        <v>3.05606889881455</v>
      </c>
      <c r="S233" s="54">
        <v>6.03846153846153</v>
      </c>
      <c r="T233" s="54">
        <v>0.846153846153846</v>
      </c>
      <c r="U233" s="58">
        <v>871.153846153846</v>
      </c>
      <c r="V233" s="54"/>
    </row>
    <row r="234" spans="1:22" s="168" customFormat="1" ht="22.500000" customHeight="1">
      <c r="A234" s="34">
        <v>232</v>
      </c>
      <c r="B234" s="49">
        <v>53</v>
      </c>
      <c r="C234" s="49">
        <v>54</v>
      </c>
      <c r="D234" s="49">
        <v>26</v>
      </c>
      <c r="E234" s="49">
        <v>7</v>
      </c>
      <c r="F234" s="50">
        <f>(C234*100)/B234</f>
        <v>101.88679245283</v>
      </c>
      <c r="G234" s="156">
        <f>(D234*100)/B234</f>
        <v>49.0566037735849</v>
      </c>
      <c r="H234" s="152">
        <f>((B234-B235)/B234)*100</f>
        <v>-5.66037735849057</v>
      </c>
      <c r="I234" s="52">
        <f>((B234-C234)/B234)*100</f>
        <v>-1.88679245283019</v>
      </c>
      <c r="J234" s="52">
        <f>((C234-B235)/C234)*100</f>
        <v>-3.7037037037037</v>
      </c>
      <c r="K234" s="161"/>
      <c r="L234" s="54">
        <v>1.18518518518518</v>
      </c>
      <c r="M234" s="125" t="s">
        <v>28</v>
      </c>
      <c r="N234" s="54">
        <v>9.81</v>
      </c>
      <c r="O234" s="56">
        <f>N234/C234</f>
        <v>0.181666666666667</v>
      </c>
      <c r="P234" s="57">
        <f>(Boosters_IOS!B234*100)/Boosters_IOS!N234</f>
        <v>21.8684629158259</v>
      </c>
      <c r="Q234" s="57">
        <f>Boosters_IOS!B234/(C234+D234)</f>
        <v>0.279889907103588</v>
      </c>
      <c r="R234" s="57">
        <f>Boosters_IOS!N234/B234</f>
        <v>1.93189312437399</v>
      </c>
      <c r="S234" s="54">
        <v>8.51851851851851</v>
      </c>
      <c r="T234" s="54">
        <v>0.666666666666667</v>
      </c>
      <c r="U234" s="58">
        <v>855.648148148148</v>
      </c>
      <c r="V234" s="54"/>
    </row>
    <row r="235" spans="1:22" s="168" customFormat="1" ht="22.500000" customHeight="1">
      <c r="A235" s="34">
        <v>233</v>
      </c>
      <c r="B235" s="49">
        <v>56</v>
      </c>
      <c r="C235" s="49">
        <v>54</v>
      </c>
      <c r="D235" s="49">
        <v>26</v>
      </c>
      <c r="E235" s="49">
        <v>13</v>
      </c>
      <c r="F235" s="50">
        <f>(C235*100)/B235</f>
        <v>96.4285714285714</v>
      </c>
      <c r="G235" s="156">
        <f>(D235*100)/B235</f>
        <v>46.4285714285714</v>
      </c>
      <c r="H235" s="152">
        <f>((B235-B236)/B235)*100</f>
        <v>0</v>
      </c>
      <c r="I235" s="52">
        <f>((B235-C235)/B235)*100</f>
        <v>3.57142857142857</v>
      </c>
      <c r="J235" s="52">
        <f>((C235-B236)/C235)*100</f>
        <v>-3.7037037037037</v>
      </c>
      <c r="K235" s="161"/>
      <c r="L235" s="54">
        <v>1.2037037037037</v>
      </c>
      <c r="M235" s="117" t="s">
        <v>28</v>
      </c>
      <c r="N235" s="54">
        <v>1.87</v>
      </c>
      <c r="O235" s="56">
        <f>N235/C235</f>
        <v>0.0346296296296296</v>
      </c>
      <c r="P235" s="57">
        <f>(Boosters_IOS!B235*100)/Boosters_IOS!N235</f>
        <v>16.2249666548642</v>
      </c>
      <c r="Q235" s="57">
        <f>Boosters_IOS!B235/(C235+D235)</f>
        <v>0.558689597448883</v>
      </c>
      <c r="R235" s="57">
        <f>Boosters_IOS!N235/B235</f>
        <v>4.91913489459327</v>
      </c>
      <c r="S235" s="54">
        <v>13.8888888888888</v>
      </c>
      <c r="T235" s="54">
        <v>0.759259259259259</v>
      </c>
      <c r="U235" s="58">
        <v>870.833333333333</v>
      </c>
      <c r="V235" s="54"/>
    </row>
    <row r="236" spans="1:22" s="168" customFormat="1" ht="22.500000" customHeight="1">
      <c r="A236" s="34">
        <v>234</v>
      </c>
      <c r="B236" s="49">
        <v>56</v>
      </c>
      <c r="C236" s="49">
        <v>56</v>
      </c>
      <c r="D236" s="49">
        <v>21</v>
      </c>
      <c r="E236" s="49">
        <v>10</v>
      </c>
      <c r="F236" s="50">
        <f>(C236*100)/B236</f>
        <v>100</v>
      </c>
      <c r="G236" s="156">
        <f>(D236*100)/B236</f>
        <v>37.5</v>
      </c>
      <c r="H236" s="152">
        <f>((B236-B237)/B236)*100</f>
        <v>0</v>
      </c>
      <c r="I236" s="52">
        <f>((B236-C236)/B236)*100</f>
        <v>0</v>
      </c>
      <c r="J236" s="52">
        <f>((C236-B237)/C236)*100</f>
        <v>0</v>
      </c>
      <c r="K236" s="161"/>
      <c r="L236" s="54">
        <v>1.32142857142857</v>
      </c>
      <c r="M236" s="124" t="s">
        <v>29</v>
      </c>
      <c r="N236" s="54">
        <v>0</v>
      </c>
      <c r="O236" s="56">
        <f>N236/C236</f>
        <v>0</v>
      </c>
      <c r="P236" s="57">
        <f>(Boosters_IOS!B236*100)/Boosters_IOS!N236</f>
        <v>22.6663193951225</v>
      </c>
      <c r="Q236" s="57">
        <f>Boosters_IOS!B236/(C236+D236)</f>
        <v>0.342742760627105</v>
      </c>
      <c r="R236" s="57">
        <f>Boosters_IOS!N236/B236</f>
        <v>2.07916992453429</v>
      </c>
      <c r="S236" s="54">
        <v>4.69642857142857</v>
      </c>
      <c r="T236" s="54">
        <v>0.625</v>
      </c>
      <c r="U236" s="58">
        <v>819.464285714286</v>
      </c>
      <c r="V236" s="54"/>
    </row>
    <row r="237" spans="1:22" s="168" customFormat="1" ht="22.500000" customHeight="1">
      <c r="A237" s="34">
        <v>235</v>
      </c>
      <c r="B237" s="49">
        <v>56</v>
      </c>
      <c r="C237" s="49">
        <v>56</v>
      </c>
      <c r="D237" s="49">
        <v>0</v>
      </c>
      <c r="E237" s="49">
        <v>0</v>
      </c>
      <c r="F237" s="50">
        <f>(C237*100)/B237</f>
        <v>100</v>
      </c>
      <c r="G237" s="156">
        <f>(D237*100)/B237</f>
        <v>0</v>
      </c>
      <c r="H237" s="152">
        <f>((B237-B238)/B237)*100</f>
        <v>-3.57142857142857</v>
      </c>
      <c r="I237" s="52">
        <f>((B237-C237)/B237)*100</f>
        <v>0</v>
      </c>
      <c r="J237" s="52">
        <f>((C237-B238)/C237)*100</f>
        <v>-3.57142857142857</v>
      </c>
      <c r="K237" s="161"/>
      <c r="L237" s="54">
        <v>1</v>
      </c>
      <c r="M237" s="117" t="s">
        <v>28</v>
      </c>
      <c r="N237" s="54">
        <v>0</v>
      </c>
      <c r="O237" s="56">
        <f>N237/C237</f>
        <v>0</v>
      </c>
      <c r="P237" s="57">
        <f>(Boosters_IOS!B237*100)/Boosters_IOS!N237</f>
        <v>2.56410256410256</v>
      </c>
      <c r="Q237" s="57">
        <f>Boosters_IOS!B237/(C237+D237)</f>
        <v>0.0357142857142857</v>
      </c>
      <c r="R237" s="57">
        <f>Boosters_IOS!N237/B237</f>
        <v>1.39285714285714</v>
      </c>
      <c r="S237" s="54">
        <v>13.4821428571428</v>
      </c>
      <c r="T237" s="54">
        <v>0.553571428571429</v>
      </c>
      <c r="U237" s="58">
        <v>911.875</v>
      </c>
      <c r="V237" s="54"/>
    </row>
    <row r="238" spans="1:22" s="168" customFormat="1" ht="22.500000" customHeight="1">
      <c r="A238" s="34">
        <v>236</v>
      </c>
      <c r="B238" s="49">
        <v>58</v>
      </c>
      <c r="C238" s="49">
        <v>57</v>
      </c>
      <c r="D238" s="49">
        <v>44</v>
      </c>
      <c r="E238" s="49">
        <v>17</v>
      </c>
      <c r="F238" s="50">
        <f>(C238*100)/B238</f>
        <v>98.2758620689655</v>
      </c>
      <c r="G238" s="156">
        <f>(D238*100)/B238</f>
        <v>75.8620689655172</v>
      </c>
      <c r="H238" s="152">
        <f>((B238-B239)/B238)*100</f>
        <v>1.72413793103448</v>
      </c>
      <c r="I238" s="52">
        <f>((B238-C238)/B238)*100</f>
        <v>1.72413793103448</v>
      </c>
      <c r="J238" s="52">
        <f>((C238-B239)/C238)*100</f>
        <v>0</v>
      </c>
      <c r="K238" s="161"/>
      <c r="L238" s="54">
        <v>1.64912280701754</v>
      </c>
      <c r="M238" s="125" t="s">
        <v>28</v>
      </c>
      <c r="N238" s="54">
        <v>1.87</v>
      </c>
      <c r="O238" s="56">
        <f>N238/C238</f>
        <v>0.0328070175438597</v>
      </c>
      <c r="P238" s="57">
        <f>(Boosters_IOS!B238*100)/Boosters_IOS!N238</f>
        <v>20.339531376047</v>
      </c>
      <c r="Q238" s="57">
        <f>Boosters_IOS!B238/(C238+D238)</f>
        <v>0.412823443523867</v>
      </c>
      <c r="R238" s="57">
        <f>Boosters_IOS!N238/B238</f>
        <v>3.53440888133916</v>
      </c>
      <c r="S238" s="54">
        <v>8.50877192982456</v>
      </c>
      <c r="T238" s="54">
        <v>0.754385964912281</v>
      </c>
      <c r="U238" s="58">
        <v>1021.84210526316</v>
      </c>
      <c r="V238" s="54"/>
    </row>
    <row r="239" spans="1:22" s="168" customFormat="1" ht="22.500000" customHeight="1">
      <c r="A239" s="34">
        <v>237</v>
      </c>
      <c r="B239" s="49">
        <v>57</v>
      </c>
      <c r="C239" s="49">
        <v>56</v>
      </c>
      <c r="D239" s="49">
        <v>41</v>
      </c>
      <c r="E239" s="49">
        <v>21</v>
      </c>
      <c r="F239" s="50">
        <f>(C239*100)/B239</f>
        <v>98.2456140350877</v>
      </c>
      <c r="G239" s="156">
        <f>(D239*100)/B239</f>
        <v>71.9298245614035</v>
      </c>
      <c r="H239" s="152">
        <f>((B239-B240)/B239)*100</f>
        <v>0</v>
      </c>
      <c r="I239" s="52">
        <f>((B239-C239)/B239)*100</f>
        <v>1.75438596491228</v>
      </c>
      <c r="J239" s="52">
        <f>((C239-B240)/C239)*100</f>
        <v>-1.78571428571429</v>
      </c>
      <c r="K239" s="161"/>
      <c r="L239" s="54">
        <v>1.5</v>
      </c>
      <c r="M239" s="117" t="s">
        <v>28</v>
      </c>
      <c r="N239" s="54">
        <v>12.98</v>
      </c>
      <c r="O239" s="56">
        <f>N239/C239</f>
        <v>0.231785714285714</v>
      </c>
      <c r="P239" s="57">
        <f>(Boosters_IOS!B239*100)/Boosters_IOS!N239</f>
        <v>35.6439855200877</v>
      </c>
      <c r="Q239" s="57">
        <f>Boosters_IOS!B239/(C239+D239)</f>
        <v>0.72836217151903</v>
      </c>
      <c r="R239" s="57">
        <f>Boosters_IOS!N239/B239</f>
        <v>3.47742684177363</v>
      </c>
      <c r="S239" s="54">
        <v>8.94642857142857</v>
      </c>
      <c r="T239" s="54">
        <v>0.785714285714286</v>
      </c>
      <c r="U239" s="58">
        <v>1114.28571428571</v>
      </c>
      <c r="V239" s="54"/>
    </row>
    <row r="240" spans="1:22" s="168" customFormat="1" ht="22.500000" customHeight="1">
      <c r="A240" s="34">
        <v>238</v>
      </c>
      <c r="B240" s="49">
        <v>57</v>
      </c>
      <c r="C240" s="49">
        <v>54</v>
      </c>
      <c r="D240" s="49">
        <v>50</v>
      </c>
      <c r="E240" s="49">
        <v>25</v>
      </c>
      <c r="F240" s="50">
        <f>(C240*100)/B240</f>
        <v>94.7368421052632</v>
      </c>
      <c r="G240" s="156">
        <f>(D240*100)/B240</f>
        <v>87.719298245614</v>
      </c>
      <c r="H240" s="152">
        <f>((B240-B241)/B240)*100</f>
        <v>5.26315789473684</v>
      </c>
      <c r="I240" s="52">
        <f>((B240-C240)/B240)*100</f>
        <v>5.26315789473684</v>
      </c>
      <c r="J240" s="52">
        <f>((C240-B241)/C240)*100</f>
        <v>0</v>
      </c>
      <c r="K240" s="161"/>
      <c r="L240" s="54">
        <v>2.2037037037037</v>
      </c>
      <c r="M240" s="125" t="s">
        <v>28</v>
      </c>
      <c r="N240" s="54">
        <v>32.11</v>
      </c>
      <c r="O240" s="56">
        <f>N240/C240</f>
        <v>0.59462962962963</v>
      </c>
      <c r="P240" s="57">
        <f>(Boosters_IOS!B240*100)/Boosters_IOS!N240</f>
        <v>20.3893774823023</v>
      </c>
      <c r="Q240" s="57">
        <f>Boosters_IOS!B240/(C240+D240)</f>
        <v>0.494976470504661</v>
      </c>
      <c r="R240" s="57">
        <f>Boosters_IOS!N240/B240</f>
        <v>4.42934054515245</v>
      </c>
      <c r="S240" s="54">
        <v>5.87037037037037</v>
      </c>
      <c r="T240" s="54">
        <v>0.851851851851852</v>
      </c>
      <c r="U240" s="58">
        <v>1013.7962962963</v>
      </c>
      <c r="V240" s="54"/>
    </row>
    <row r="241" spans="1:22" s="168" customFormat="1" ht="22.500000" customHeight="1">
      <c r="A241" s="34">
        <v>239</v>
      </c>
      <c r="B241" s="49">
        <v>54</v>
      </c>
      <c r="C241" s="49">
        <v>52</v>
      </c>
      <c r="D241" s="49">
        <v>47</v>
      </c>
      <c r="E241" s="49">
        <v>14</v>
      </c>
      <c r="F241" s="50">
        <f>(C241*100)/B241</f>
        <v>96.2962962962963</v>
      </c>
      <c r="G241" s="156">
        <f>(D241*100)/B241</f>
        <v>87.037037037037</v>
      </c>
      <c r="H241" s="152">
        <f>((B241-B242)/B241)*100</f>
        <v>3.7037037037037</v>
      </c>
      <c r="I241" s="52">
        <f>((B241-C241)/B241)*100</f>
        <v>3.7037037037037</v>
      </c>
      <c r="J241" s="52">
        <f>((C241-B242)/C241)*100</f>
        <v>0</v>
      </c>
      <c r="K241" s="161"/>
      <c r="L241" s="54">
        <v>1.51923076923076</v>
      </c>
      <c r="M241" s="117" t="s">
        <v>28</v>
      </c>
      <c r="N241" s="54">
        <v>2.3</v>
      </c>
      <c r="O241" s="56">
        <f>N241/C241</f>
        <v>0.0442307692307692</v>
      </c>
      <c r="P241" s="57">
        <f>(Boosters_IOS!B241*100)/Boosters_IOS!N241</f>
        <v>13.3886470711866</v>
      </c>
      <c r="Q241" s="57">
        <f>Boosters_IOS!B241/(C241+D241)</f>
        <v>0.234076542473345</v>
      </c>
      <c r="R241" s="57">
        <f>Boosters_IOS!N241/B241</f>
        <v>3.20525535990371</v>
      </c>
      <c r="S241" s="54">
        <v>32.4615384615384</v>
      </c>
      <c r="T241" s="54">
        <v>0.807692307692308</v>
      </c>
      <c r="U241" s="58">
        <v>833.557692307692</v>
      </c>
      <c r="V241" s="54"/>
    </row>
    <row r="242" spans="1:22" s="168" customFormat="1" ht="22.500000" customHeight="1">
      <c r="A242" s="34">
        <v>240</v>
      </c>
      <c r="B242" s="49">
        <v>52</v>
      </c>
      <c r="C242" s="49">
        <v>51</v>
      </c>
      <c r="D242" s="49">
        <v>31</v>
      </c>
      <c r="E242" s="49">
        <v>9</v>
      </c>
      <c r="F242" s="50">
        <f>(C242*100)/B242</f>
        <v>98.0769230769231</v>
      </c>
      <c r="G242" s="156">
        <f>(D242*100)/B242</f>
        <v>59.6153846153846</v>
      </c>
      <c r="H242" s="152">
        <f>((B242-B243)/B242)*100</f>
        <v>1.92307692307692</v>
      </c>
      <c r="I242" s="52">
        <f>((B242-C242)/B242)*100</f>
        <v>1.92307692307692</v>
      </c>
      <c r="J242" s="52">
        <f>((C242-B243)/C242)*100</f>
        <v>0</v>
      </c>
      <c r="K242" s="161"/>
      <c r="L242" s="54">
        <v>1.41176470588235</v>
      </c>
      <c r="M242" s="124" t="s">
        <v>29</v>
      </c>
      <c r="N242" s="54">
        <v>0</v>
      </c>
      <c r="O242" s="56">
        <f>N242/C242</f>
        <v>0</v>
      </c>
      <c r="P242" s="57">
        <f>(Boosters_IOS!B242*100)/Boosters_IOS!N242</f>
        <v>13.5595846383033</v>
      </c>
      <c r="Q242" s="57">
        <f>Boosters_IOS!B242/(C242+D242)</f>
        <v>0.292682926829268</v>
      </c>
      <c r="R242" s="57">
        <f>Boosters_IOS!N242/B242</f>
        <v>3.40378023257955</v>
      </c>
      <c r="S242" s="54">
        <v>8.15686274509803</v>
      </c>
      <c r="T242" s="54">
        <v>0.784313725490196</v>
      </c>
      <c r="U242" s="58">
        <v>865.196078431373</v>
      </c>
      <c r="V242" s="54"/>
    </row>
    <row r="243" spans="1:22" s="168" customFormat="1" ht="22.500000" customHeight="1">
      <c r="A243" s="34">
        <v>241</v>
      </c>
      <c r="B243" s="49">
        <v>51</v>
      </c>
      <c r="C243" s="49">
        <v>47</v>
      </c>
      <c r="D243" s="49">
        <v>46</v>
      </c>
      <c r="E243" s="49">
        <v>16</v>
      </c>
      <c r="F243" s="50">
        <f>(C243*100)/B243</f>
        <v>92.156862745098</v>
      </c>
      <c r="G243" s="156">
        <f>(D243*100)/B243</f>
        <v>90.1960784313726</v>
      </c>
      <c r="H243" s="152">
        <f>((B243-B244)/B243)*100</f>
        <v>5.88235294117647</v>
      </c>
      <c r="I243" s="52">
        <f>((B243-C243)/B243)*100</f>
        <v>7.84313725490196</v>
      </c>
      <c r="J243" s="52">
        <f>((C243-B244)/C243)*100</f>
        <v>-2.12765957446809</v>
      </c>
      <c r="K243" s="161"/>
      <c r="L243" s="54">
        <v>1.48936170212765</v>
      </c>
      <c r="M243" s="126" t="s">
        <v>29</v>
      </c>
      <c r="N243" s="54">
        <v>2.16</v>
      </c>
      <c r="O243" s="56">
        <f>N243/C243</f>
        <v>0.0459574468085106</v>
      </c>
      <c r="P243" s="57">
        <f>(Boosters_IOS!B243*100)/Boosters_IOS!N243</f>
        <v>16.4679666577664</v>
      </c>
      <c r="Q243" s="57">
        <f>Boosters_IOS!B243/(C243+D243)</f>
        <v>0.400180192332903</v>
      </c>
      <c r="R243" s="57">
        <f>Boosters_IOS!N243/B243</f>
        <v>4.43127172825891</v>
      </c>
      <c r="S243" s="54">
        <v>5.06382978723404</v>
      </c>
      <c r="T243" s="54">
        <v>0.914893617021277</v>
      </c>
      <c r="U243" s="58">
        <v>813.510638297872</v>
      </c>
      <c r="V243" s="54"/>
    </row>
    <row r="244" spans="1:22" s="168" customFormat="1" ht="22.500000" customHeight="1">
      <c r="A244" s="34">
        <v>242</v>
      </c>
      <c r="B244" s="49">
        <v>48</v>
      </c>
      <c r="C244" s="49">
        <v>47</v>
      </c>
      <c r="D244" s="49">
        <v>35</v>
      </c>
      <c r="E244" s="49">
        <v>18</v>
      </c>
      <c r="F244" s="50">
        <f>(C244*100)/B244</f>
        <v>97.9166666666667</v>
      </c>
      <c r="G244" s="156">
        <f>(D244*100)/B244</f>
        <v>72.9166666666667</v>
      </c>
      <c r="H244" s="152">
        <f>((B244-B245)/B244)*100</f>
        <v>-16.6666666666667</v>
      </c>
      <c r="I244" s="52">
        <f>((B244-C244)/B244)*100</f>
        <v>2.08333333333333</v>
      </c>
      <c r="J244" s="52">
        <f>((C244-B245)/C244)*100</f>
        <v>-19.1489361702128</v>
      </c>
      <c r="K244" s="161"/>
      <c r="L244" s="54">
        <v>1.29787234042553</v>
      </c>
      <c r="M244" s="124" t="s">
        <v>29</v>
      </c>
      <c r="N244" s="54">
        <v>0</v>
      </c>
      <c r="O244" s="56">
        <f>N244/C244</f>
        <v>0</v>
      </c>
      <c r="P244" s="57">
        <f>(Boosters_IOS!B244*100)/Boosters_IOS!N244</f>
        <v>19.9224970431488</v>
      </c>
      <c r="Q244" s="57">
        <f>Boosters_IOS!B244/(C244+D244)</f>
        <v>0.435306924340373</v>
      </c>
      <c r="R244" s="57">
        <f>Boosters_IOS!N244/B244</f>
        <v>3.73271145414579</v>
      </c>
      <c r="S244" s="54">
        <v>10.6170212765957</v>
      </c>
      <c r="T244" s="54">
        <v>0.765957446808511</v>
      </c>
      <c r="U244" s="58">
        <v>787.553191489362</v>
      </c>
      <c r="V244" s="54"/>
    </row>
    <row r="245" spans="1:22" s="168" customFormat="1" ht="22.500000" customHeight="1">
      <c r="A245" s="34">
        <v>243</v>
      </c>
      <c r="B245" s="49">
        <v>56</v>
      </c>
      <c r="C245" s="49">
        <v>47</v>
      </c>
      <c r="D245" s="49">
        <v>58</v>
      </c>
      <c r="E245" s="49">
        <v>33</v>
      </c>
      <c r="F245" s="50">
        <f>(C245*100)/B245</f>
        <v>83.9285714285714</v>
      </c>
      <c r="G245" s="156">
        <f>(D245*100)/B245</f>
        <v>103.571428571429</v>
      </c>
      <c r="H245" s="152">
        <f>((B245-B246)/B245)*100</f>
        <v>14.2857142857143</v>
      </c>
      <c r="I245" s="52">
        <f>((B245-C245)/B245)*100</f>
        <v>16.0714285714286</v>
      </c>
      <c r="J245" s="52">
        <f>((C245-B246)/C245)*100</f>
        <v>-2.12765957446809</v>
      </c>
      <c r="K245" s="161"/>
      <c r="L245" s="54">
        <v>3.2127659574468</v>
      </c>
      <c r="M245" s="117" t="s">
        <v>28</v>
      </c>
      <c r="N245" s="54">
        <v>26.85</v>
      </c>
      <c r="O245" s="56">
        <f>N245/C245</f>
        <v>0.571276595744681</v>
      </c>
      <c r="P245" s="57">
        <f>(Boosters_IOS!B245*100)/Boosters_IOS!N245</f>
        <v>26.3113180395837</v>
      </c>
      <c r="Q245" s="57">
        <f>Boosters_IOS!B245/(C245+D245)</f>
        <v>1.86744833792256</v>
      </c>
      <c r="R245" s="57">
        <f>Boosters_IOS!N245/B245</f>
        <v>13.3078306010252</v>
      </c>
      <c r="S245" s="54">
        <v>15.0425531914893</v>
      </c>
      <c r="T245" s="54">
        <v>1.12765957446809</v>
      </c>
      <c r="U245" s="58">
        <v>425.425531914894</v>
      </c>
      <c r="V245" s="54"/>
    </row>
    <row r="246" spans="1:22" s="168" customFormat="1" ht="22.500000" customHeight="1">
      <c r="A246" s="34">
        <v>244</v>
      </c>
      <c r="B246" s="49">
        <v>48</v>
      </c>
      <c r="C246" s="49">
        <v>48</v>
      </c>
      <c r="D246" s="49">
        <v>19</v>
      </c>
      <c r="E246" s="49">
        <v>7</v>
      </c>
      <c r="F246" s="50">
        <f>(C246*100)/B246</f>
        <v>100</v>
      </c>
      <c r="G246" s="156">
        <f>(D246*100)/B246</f>
        <v>39.5833333333333</v>
      </c>
      <c r="H246" s="152">
        <f>((B246-B247)/B246)*100</f>
        <v>0</v>
      </c>
      <c r="I246" s="52">
        <f>((B246-C246)/B246)*100</f>
        <v>0</v>
      </c>
      <c r="J246" s="52">
        <f>((C246-B247)/C246)*100</f>
        <v>0</v>
      </c>
      <c r="K246" s="161"/>
      <c r="L246" s="54">
        <v>1.10416666666666</v>
      </c>
      <c r="M246" s="124" t="s">
        <v>29</v>
      </c>
      <c r="N246" s="54">
        <v>0</v>
      </c>
      <c r="O246" s="56">
        <f>N246/C246</f>
        <v>0</v>
      </c>
      <c r="P246" s="57">
        <f>(Boosters_IOS!B246*100)/Boosters_IOS!N246</f>
        <v>37.6675709682178</v>
      </c>
      <c r="Q246" s="57">
        <f>Boosters_IOS!B246/(C246+D246)</f>
        <v>0.620369705569377</v>
      </c>
      <c r="R246" s="57">
        <f>Boosters_IOS!N246/B246</f>
        <v>2.29888121735951</v>
      </c>
      <c r="S246" s="54">
        <v>4.6875</v>
      </c>
      <c r="T246" s="54">
        <v>0.75</v>
      </c>
      <c r="U246" s="58">
        <v>456.979166666667</v>
      </c>
      <c r="V246" s="54"/>
    </row>
    <row r="247" spans="1:22" s="168" customFormat="1" ht="22.500000" customHeight="1">
      <c r="A247" s="34">
        <v>245</v>
      </c>
      <c r="B247" s="49">
        <v>48</v>
      </c>
      <c r="C247" s="49">
        <v>45</v>
      </c>
      <c r="D247" s="49">
        <v>33</v>
      </c>
      <c r="E247" s="49">
        <v>9</v>
      </c>
      <c r="F247" s="50">
        <f>(C247*100)/B247</f>
        <v>93.75</v>
      </c>
      <c r="G247" s="156">
        <f>(D247*100)/B247</f>
        <v>68.75</v>
      </c>
      <c r="H247" s="152">
        <f>((B247-B248)/B247)*100</f>
        <v>0</v>
      </c>
      <c r="I247" s="52">
        <f>((B247-C247)/B247)*100</f>
        <v>6.25</v>
      </c>
      <c r="J247" s="52">
        <f>((C247-B248)/C247)*100</f>
        <v>-6.66666666666667</v>
      </c>
      <c r="K247" s="161"/>
      <c r="L247" s="54">
        <v>1.24444444444444</v>
      </c>
      <c r="M247" s="117" t="s">
        <v>28</v>
      </c>
      <c r="N247" s="54">
        <v>4.49</v>
      </c>
      <c r="O247" s="56">
        <f>N247/C247</f>
        <v>0.0997777777777778</v>
      </c>
      <c r="P247" s="57">
        <f>(Boosters_IOS!B247*100)/Boosters_IOS!N247</f>
        <v>32.3666033379246</v>
      </c>
      <c r="Q247" s="57">
        <f>Boosters_IOS!B247/(C247+D247)</f>
        <v>0.590850773899971</v>
      </c>
      <c r="R247" s="57">
        <f>Boosters_IOS!N247/B247</f>
        <v>2.96642961747687</v>
      </c>
      <c r="S247" s="54">
        <v>8.06666666666666</v>
      </c>
      <c r="T247" s="54">
        <v>0.933333333333333</v>
      </c>
      <c r="U247" s="58">
        <v>401.444444444445</v>
      </c>
      <c r="V247" s="54"/>
    </row>
    <row r="248" spans="1:22" s="168" customFormat="1" ht="22.500000" customHeight="1">
      <c r="A248" s="34">
        <v>246</v>
      </c>
      <c r="B248" s="49">
        <v>48</v>
      </c>
      <c r="C248" s="49">
        <v>48</v>
      </c>
      <c r="D248" s="49">
        <v>18</v>
      </c>
      <c r="E248" s="49">
        <v>6</v>
      </c>
      <c r="F248" s="50">
        <f>(C248*100)/B248</f>
        <v>100</v>
      </c>
      <c r="G248" s="156">
        <f>(D248*100)/B248</f>
        <v>37.5</v>
      </c>
      <c r="H248" s="152">
        <f>((B248-B249)/B248)*100</f>
        <v>0</v>
      </c>
      <c r="I248" s="52">
        <f>((B248-C248)/B248)*100</f>
        <v>0</v>
      </c>
      <c r="J248" s="52">
        <f>((C248-B249)/C248)*100</f>
        <v>0</v>
      </c>
      <c r="K248" s="161"/>
      <c r="L248" s="54">
        <v>1.04166666666666</v>
      </c>
      <c r="M248" s="124" t="s">
        <v>29</v>
      </c>
      <c r="N248" s="54">
        <v>59.99</v>
      </c>
      <c r="O248" s="56">
        <f>N248/C248</f>
        <v>1.24979166666667</v>
      </c>
      <c r="P248" s="57">
        <f>(Boosters_IOS!B248*100)/Boosters_IOS!N248</f>
        <v>43.3625883871954</v>
      </c>
      <c r="Q248" s="57">
        <f>Boosters_IOS!B248/(C248+D248)</f>
        <v>0.621866366395437</v>
      </c>
      <c r="R248" s="57">
        <f>Boosters_IOS!N248/B248</f>
        <v>1.97189855494471</v>
      </c>
      <c r="S248" s="54">
        <v>8.02083333333333</v>
      </c>
      <c r="T248" s="54">
        <v>0.75</v>
      </c>
      <c r="U248" s="58">
        <v>2506.5625</v>
      </c>
      <c r="V248" s="54"/>
    </row>
    <row r="249" spans="1:22" s="168" customFormat="1" ht="22.500000" customHeight="1">
      <c r="A249" s="34">
        <v>247</v>
      </c>
      <c r="B249" s="49">
        <v>48</v>
      </c>
      <c r="C249" s="49">
        <v>48</v>
      </c>
      <c r="D249" s="49">
        <v>31</v>
      </c>
      <c r="E249" s="49">
        <v>10</v>
      </c>
      <c r="F249" s="50">
        <f>(C249*100)/B249</f>
        <v>100</v>
      </c>
      <c r="G249" s="156">
        <f>(D249*100)/B249</f>
        <v>64.5833333333333</v>
      </c>
      <c r="H249" s="152">
        <f>((B249-B250)/B249)*100</f>
        <v>2.08333333333333</v>
      </c>
      <c r="I249" s="52">
        <f>((B249-C249)/B249)*100</f>
        <v>0</v>
      </c>
      <c r="J249" s="52">
        <f>((C249-B250)/C249)*100</f>
        <v>2.08333333333333</v>
      </c>
      <c r="K249" s="161"/>
      <c r="L249" s="54">
        <v>1.22916666666666</v>
      </c>
      <c r="M249" s="117" t="s">
        <v>28</v>
      </c>
      <c r="N249" s="54">
        <v>0</v>
      </c>
      <c r="O249" s="56">
        <f>N249/C249</f>
        <v>0</v>
      </c>
      <c r="P249" s="57">
        <f>(Boosters_IOS!B249*100)/Boosters_IOS!N249</f>
        <v>6.6643803872822</v>
      </c>
      <c r="Q249" s="57">
        <f>Boosters_IOS!B249/(C249+D249)</f>
        <v>0.106217627446672</v>
      </c>
      <c r="R249" s="57">
        <f>Boosters_IOS!N249/B249</f>
        <v>2.62314726471677</v>
      </c>
      <c r="S249" s="54">
        <v>11.7083333333333</v>
      </c>
      <c r="T249" s="54">
        <v>0.770833333333333</v>
      </c>
      <c r="U249" s="58">
        <v>2444.89583333333</v>
      </c>
      <c r="V249" s="54"/>
    </row>
    <row r="250" spans="1:22" s="168" customFormat="1" ht="22.500000" customHeight="1">
      <c r="A250" s="34">
        <v>248</v>
      </c>
      <c r="B250" s="49">
        <v>47</v>
      </c>
      <c r="C250" s="49">
        <v>45</v>
      </c>
      <c r="D250" s="49">
        <v>29</v>
      </c>
      <c r="E250" s="49">
        <v>6</v>
      </c>
      <c r="F250" s="50">
        <f>(C250*100)/B250</f>
        <v>95.7446808510638</v>
      </c>
      <c r="G250" s="156">
        <f>(D250*100)/B250</f>
        <v>61.7021276595745</v>
      </c>
      <c r="H250" s="152">
        <f>((B250-B251)/B250)*100</f>
        <v>4.25531914893617</v>
      </c>
      <c r="I250" s="52">
        <f>((B250-C250)/B250)*100</f>
        <v>4.25531914893617</v>
      </c>
      <c r="J250" s="52">
        <f>((C250-B251)/C250)*100</f>
        <v>0</v>
      </c>
      <c r="K250" s="161"/>
      <c r="L250" s="54">
        <v>1.06666666666666</v>
      </c>
      <c r="M250" s="125" t="s">
        <v>28</v>
      </c>
      <c r="N250" s="54">
        <v>4.14</v>
      </c>
      <c r="O250" s="56">
        <f>N250/C250</f>
        <v>0.092</v>
      </c>
      <c r="P250" s="57">
        <f>(Boosters_IOS!B250*100)/Boosters_IOS!N250</f>
        <v>52.8464255104147</v>
      </c>
      <c r="Q250" s="57">
        <f>Boosters_IOS!B250/(C250+D250)</f>
        <v>0.730896761678347</v>
      </c>
      <c r="R250" s="57">
        <f>Boosters_IOS!N250/B250</f>
        <v>2.17758081772886</v>
      </c>
      <c r="S250" s="54">
        <v>6.4</v>
      </c>
      <c r="T250" s="54">
        <v>0.933333333333333</v>
      </c>
      <c r="U250" s="58">
        <v>2864.66666666667</v>
      </c>
      <c r="V250" s="54"/>
    </row>
    <row r="251" spans="1:22" s="168" customFormat="1" ht="22.500000" customHeight="1">
      <c r="A251" s="34">
        <v>249</v>
      </c>
      <c r="B251" s="49">
        <v>45</v>
      </c>
      <c r="C251" s="49">
        <v>45</v>
      </c>
      <c r="D251" s="49">
        <v>19</v>
      </c>
      <c r="E251" s="49">
        <v>4</v>
      </c>
      <c r="F251" s="50">
        <f>(C251*100)/B251</f>
        <v>100</v>
      </c>
      <c r="G251" s="156">
        <f>(D251*100)/B251</f>
        <v>42.2222222222222</v>
      </c>
      <c r="H251" s="152">
        <f>((B251-B252)/B251)*100</f>
        <v>2.22222222222222</v>
      </c>
      <c r="I251" s="52">
        <f>((B251-C251)/B251)*100</f>
        <v>0</v>
      </c>
      <c r="J251" s="52">
        <f>((C251-B252)/C251)*100</f>
        <v>2.22222222222222</v>
      </c>
      <c r="K251" s="161"/>
      <c r="L251" s="54">
        <v>1.08888888888888</v>
      </c>
      <c r="M251" s="117" t="s">
        <v>28</v>
      </c>
      <c r="N251" s="54">
        <v>2.3</v>
      </c>
      <c r="O251" s="56">
        <f>N251/C251</f>
        <v>0.0511111111111111</v>
      </c>
      <c r="P251" s="57">
        <f>(Boosters_IOS!B251*100)/Boosters_IOS!N251</f>
        <v>22.4464992229681</v>
      </c>
      <c r="Q251" s="57">
        <f>Boosters_IOS!B251/(C251+D251)</f>
        <v>0.234375</v>
      </c>
      <c r="R251" s="57">
        <f>Boosters_IOS!N251/B251</f>
        <v>1.48501256263718</v>
      </c>
      <c r="S251" s="54">
        <v>5.68888888888888</v>
      </c>
      <c r="T251" s="54">
        <v>0.777777777777778</v>
      </c>
      <c r="U251" s="58">
        <v>2870.44444444444</v>
      </c>
      <c r="V251" s="54"/>
    </row>
    <row r="252" spans="1:22" s="168" customFormat="1" ht="22.500000" customHeight="1">
      <c r="A252" s="34">
        <v>250</v>
      </c>
      <c r="B252" s="49">
        <v>44</v>
      </c>
      <c r="C252" s="49">
        <v>44</v>
      </c>
      <c r="D252" s="49">
        <v>28</v>
      </c>
      <c r="E252" s="49">
        <v>7</v>
      </c>
      <c r="F252" s="50">
        <f>(C252*100)/B252</f>
        <v>100</v>
      </c>
      <c r="G252" s="156">
        <f>(D252*100)/B252</f>
        <v>63.6363636363636</v>
      </c>
      <c r="H252" s="152">
        <f>((B252-B253)/B252)*100</f>
        <v>6.81818181818182</v>
      </c>
      <c r="I252" s="52">
        <f>((B252-C252)/B252)*100</f>
        <v>0</v>
      </c>
      <c r="J252" s="52">
        <f>((C252-B253)/C252)*100</f>
        <v>6.81818181818182</v>
      </c>
      <c r="K252" s="161"/>
      <c r="L252" s="54">
        <v>1.11363636363636</v>
      </c>
      <c r="M252" s="124" t="s">
        <v>29</v>
      </c>
      <c r="N252" s="54">
        <v>0</v>
      </c>
      <c r="O252" s="56">
        <f>N252/C252</f>
        <v>0</v>
      </c>
      <c r="P252" s="57">
        <f>(Boosters_IOS!B252*100)/Boosters_IOS!N252</f>
        <v>25.83780892474</v>
      </c>
      <c r="Q252" s="57">
        <f>Boosters_IOS!B252/(C252+D252)</f>
        <v>0.530788303985556</v>
      </c>
      <c r="R252" s="57">
        <f>Boosters_IOS!N252/B252</f>
        <v>3.36159572113498</v>
      </c>
      <c r="S252" s="54">
        <v>11.1136363636363</v>
      </c>
      <c r="T252" s="54">
        <v>0.840909090909091</v>
      </c>
      <c r="U252" s="58">
        <v>2896.25</v>
      </c>
      <c r="V252" s="54"/>
    </row>
    <row r="253" spans="1:22" s="168" customFormat="1" ht="22.500000" customHeight="1">
      <c r="A253" s="34">
        <v>251</v>
      </c>
      <c r="B253" s="49">
        <v>41</v>
      </c>
      <c r="C253" s="49">
        <v>41</v>
      </c>
      <c r="D253" s="49">
        <v>0</v>
      </c>
      <c r="E253" s="49">
        <v>0</v>
      </c>
      <c r="F253" s="50">
        <f>(C253*100)/B253</f>
        <v>100</v>
      </c>
      <c r="G253" s="156">
        <f>(D253*100)/B253</f>
        <v>0</v>
      </c>
      <c r="H253" s="152">
        <f>((B253-B254)/B253)*100</f>
        <v>2.4390243902439</v>
      </c>
      <c r="I253" s="52">
        <f>((B253-C253)/B253)*100</f>
        <v>0</v>
      </c>
      <c r="J253" s="52">
        <f>((C253-B254)/C253)*100</f>
        <v>2.4390243902439</v>
      </c>
      <c r="K253" s="161"/>
      <c r="L253" s="54">
        <v>1.02439024390243</v>
      </c>
      <c r="M253" s="126" t="s">
        <v>29</v>
      </c>
      <c r="N253" s="54">
        <v>0</v>
      </c>
      <c r="O253" s="56">
        <f>N253/C253</f>
        <v>0</v>
      </c>
      <c r="P253" s="57">
        <f>(Boosters_IOS!B253*100)/Boosters_IOS!N253</f>
        <v>0</v>
      </c>
      <c r="Q253" s="57">
        <f>Boosters_IOS!B253/(C253+D253)</f>
        <v>0</v>
      </c>
      <c r="R253" s="57">
        <f>Boosters_IOS!N253/B253</f>
        <v>1.46341463414634</v>
      </c>
      <c r="S253" s="54">
        <v>6.51219512195121</v>
      </c>
      <c r="T253" s="54">
        <v>0.585365853658537</v>
      </c>
      <c r="U253" s="58">
        <v>3180</v>
      </c>
      <c r="V253" s="54"/>
    </row>
    <row r="254" spans="1:22" s="168" customFormat="1" ht="22.500000" customHeight="1">
      <c r="A254" s="34">
        <v>252</v>
      </c>
      <c r="B254" s="49">
        <v>40</v>
      </c>
      <c r="C254" s="49">
        <v>40</v>
      </c>
      <c r="D254" s="49">
        <v>0</v>
      </c>
      <c r="E254" s="49">
        <v>0</v>
      </c>
      <c r="F254" s="50">
        <f>(C254*100)/B254</f>
        <v>100</v>
      </c>
      <c r="G254" s="156">
        <f>(D254*100)/B254</f>
        <v>0</v>
      </c>
      <c r="H254" s="152">
        <f>((B254-B255)/B254)*100</f>
        <v>-2.5</v>
      </c>
      <c r="I254" s="52">
        <f>((B254-C254)/B254)*100</f>
        <v>0</v>
      </c>
      <c r="J254" s="52">
        <f>((C254-B255)/C254)*100</f>
        <v>-2.5</v>
      </c>
      <c r="K254" s="161"/>
      <c r="L254" s="54">
        <v>1.05</v>
      </c>
      <c r="M254" s="125" t="s">
        <v>28</v>
      </c>
      <c r="N254" s="54">
        <v>0</v>
      </c>
      <c r="O254" s="56">
        <f>N254/C254</f>
        <v>0</v>
      </c>
      <c r="P254" s="57">
        <f>(Boosters_IOS!B254*100)/Boosters_IOS!N254</f>
        <v>0</v>
      </c>
      <c r="Q254" s="57">
        <f>Boosters_IOS!B254/(C254+D254)</f>
        <v>0</v>
      </c>
      <c r="R254" s="57">
        <f>Boosters_IOS!N254/B254</f>
        <v>1.525</v>
      </c>
      <c r="S254" s="54">
        <v>5.55</v>
      </c>
      <c r="T254" s="54">
        <v>0.575</v>
      </c>
      <c r="U254" s="58">
        <v>3452.375</v>
      </c>
      <c r="V254" s="54"/>
    </row>
    <row r="255" spans="1:22" s="168" customFormat="1" ht="22.500000" customHeight="1">
      <c r="A255" s="34">
        <v>253</v>
      </c>
      <c r="B255" s="49">
        <v>41</v>
      </c>
      <c r="C255" s="49">
        <v>40</v>
      </c>
      <c r="D255" s="49">
        <v>26</v>
      </c>
      <c r="E255" s="49">
        <v>7</v>
      </c>
      <c r="F255" s="50">
        <f>(C255*100)/B255</f>
        <v>97.5609756097561</v>
      </c>
      <c r="G255" s="156">
        <f>(D255*100)/B255</f>
        <v>63.4146341463415</v>
      </c>
      <c r="H255" s="152">
        <f>((B255-B256)/B255)*100</f>
        <v>2.4390243902439</v>
      </c>
      <c r="I255" s="52">
        <f>((B255-C255)/B255)*100</f>
        <v>2.4390243902439</v>
      </c>
      <c r="J255" s="52">
        <f>((C255-B256)/C255)*100</f>
        <v>0</v>
      </c>
      <c r="K255" s="161"/>
      <c r="L255" s="54">
        <v>1.2</v>
      </c>
      <c r="M255" s="117" t="s">
        <v>28</v>
      </c>
      <c r="N255" s="54">
        <v>1.87</v>
      </c>
      <c r="O255" s="56">
        <f>N255/C255</f>
        <v>0.04675</v>
      </c>
      <c r="P255" s="57">
        <f>(Boosters_IOS!B255*100)/Boosters_IOS!N255</f>
        <v>18.7004420718167</v>
      </c>
      <c r="Q255" s="57">
        <f>Boosters_IOS!B255/(C255+D255)</f>
        <v>0.278654432852834</v>
      </c>
      <c r="R255" s="57">
        <f>Boosters_IOS!N255/B255</f>
        <v>2.39869020568919</v>
      </c>
      <c r="S255" s="54">
        <v>11.775</v>
      </c>
      <c r="T255" s="54">
        <v>0.8</v>
      </c>
      <c r="U255" s="58">
        <v>3240.875</v>
      </c>
      <c r="V255" s="54"/>
    </row>
    <row r="256" spans="1:22" s="168" customFormat="1" ht="22.500000" customHeight="1">
      <c r="A256" s="34">
        <v>254</v>
      </c>
      <c r="B256" s="49">
        <v>40</v>
      </c>
      <c r="C256" s="49">
        <v>39</v>
      </c>
      <c r="D256" s="49">
        <v>14</v>
      </c>
      <c r="E256" s="49">
        <v>7</v>
      </c>
      <c r="F256" s="50">
        <f>(C256*100)/B256</f>
        <v>97.5</v>
      </c>
      <c r="G256" s="156">
        <f>(D256*100)/B256</f>
        <v>35</v>
      </c>
      <c r="H256" s="152">
        <f>((B256-B257)/B256)*100</f>
        <v>-2.5</v>
      </c>
      <c r="I256" s="52">
        <f>((B256-C256)/B256)*100</f>
        <v>2.5</v>
      </c>
      <c r="J256" s="52">
        <f>((C256-B257)/C256)*100</f>
        <v>-5.12820512820513</v>
      </c>
      <c r="K256" s="161"/>
      <c r="L256" s="54">
        <v>1.15384615384615</v>
      </c>
      <c r="M256" s="125" t="s">
        <v>28</v>
      </c>
      <c r="N256" s="54">
        <v>5.75</v>
      </c>
      <c r="O256" s="56">
        <f>N256/C256</f>
        <v>0.147435897435897</v>
      </c>
      <c r="P256" s="57">
        <f>(Boosters_IOS!B256*100)/Boosters_IOS!N256</f>
        <v>28.9874122856386</v>
      </c>
      <c r="Q256" s="57">
        <f>Boosters_IOS!B256/(C256+D256)</f>
        <v>0.441343256005416</v>
      </c>
      <c r="R256" s="57">
        <f>Boosters_IOS!N256/B256</f>
        <v>2.01735777048612</v>
      </c>
      <c r="S256" s="54">
        <v>6.23076923076923</v>
      </c>
      <c r="T256" s="54">
        <v>0.820512820512821</v>
      </c>
      <c r="U256" s="58">
        <v>3350.64102564103</v>
      </c>
      <c r="V256" s="54"/>
    </row>
    <row r="257" spans="1:22" s="168" customFormat="1" ht="22.500000" customHeight="1">
      <c r="A257" s="34">
        <v>255</v>
      </c>
      <c r="B257" s="49">
        <v>41</v>
      </c>
      <c r="C257" s="49">
        <v>37</v>
      </c>
      <c r="D257" s="49">
        <v>29</v>
      </c>
      <c r="E257" s="49">
        <v>12</v>
      </c>
      <c r="F257" s="50">
        <f>(C257*100)/B257</f>
        <v>90.2439024390244</v>
      </c>
      <c r="G257" s="156">
        <f>(D257*100)/B257</f>
        <v>70.7317073170732</v>
      </c>
      <c r="H257" s="152">
        <f>((B257-B258)/B257)*100</f>
        <v>4.87804878048781</v>
      </c>
      <c r="I257" s="52">
        <f>((B257-C257)/B257)*100</f>
        <v>9.75609756097561</v>
      </c>
      <c r="J257" s="52">
        <f>((C257-B258)/C257)*100</f>
        <v>-5.40540540540541</v>
      </c>
      <c r="K257" s="161"/>
      <c r="L257" s="54">
        <v>1.05405405405405</v>
      </c>
      <c r="M257" s="117" t="s">
        <v>28</v>
      </c>
      <c r="N257" s="54">
        <v>8.36</v>
      </c>
      <c r="O257" s="56">
        <f>N257/C257</f>
        <v>0.225945945945946</v>
      </c>
      <c r="P257" s="57">
        <f>(Boosters_IOS!B257*100)/Boosters_IOS!N257</f>
        <v>33.4774845468534</v>
      </c>
      <c r="Q257" s="57">
        <f>Boosters_IOS!B257/(C257+D257)</f>
        <v>0.714083947671159</v>
      </c>
      <c r="R257" s="57">
        <f>Boosters_IOS!N257/B257</f>
        <v>3.43365400505309</v>
      </c>
      <c r="S257" s="54">
        <v>5.16216216216216</v>
      </c>
      <c r="T257" s="54">
        <v>0.918918918918919</v>
      </c>
      <c r="U257" s="58">
        <v>3369.86486486487</v>
      </c>
      <c r="V257" s="54"/>
    </row>
    <row r="258" spans="1:22" s="168" customFormat="1" ht="22.500000" customHeight="1">
      <c r="A258" s="34">
        <v>256</v>
      </c>
      <c r="B258" s="49">
        <v>39</v>
      </c>
      <c r="C258" s="49">
        <v>40</v>
      </c>
      <c r="D258" s="49">
        <v>17</v>
      </c>
      <c r="E258" s="49">
        <v>4</v>
      </c>
      <c r="F258" s="50">
        <f>(C258*100)/B258</f>
        <v>102.564102564103</v>
      </c>
      <c r="G258" s="156">
        <f>(D258*100)/B258</f>
        <v>43.5897435897436</v>
      </c>
      <c r="H258" s="152">
        <f>((B258-B259)/B258)*100</f>
        <v>-10.2564102564103</v>
      </c>
      <c r="I258" s="52">
        <f>((B258-C258)/B258)*100</f>
        <v>-2.56410256410256</v>
      </c>
      <c r="J258" s="52">
        <f>((C258-B259)/C258)*100</f>
        <v>-7.5</v>
      </c>
      <c r="K258" s="161"/>
      <c r="L258" s="54">
        <v>1.05</v>
      </c>
      <c r="M258" s="125" t="s">
        <v>28</v>
      </c>
      <c r="N258" s="54">
        <v>0</v>
      </c>
      <c r="O258" s="56">
        <f>N258/C258</f>
        <v>0</v>
      </c>
      <c r="P258" s="57">
        <f>(Boosters_IOS!B258*100)/Boosters_IOS!N258</f>
        <v>13.0353207605195</v>
      </c>
      <c r="Q258" s="57">
        <f>Boosters_IOS!B258/(C258+D258)</f>
        <v>0.157894736842105</v>
      </c>
      <c r="R258" s="57">
        <f>Boosters_IOS!N258/B258</f>
        <v>1.77033795338715</v>
      </c>
      <c r="S258" s="54">
        <v>15.575</v>
      </c>
      <c r="T258" s="54">
        <v>0.775</v>
      </c>
      <c r="U258" s="58">
        <v>3323.625</v>
      </c>
      <c r="V258" s="54"/>
    </row>
    <row r="259" spans="1:22" s="168" customFormat="1" ht="22.500000" customHeight="1">
      <c r="A259" s="34">
        <v>257</v>
      </c>
      <c r="B259" s="49">
        <v>43</v>
      </c>
      <c r="C259" s="49">
        <v>40</v>
      </c>
      <c r="D259" s="49">
        <v>43</v>
      </c>
      <c r="E259" s="49">
        <v>18</v>
      </c>
      <c r="F259" s="50">
        <f>(C259*100)/B259</f>
        <v>93.0232558139535</v>
      </c>
      <c r="G259" s="156">
        <f>(D259*100)/B259</f>
        <v>100</v>
      </c>
      <c r="H259" s="152">
        <f>((B259-B260)/B259)*100</f>
        <v>2.32558139534884</v>
      </c>
      <c r="I259" s="52">
        <f>((B259-C259)/B259)*100</f>
        <v>6.97674418604651</v>
      </c>
      <c r="J259" s="52">
        <f>((C259-B260)/C259)*100</f>
        <v>-5</v>
      </c>
      <c r="K259" s="161"/>
      <c r="L259" s="54">
        <v>1.75</v>
      </c>
      <c r="M259" s="126" t="s">
        <v>29</v>
      </c>
      <c r="N259" s="54">
        <v>8.11</v>
      </c>
      <c r="O259" s="56">
        <f>N259/C259</f>
        <v>0.20275</v>
      </c>
      <c r="P259" s="57">
        <f>(Boosters_IOS!B259*100)/Boosters_IOS!N259</f>
        <v>11.2413547333794</v>
      </c>
      <c r="Q259" s="57">
        <f>Boosters_IOS!B259/(C259+D259)</f>
        <v>0.301725062434926</v>
      </c>
      <c r="R259" s="57">
        <f>Boosters_IOS!N259/B259</f>
        <v>5.18086612273904</v>
      </c>
      <c r="S259" s="54">
        <v>4.975</v>
      </c>
      <c r="T259" s="54">
        <v>0.95</v>
      </c>
      <c r="U259" s="58">
        <v>3033.5</v>
      </c>
      <c r="V259" s="54"/>
    </row>
    <row r="260" spans="1:22" s="168" customFormat="1" ht="22.500000" customHeight="1">
      <c r="A260" s="34">
        <v>258</v>
      </c>
      <c r="B260" s="49">
        <v>42</v>
      </c>
      <c r="C260" s="49">
        <v>38</v>
      </c>
      <c r="D260" s="49">
        <v>32</v>
      </c>
      <c r="E260" s="49">
        <v>8</v>
      </c>
      <c r="F260" s="50">
        <f>(C260*100)/B260</f>
        <v>90.4761904761905</v>
      </c>
      <c r="G260" s="156">
        <f>(D260*100)/B260</f>
        <v>76.1904761904762</v>
      </c>
      <c r="H260" s="152">
        <f>((B260-B261)/B260)*100</f>
        <v>4.76190476190476</v>
      </c>
      <c r="I260" s="52">
        <f>((B260-C260)/B260)*100</f>
        <v>9.52380952380952</v>
      </c>
      <c r="J260" s="52">
        <f>((C260-B261)/C260)*100</f>
        <v>-5.26315789473684</v>
      </c>
      <c r="K260" s="161"/>
      <c r="L260" s="54">
        <v>1.44736842105263</v>
      </c>
      <c r="M260" s="124" t="s">
        <v>29</v>
      </c>
      <c r="N260" s="54">
        <v>1.99</v>
      </c>
      <c r="O260" s="56">
        <f>N260/C260</f>
        <v>0.0523684210526316</v>
      </c>
      <c r="P260" s="57">
        <f>(Boosters_IOS!B260*100)/Boosters_IOS!N260</f>
        <v>40.9912256209641</v>
      </c>
      <c r="Q260" s="57">
        <f>Boosters_IOS!B260/(C260+D260)</f>
        <v>0.832284829557984</v>
      </c>
      <c r="R260" s="57">
        <f>Boosters_IOS!N260/B260</f>
        <v>3.38399587127059</v>
      </c>
      <c r="S260" s="54">
        <v>15.4473684210526</v>
      </c>
      <c r="T260" s="54">
        <v>0.973684210526316</v>
      </c>
      <c r="U260" s="58">
        <v>3064.47368421053</v>
      </c>
      <c r="V260" s="54"/>
    </row>
    <row r="261" spans="1:22" s="168" customFormat="1" ht="22.500000" customHeight="1">
      <c r="A261" s="34">
        <v>259</v>
      </c>
      <c r="B261" s="49">
        <v>40</v>
      </c>
      <c r="C261" s="49">
        <v>40</v>
      </c>
      <c r="D261" s="49">
        <v>11</v>
      </c>
      <c r="E261" s="49">
        <v>4</v>
      </c>
      <c r="F261" s="50">
        <f>(C261*100)/B261</f>
        <v>100</v>
      </c>
      <c r="G261" s="156">
        <f>(D261*100)/B261</f>
        <v>27.5</v>
      </c>
      <c r="H261" s="152">
        <f>((B261-B262)/B261)*100</f>
        <v>-2.5</v>
      </c>
      <c r="I261" s="52">
        <f>((B261-C261)/B261)*100</f>
        <v>0</v>
      </c>
      <c r="J261" s="52">
        <f>((C261-B262)/C261)*100</f>
        <v>-2.5</v>
      </c>
      <c r="K261" s="161"/>
      <c r="L261" s="54">
        <v>1.025</v>
      </c>
      <c r="M261" s="117" t="s">
        <v>28</v>
      </c>
      <c r="N261" s="54">
        <v>0</v>
      </c>
      <c r="O261" s="56">
        <f>N261/C261</f>
        <v>0</v>
      </c>
      <c r="P261" s="57">
        <f>(Boosters_IOS!B261*100)/Boosters_IOS!N261</f>
        <v>17.3184562597324</v>
      </c>
      <c r="Q261" s="57">
        <f>Boosters_IOS!B261/(C261+D261)</f>
        <v>0.23785093181887</v>
      </c>
      <c r="R261" s="57">
        <f>Boosters_IOS!N261/B261</f>
        <v>1.75107950455247</v>
      </c>
      <c r="S261" s="54">
        <v>10.5</v>
      </c>
      <c r="T261" s="54">
        <v>0.7</v>
      </c>
      <c r="U261" s="58">
        <v>2955.25</v>
      </c>
      <c r="V261" s="54"/>
    </row>
    <row r="262" spans="1:22" s="168" customFormat="1" ht="22.500000" customHeight="1">
      <c r="A262" s="34">
        <v>260</v>
      </c>
      <c r="B262" s="49">
        <v>41</v>
      </c>
      <c r="C262" s="49">
        <v>40</v>
      </c>
      <c r="D262" s="49">
        <v>35</v>
      </c>
      <c r="E262" s="49">
        <v>7</v>
      </c>
      <c r="F262" s="50">
        <f>(C262*100)/B262</f>
        <v>97.5609756097561</v>
      </c>
      <c r="G262" s="156">
        <f>(D262*100)/B262</f>
        <v>85.3658536585366</v>
      </c>
      <c r="H262" s="152">
        <f>((B262-B263)/B262)*100</f>
        <v>0</v>
      </c>
      <c r="I262" s="52">
        <f>((B262-C262)/B262)*100</f>
        <v>2.4390243902439</v>
      </c>
      <c r="J262" s="52">
        <f>((C262-B263)/C262)*100</f>
        <v>-2.5</v>
      </c>
      <c r="K262" s="161"/>
      <c r="L262" s="54">
        <v>1.1</v>
      </c>
      <c r="M262" s="125" t="s">
        <v>28</v>
      </c>
      <c r="N262" s="54">
        <v>0</v>
      </c>
      <c r="O262" s="56">
        <f>N262/C262</f>
        <v>0</v>
      </c>
      <c r="P262" s="57">
        <f>(Boosters_IOS!B262*100)/Boosters_IOS!N262</f>
        <v>2.44234376494757</v>
      </c>
      <c r="Q262" s="57">
        <f>Boosters_IOS!B262/(C262+D262)</f>
        <v>0.0417386336368313</v>
      </c>
      <c r="R262" s="57">
        <f>Boosters_IOS!N262/B262</f>
        <v>3.12614301833974</v>
      </c>
      <c r="S262" s="54">
        <v>4.725</v>
      </c>
      <c r="T262" s="54">
        <v>0.85</v>
      </c>
      <c r="U262" s="58">
        <v>2856.25</v>
      </c>
      <c r="V262" s="54"/>
    </row>
    <row r="263" spans="1:22" s="168" customFormat="1" ht="22.500000" customHeight="1">
      <c r="A263" s="34">
        <v>261</v>
      </c>
      <c r="B263" s="49">
        <v>41</v>
      </c>
      <c r="C263" s="49">
        <v>40</v>
      </c>
      <c r="D263" s="49">
        <v>23</v>
      </c>
      <c r="E263" s="49">
        <v>8</v>
      </c>
      <c r="F263" s="50">
        <f>(C263*100)/B263</f>
        <v>97.5609756097561</v>
      </c>
      <c r="G263" s="156">
        <f>(D263*100)/B263</f>
        <v>56.0975609756098</v>
      </c>
      <c r="H263" s="152">
        <f>((B263-B264)/B263)*100</f>
        <v>2.4390243902439</v>
      </c>
      <c r="I263" s="52">
        <f>((B263-C263)/B263)*100</f>
        <v>2.4390243902439</v>
      </c>
      <c r="J263" s="52">
        <f>((C263-B264)/C263)*100</f>
        <v>0</v>
      </c>
      <c r="K263" s="161"/>
      <c r="L263" s="54">
        <v>1.025</v>
      </c>
      <c r="M263" s="117" t="s">
        <v>28</v>
      </c>
      <c r="N263" s="54">
        <v>4.99</v>
      </c>
      <c r="O263" s="56">
        <f>N263/C263</f>
        <v>0.12475</v>
      </c>
      <c r="P263" s="57">
        <f>(Boosters_IOS!B263*100)/Boosters_IOS!N263</f>
        <v>41.2370348438037</v>
      </c>
      <c r="Q263" s="57">
        <f>Boosters_IOS!B263/(C263+D263)</f>
        <v>0.883351279957871</v>
      </c>
      <c r="R263" s="57">
        <f>Boosters_IOS!N263/B263</f>
        <v>3.29156704606107</v>
      </c>
      <c r="S263" s="54">
        <v>5.8</v>
      </c>
      <c r="T263" s="54">
        <v>0.825</v>
      </c>
      <c r="U263" s="58">
        <v>2923.75</v>
      </c>
      <c r="V263" s="54"/>
    </row>
    <row r="264" spans="1:22" s="168" customFormat="1" ht="22.500000" customHeight="1">
      <c r="A264" s="34">
        <v>262</v>
      </c>
      <c r="B264" s="49">
        <v>40</v>
      </c>
      <c r="C264" s="49">
        <v>40</v>
      </c>
      <c r="D264" s="49">
        <v>26</v>
      </c>
      <c r="E264" s="49">
        <v>13</v>
      </c>
      <c r="F264" s="50">
        <f>(C264*100)/B264</f>
        <v>100</v>
      </c>
      <c r="G264" s="156">
        <f>(D264*100)/B264</f>
        <v>65</v>
      </c>
      <c r="H264" s="152">
        <f>((B264-B265)/B264)*100</f>
        <v>0</v>
      </c>
      <c r="I264" s="52">
        <f>((B264-C264)/B264)*100</f>
        <v>0</v>
      </c>
      <c r="J264" s="52">
        <f>((C264-B265)/C264)*100</f>
        <v>0</v>
      </c>
      <c r="K264" s="161"/>
      <c r="L264" s="54">
        <v>1.075</v>
      </c>
      <c r="M264" s="125" t="s">
        <v>28</v>
      </c>
      <c r="N264" s="54">
        <v>3.98</v>
      </c>
      <c r="O264" s="56">
        <f>N264/C264</f>
        <v>0.0995</v>
      </c>
      <c r="P264" s="57">
        <f>(Boosters_IOS!B264*100)/Boosters_IOS!N264</f>
        <v>21.428490976183</v>
      </c>
      <c r="Q264" s="57">
        <f>Boosters_IOS!B264/(C264+D264)</f>
        <v>0.494059855382532</v>
      </c>
      <c r="R264" s="57">
        <f>Boosters_IOS!N264/B264</f>
        <v>3.80427516938659</v>
      </c>
      <c r="S264" s="54">
        <v>4.225</v>
      </c>
      <c r="T264" s="54">
        <v>0.825</v>
      </c>
      <c r="U264" s="58">
        <v>2998.625</v>
      </c>
      <c r="V264" s="54"/>
    </row>
    <row r="265" spans="1:22" s="168" customFormat="1" ht="22.500000" customHeight="1">
      <c r="A265" s="34">
        <v>263</v>
      </c>
      <c r="B265" s="49">
        <v>40</v>
      </c>
      <c r="C265" s="49">
        <v>40</v>
      </c>
      <c r="D265" s="49">
        <v>18</v>
      </c>
      <c r="E265" s="49">
        <v>5</v>
      </c>
      <c r="F265" s="50">
        <f>(C265*100)/B265</f>
        <v>100</v>
      </c>
      <c r="G265" s="156">
        <f>(D265*100)/B265</f>
        <v>45</v>
      </c>
      <c r="H265" s="152">
        <f>((B265-B266)/B265)*100</f>
        <v>2.5</v>
      </c>
      <c r="I265" s="52">
        <f>((B265-C265)/B265)*100</f>
        <v>0</v>
      </c>
      <c r="J265" s="52">
        <f>((C265-B266)/C265)*100</f>
        <v>2.5</v>
      </c>
      <c r="K265" s="161"/>
      <c r="L265" s="54">
        <v>1.1</v>
      </c>
      <c r="M265" s="117" t="s">
        <v>28</v>
      </c>
      <c r="N265" s="54">
        <v>0</v>
      </c>
      <c r="O265" s="56">
        <f>N265/C265</f>
        <v>0</v>
      </c>
      <c r="P265" s="57">
        <f>(Boosters_IOS!B265*100)/Boosters_IOS!N265</f>
        <v>12.2850701967263</v>
      </c>
      <c r="Q265" s="57">
        <f>Boosters_IOS!B265/(C265+D265)</f>
        <v>0.257116942402353</v>
      </c>
      <c r="R265" s="57">
        <f>Boosters_IOS!N265/B265</f>
        <v>3.03473696538388</v>
      </c>
      <c r="S265" s="54">
        <v>9.525</v>
      </c>
      <c r="T265" s="54">
        <v>0.725</v>
      </c>
      <c r="U265" s="58">
        <v>2998.375</v>
      </c>
      <c r="V265" s="54"/>
    </row>
    <row r="266" spans="1:22" s="168" customFormat="1" ht="22.500000" customHeight="1">
      <c r="A266" s="34">
        <v>264</v>
      </c>
      <c r="B266" s="49">
        <v>39</v>
      </c>
      <c r="C266" s="49">
        <v>39</v>
      </c>
      <c r="D266" s="49">
        <v>15</v>
      </c>
      <c r="E266" s="49">
        <v>5</v>
      </c>
      <c r="F266" s="50">
        <f>(C266*100)/B266</f>
        <v>100</v>
      </c>
      <c r="G266" s="156">
        <f>(D266*100)/B266</f>
        <v>38.4615384615385</v>
      </c>
      <c r="H266" s="152">
        <f>((B266-B267)/B266)*100</f>
        <v>-2.56410256410256</v>
      </c>
      <c r="I266" s="52">
        <f>((B266-C266)/B266)*100</f>
        <v>0</v>
      </c>
      <c r="J266" s="52">
        <f>((C266-B267)/C266)*100</f>
        <v>-2.56410256410256</v>
      </c>
      <c r="K266" s="161"/>
      <c r="L266" s="54">
        <v>1.1025641025641</v>
      </c>
      <c r="M266" s="125" t="s">
        <v>28</v>
      </c>
      <c r="N266" s="54">
        <v>0</v>
      </c>
      <c r="O266" s="56">
        <f>N266/C266</f>
        <v>0</v>
      </c>
      <c r="P266" s="57">
        <f>(Boosters_IOS!B266*100)/Boosters_IOS!N266</f>
        <v>35.9193272344919</v>
      </c>
      <c r="Q266" s="57">
        <f>Boosters_IOS!B266/(C266+D266)</f>
        <v>0.544281343857168</v>
      </c>
      <c r="R266" s="57">
        <f>Boosters_IOS!N266/B266</f>
        <v>2.09809141842751</v>
      </c>
      <c r="S266" s="54">
        <v>6.87179487179487</v>
      </c>
      <c r="T266" s="54">
        <v>0.794871794871795</v>
      </c>
      <c r="U266" s="58">
        <v>2999.8717948718</v>
      </c>
      <c r="V266" s="54"/>
    </row>
    <row r="267" spans="1:22" s="168" customFormat="1" ht="22.500000" customHeight="1">
      <c r="A267" s="34">
        <v>265</v>
      </c>
      <c r="B267" s="49">
        <v>40</v>
      </c>
      <c r="C267" s="49">
        <v>39</v>
      </c>
      <c r="D267" s="49">
        <v>43</v>
      </c>
      <c r="E267" s="49">
        <v>19</v>
      </c>
      <c r="F267" s="50">
        <f>(C267*100)/B267</f>
        <v>97.5</v>
      </c>
      <c r="G267" s="156">
        <f>(D267*100)/B267</f>
        <v>107.5</v>
      </c>
      <c r="H267" s="152">
        <f>((B267-B268)/B267)*100</f>
        <v>2.5</v>
      </c>
      <c r="I267" s="52">
        <f>((B267-C267)/B267)*100</f>
        <v>2.5</v>
      </c>
      <c r="J267" s="52">
        <f>((C267-B268)/C267)*100</f>
        <v>0</v>
      </c>
      <c r="K267" s="161"/>
      <c r="L267" s="54">
        <v>2.46153846153846</v>
      </c>
      <c r="M267" s="126" t="s">
        <v>29</v>
      </c>
      <c r="N267" s="54">
        <v>12.66</v>
      </c>
      <c r="O267" s="56">
        <f>N267/C267</f>
        <v>0.324615384615385</v>
      </c>
      <c r="P267" s="57">
        <f>(Boosters_IOS!B267*100)/Boosters_IOS!N267</f>
        <v>5.22259530532909</v>
      </c>
      <c r="Q267" s="57">
        <f>Boosters_IOS!B267/(C267+D267)</f>
        <v>0.154292531875753</v>
      </c>
      <c r="R267" s="57">
        <f>Boosters_IOS!N267/B267</f>
        <v>6.05636990525659</v>
      </c>
      <c r="S267" s="54">
        <v>7.2051282051282</v>
      </c>
      <c r="T267" s="54">
        <v>1.07692307692308</v>
      </c>
      <c r="U267" s="58">
        <v>2795.76923076923</v>
      </c>
      <c r="V267" s="54"/>
    </row>
    <row r="268" spans="1:22" s="168" customFormat="1" ht="22.500000" customHeight="1">
      <c r="A268" s="34">
        <v>266</v>
      </c>
      <c r="B268" s="49">
        <v>39</v>
      </c>
      <c r="C268" s="49">
        <v>39</v>
      </c>
      <c r="D268" s="49">
        <v>18</v>
      </c>
      <c r="E268" s="49">
        <v>6</v>
      </c>
      <c r="F268" s="50">
        <f>(C268*100)/B268</f>
        <v>100</v>
      </c>
      <c r="G268" s="156">
        <f>(D268*100)/B268</f>
        <v>46.1538461538462</v>
      </c>
      <c r="H268" s="152">
        <f>((B268-B269)/B268)*100</f>
        <v>0</v>
      </c>
      <c r="I268" s="52">
        <f>((B268-C268)/B268)*100</f>
        <v>0</v>
      </c>
      <c r="J268" s="52">
        <f>((C268-B269)/C268)*100</f>
        <v>0</v>
      </c>
      <c r="K268" s="161"/>
      <c r="L268" s="54">
        <v>1.07692307692307</v>
      </c>
      <c r="M268" s="125" t="s">
        <v>28</v>
      </c>
      <c r="N268" s="54">
        <v>0</v>
      </c>
      <c r="O268" s="56">
        <f>N268/C268</f>
        <v>0</v>
      </c>
      <c r="P268" s="57">
        <f>(Boosters_IOS!B268*100)/Boosters_IOS!N268</f>
        <v>5.38144050212255</v>
      </c>
      <c r="Q268" s="57">
        <f>Boosters_IOS!B268/(C268+D268)</f>
        <v>0.087719298245614</v>
      </c>
      <c r="R268" s="57">
        <f>Boosters_IOS!N268/B268</f>
        <v>2.38235706879155</v>
      </c>
      <c r="S268" s="54">
        <v>6.82051282051282</v>
      </c>
      <c r="T268" s="54">
        <v>0.846153846153846</v>
      </c>
      <c r="U268" s="58">
        <v>2958.07692307692</v>
      </c>
      <c r="V268" s="54"/>
    </row>
    <row r="269" spans="1:22" s="168" customFormat="1" ht="22.500000" customHeight="1">
      <c r="A269" s="34">
        <v>267</v>
      </c>
      <c r="B269" s="49">
        <v>39</v>
      </c>
      <c r="C269" s="49">
        <v>39</v>
      </c>
      <c r="D269" s="49">
        <v>31</v>
      </c>
      <c r="E269" s="49">
        <v>10</v>
      </c>
      <c r="F269" s="50">
        <f>(C269*100)/B269</f>
        <v>100</v>
      </c>
      <c r="G269" s="156">
        <f>(D269*100)/B269</f>
        <v>79.4871794871795</v>
      </c>
      <c r="H269" s="152">
        <f>((B269-B270)/B269)*100</f>
        <v>0</v>
      </c>
      <c r="I269" s="52">
        <f>((B269-C269)/B269)*100</f>
        <v>0</v>
      </c>
      <c r="J269" s="52">
        <f>((C269-B270)/C269)*100</f>
        <v>0</v>
      </c>
      <c r="K269" s="161"/>
      <c r="L269" s="54">
        <v>1.12820512820512</v>
      </c>
      <c r="M269" s="117" t="s">
        <v>28</v>
      </c>
      <c r="N269" s="54">
        <v>1.99</v>
      </c>
      <c r="O269" s="56">
        <f>N269/C269</f>
        <v>0.051025641025641</v>
      </c>
      <c r="P269" s="57">
        <f>(Boosters_IOS!B269*100)/Boosters_IOS!N269</f>
        <v>23.5328560747626</v>
      </c>
      <c r="Q269" s="57">
        <f>Boosters_IOS!B269/(C269+D269)</f>
        <v>0.515519433774253</v>
      </c>
      <c r="R269" s="57">
        <f>Boosters_IOS!N269/B269</f>
        <v>3.93191242257243</v>
      </c>
      <c r="S269" s="54">
        <v>9.3076923076923</v>
      </c>
      <c r="T269" s="54">
        <v>0.897435897435898</v>
      </c>
      <c r="U269" s="58">
        <v>2870.38461538462</v>
      </c>
      <c r="V269" s="54"/>
    </row>
    <row r="270" spans="1:22" s="168" customFormat="1" ht="22.500000" customHeight="1">
      <c r="A270" s="34">
        <v>268</v>
      </c>
      <c r="B270" s="49">
        <v>39</v>
      </c>
      <c r="C270" s="49">
        <v>38</v>
      </c>
      <c r="D270" s="49">
        <v>28</v>
      </c>
      <c r="E270" s="49">
        <v>11</v>
      </c>
      <c r="F270" s="50">
        <f>(C270*100)/B270</f>
        <v>97.4358974358974</v>
      </c>
      <c r="G270" s="156">
        <f>(D270*100)/B270</f>
        <v>71.7948717948718</v>
      </c>
      <c r="H270" s="152">
        <f>((B270-B271)/B270)*100</f>
        <v>0</v>
      </c>
      <c r="I270" s="52">
        <f>((B270-C270)/B270)*100</f>
        <v>2.56410256410256</v>
      </c>
      <c r="J270" s="52">
        <f>((C270-B271)/C270)*100</f>
        <v>-2.63157894736842</v>
      </c>
      <c r="K270" s="161"/>
      <c r="L270" s="54">
        <v>1.31578947368421</v>
      </c>
      <c r="M270" s="124" t="s">
        <v>29</v>
      </c>
      <c r="N270" s="54">
        <v>0</v>
      </c>
      <c r="O270" s="56">
        <f>N270/C270</f>
        <v>0</v>
      </c>
      <c r="P270" s="57">
        <f>(Boosters_IOS!B270*100)/Boosters_IOS!N270</f>
        <v>19.0054172616506</v>
      </c>
      <c r="Q270" s="57">
        <f>Boosters_IOS!B270/(C270+D270)</f>
        <v>0.337284773417041</v>
      </c>
      <c r="R270" s="57">
        <f>Boosters_IOS!N270/B270</f>
        <v>3.00329957871361</v>
      </c>
      <c r="S270" s="54">
        <v>4.55263157894736</v>
      </c>
      <c r="T270" s="54">
        <v>0.868421052631579</v>
      </c>
      <c r="U270" s="58">
        <v>2964.86842105263</v>
      </c>
      <c r="V270" s="54"/>
    </row>
    <row r="271" spans="1:22" s="168" customFormat="1" ht="22.500000" customHeight="1">
      <c r="A271" s="34">
        <v>269</v>
      </c>
      <c r="B271" s="49">
        <v>39</v>
      </c>
      <c r="C271" s="49">
        <v>34</v>
      </c>
      <c r="D271" s="49">
        <v>36</v>
      </c>
      <c r="E271" s="49">
        <v>13</v>
      </c>
      <c r="F271" s="50">
        <f>(C271*100)/B271</f>
        <v>87.1794871794872</v>
      </c>
      <c r="G271" s="156">
        <f>(D271*100)/B271</f>
        <v>92.3076923076923</v>
      </c>
      <c r="H271" s="152">
        <f>((B271-B272)/B271)*100</f>
        <v>15.3846153846154</v>
      </c>
      <c r="I271" s="52">
        <f>((B271-C271)/B271)*100</f>
        <v>12.8205128205128</v>
      </c>
      <c r="J271" s="52">
        <f>((C271-B272)/C271)*100</f>
        <v>2.94117647058824</v>
      </c>
      <c r="K271" s="161"/>
      <c r="L271" s="54">
        <v>1.47058823529411</v>
      </c>
      <c r="M271" s="117" t="s">
        <v>28</v>
      </c>
      <c r="N271" s="54">
        <v>5.99</v>
      </c>
      <c r="O271" s="56">
        <f>N271/C271</f>
        <v>0.176176470588235</v>
      </c>
      <c r="P271" s="57">
        <f>(Boosters_IOS!B271*100)/Boosters_IOS!N271</f>
        <v>15.470665786397</v>
      </c>
      <c r="Q271" s="57">
        <f>Boosters_IOS!B271/(C271+D271)</f>
        <v>0.404342503251764</v>
      </c>
      <c r="R271" s="57">
        <f>Boosters_IOS!N271/B271</f>
        <v>4.69109063937364</v>
      </c>
      <c r="S271" s="54">
        <v>5.44117647058823</v>
      </c>
      <c r="T271" s="54">
        <v>1.08823529411765</v>
      </c>
      <c r="U271" s="58">
        <v>3279.55882352941</v>
      </c>
      <c r="V271" s="54"/>
    </row>
    <row r="272" spans="1:22" s="168" customFormat="1" ht="22.500000" customHeight="1">
      <c r="A272" s="34">
        <v>270</v>
      </c>
      <c r="B272" s="49">
        <v>33</v>
      </c>
      <c r="C272" s="49">
        <v>33</v>
      </c>
      <c r="D272" s="49">
        <v>0</v>
      </c>
      <c r="E272" s="49">
        <v>0</v>
      </c>
      <c r="F272" s="50">
        <f>(C272*100)/B272</f>
        <v>100</v>
      </c>
      <c r="G272" s="156">
        <f>(D272*100)/B272</f>
        <v>0</v>
      </c>
      <c r="H272" s="152">
        <f>((B272-B273)/B272)*100</f>
        <v>0</v>
      </c>
      <c r="I272" s="52">
        <f>((B272-C272)/B272)*100</f>
        <v>0</v>
      </c>
      <c r="J272" s="52">
        <f>((C272-B273)/C272)*100</f>
        <v>0</v>
      </c>
      <c r="K272" s="161"/>
      <c r="L272" s="54">
        <v>1</v>
      </c>
      <c r="M272" s="125" t="s">
        <v>28</v>
      </c>
      <c r="N272" s="54">
        <v>0</v>
      </c>
      <c r="O272" s="56">
        <f>N272/C272</f>
        <v>0</v>
      </c>
      <c r="P272" s="57">
        <f>(Boosters_IOS!B272*100)/Boosters_IOS!N272</f>
        <v>32</v>
      </c>
      <c r="Q272" s="57">
        <f>Boosters_IOS!B272/(C272+D272)</f>
        <v>0.484848484848485</v>
      </c>
      <c r="R272" s="57">
        <f>Boosters_IOS!N272/B272</f>
        <v>1.51515151515152</v>
      </c>
      <c r="S272" s="54">
        <v>10.5757575757575</v>
      </c>
      <c r="T272" s="54">
        <v>0.606060606060606</v>
      </c>
      <c r="U272" s="58">
        <v>3480.15151515152</v>
      </c>
      <c r="V272" s="54"/>
    </row>
    <row r="273" spans="1:22" s="168" customFormat="1" ht="22.500000" customHeight="1">
      <c r="A273" s="34">
        <v>271</v>
      </c>
      <c r="B273" s="49">
        <v>33</v>
      </c>
      <c r="C273" s="49">
        <v>33</v>
      </c>
      <c r="D273" s="49">
        <v>17</v>
      </c>
      <c r="E273" s="49">
        <v>11</v>
      </c>
      <c r="F273" s="50">
        <f>(C273*100)/B273</f>
        <v>100</v>
      </c>
      <c r="G273" s="156">
        <f>(D273*100)/B273</f>
        <v>51.5151515151515</v>
      </c>
      <c r="H273" s="152">
        <f>((B273-B274)/B273)*100</f>
        <v>-3.03030303030303</v>
      </c>
      <c r="I273" s="52">
        <f>((B273-C273)/B273)*100</f>
        <v>0</v>
      </c>
      <c r="J273" s="52">
        <f>((C273-B274)/C273)*100</f>
        <v>-3.03030303030303</v>
      </c>
      <c r="K273" s="161"/>
      <c r="L273" s="54">
        <v>1.06060606060606</v>
      </c>
      <c r="M273" s="126" t="s">
        <v>29</v>
      </c>
      <c r="N273" s="54">
        <v>0</v>
      </c>
      <c r="O273" s="56">
        <f>N273/C273</f>
        <v>0</v>
      </c>
      <c r="P273" s="57">
        <f>(Boosters_IOS!B273*100)/Boosters_IOS!N273</f>
        <v>42.364218196175</v>
      </c>
      <c r="Q273" s="57">
        <f>Boosters_IOS!B273/(C273+D273)</f>
        <v>0.950414662291672</v>
      </c>
      <c r="R273" s="57">
        <f>Boosters_IOS!N273/B273</f>
        <v>3.39914738642211</v>
      </c>
      <c r="S273" s="54">
        <v>16.4242424242424</v>
      </c>
      <c r="T273" s="54">
        <v>0.757575757575758</v>
      </c>
      <c r="U273" s="58">
        <v>3376.81818181818</v>
      </c>
      <c r="V273" s="54"/>
    </row>
    <row r="274" spans="1:22" s="168" customFormat="1" ht="22.500000" customHeight="1">
      <c r="A274" s="34">
        <v>272</v>
      </c>
      <c r="B274" s="49">
        <v>34</v>
      </c>
      <c r="C274" s="49">
        <v>34</v>
      </c>
      <c r="D274" s="49">
        <v>23</v>
      </c>
      <c r="E274" s="49">
        <v>5</v>
      </c>
      <c r="F274" s="50">
        <f>(C274*100)/B274</f>
        <v>100</v>
      </c>
      <c r="G274" s="156">
        <f>(D274*100)/B274</f>
        <v>67.6470588235294</v>
      </c>
      <c r="H274" s="152">
        <f>((B274-B275)/B274)*100</f>
        <v>2.94117647058824</v>
      </c>
      <c r="I274" s="52">
        <f>((B274-C274)/B274)*100</f>
        <v>0</v>
      </c>
      <c r="J274" s="52">
        <f>((C274-B275)/C274)*100</f>
        <v>2.94117647058824</v>
      </c>
      <c r="K274" s="161"/>
      <c r="L274" s="54">
        <v>1.26470588235294</v>
      </c>
      <c r="M274" s="125" t="s">
        <v>28</v>
      </c>
      <c r="N274" s="54">
        <v>3.87</v>
      </c>
      <c r="O274" s="56">
        <f>N274/C274</f>
        <v>0.113823529411765</v>
      </c>
      <c r="P274" s="57">
        <f>(Boosters_IOS!B274*100)/Boosters_IOS!N274</f>
        <v>18.592503735384</v>
      </c>
      <c r="Q274" s="57">
        <f>Boosters_IOS!B274/(C274+D274)</f>
        <v>0.320364825360083</v>
      </c>
      <c r="R274" s="57">
        <f>Boosters_IOS!N274/B274</f>
        <v>2.88870296795571</v>
      </c>
      <c r="S274" s="54">
        <v>7.3235294117647</v>
      </c>
      <c r="T274" s="54">
        <v>0.911764705882353</v>
      </c>
      <c r="U274" s="58">
        <v>3214.85294117647</v>
      </c>
      <c r="V274" s="54"/>
    </row>
    <row r="275" spans="1:22" s="168" customFormat="1" ht="22.500000" customHeight="1">
      <c r="A275" s="34">
        <v>273</v>
      </c>
      <c r="B275" s="49">
        <v>33</v>
      </c>
      <c r="C275" s="49">
        <v>30</v>
      </c>
      <c r="D275" s="49">
        <v>35</v>
      </c>
      <c r="E275" s="49">
        <v>12</v>
      </c>
      <c r="F275" s="50">
        <f>(C275*100)/B275</f>
        <v>90.9090909090909</v>
      </c>
      <c r="G275" s="156">
        <f>(D275*100)/B275</f>
        <v>106.060606060606</v>
      </c>
      <c r="H275" s="152">
        <f>((B275-B276)/B275)*100</f>
        <v>0</v>
      </c>
      <c r="I275" s="52">
        <f>((B275-C275)/B275)*100</f>
        <v>9.09090909090909</v>
      </c>
      <c r="J275" s="52">
        <f>((C275-B276)/C275)*100</f>
        <v>-10</v>
      </c>
      <c r="K275" s="161"/>
      <c r="L275" s="54">
        <v>1.23333333333333</v>
      </c>
      <c r="M275" s="126" t="s">
        <v>29</v>
      </c>
      <c r="N275" s="54">
        <v>2.15</v>
      </c>
      <c r="O275" s="56">
        <f>N275/C275</f>
        <v>0.0716666666666667</v>
      </c>
      <c r="P275" s="57">
        <f>(Boosters_IOS!B275*100)/Boosters_IOS!N275</f>
        <v>27.8228200644876</v>
      </c>
      <c r="Q275" s="57">
        <f>Boosters_IOS!B275/(C275+D275)</f>
        <v>0.784602200362064</v>
      </c>
      <c r="R275" s="57">
        <f>Boosters_IOS!N275/B275</f>
        <v>5.55453607106953</v>
      </c>
      <c r="S275" s="54">
        <v>4.1</v>
      </c>
      <c r="T275" s="54">
        <v>1.13333333333333</v>
      </c>
      <c r="U275" s="58">
        <v>3375.83333333333</v>
      </c>
      <c r="V275" s="54"/>
    </row>
    <row r="276" spans="1:22" s="168" customFormat="1" ht="22.500000" customHeight="1">
      <c r="A276" s="34">
        <v>274</v>
      </c>
      <c r="B276" s="49">
        <v>33</v>
      </c>
      <c r="C276" s="49">
        <v>31</v>
      </c>
      <c r="D276" s="49">
        <v>33</v>
      </c>
      <c r="E276" s="49">
        <v>10</v>
      </c>
      <c r="F276" s="50">
        <f>(C276*100)/B276</f>
        <v>93.9393939393939</v>
      </c>
      <c r="G276" s="156">
        <f>(D276*100)/B276</f>
        <v>100</v>
      </c>
      <c r="H276" s="152">
        <f>((B276-B277)/B276)*100</f>
        <v>-3.03030303030303</v>
      </c>
      <c r="I276" s="52">
        <f>((B276-C276)/B276)*100</f>
        <v>6.06060606060606</v>
      </c>
      <c r="J276" s="52">
        <f>((C276-B277)/C276)*100</f>
        <v>-9.67741935483871</v>
      </c>
      <c r="K276" s="161"/>
      <c r="L276" s="54">
        <v>1.77419354838709</v>
      </c>
      <c r="M276" s="125" t="s">
        <v>28</v>
      </c>
      <c r="N276" s="54">
        <v>1.99</v>
      </c>
      <c r="O276" s="56">
        <f>N276/C276</f>
        <v>0.0641935483870968</v>
      </c>
      <c r="P276" s="57">
        <f>(Boosters_IOS!B276*100)/Boosters_IOS!N276</f>
        <v>16.5096946542379</v>
      </c>
      <c r="Q276" s="57">
        <f>Boosters_IOS!B276/(C276+D276)</f>
        <v>0.297549690345294</v>
      </c>
      <c r="R276" s="57">
        <f>Boosters_IOS!N276/B276</f>
        <v>3.49531640778154</v>
      </c>
      <c r="S276" s="54">
        <v>8.74193548387096</v>
      </c>
      <c r="T276" s="54">
        <v>1.03225806451613</v>
      </c>
      <c r="U276" s="58">
        <v>3254.1935483871</v>
      </c>
      <c r="V276" s="54"/>
    </row>
    <row r="277" spans="1:22" s="168" customFormat="1" ht="22.500000" customHeight="1">
      <c r="A277" s="34">
        <v>275</v>
      </c>
      <c r="B277" s="49">
        <v>34</v>
      </c>
      <c r="C277" s="49">
        <v>30</v>
      </c>
      <c r="D277" s="49">
        <v>36</v>
      </c>
      <c r="E277" s="49">
        <v>13</v>
      </c>
      <c r="F277" s="50">
        <f>(C277*100)/B277</f>
        <v>88.2352941176471</v>
      </c>
      <c r="G277" s="156">
        <f>(D277*100)/B277</f>
        <v>105.882352941176</v>
      </c>
      <c r="H277" s="152">
        <f>((B277-B278)/B277)*100</f>
        <v>0</v>
      </c>
      <c r="I277" s="52">
        <f>((B277-C277)/B277)*100</f>
        <v>11.7647058823529</v>
      </c>
      <c r="J277" s="52">
        <f>((C277-B278)/C277)*100</f>
        <v>-13.3333333333333</v>
      </c>
      <c r="K277" s="161"/>
      <c r="L277" s="54">
        <v>1.5</v>
      </c>
      <c r="M277" s="127" t="s">
        <v>30</v>
      </c>
      <c r="N277" s="54">
        <v>8.24</v>
      </c>
      <c r="O277" s="56">
        <f>N277/C277</f>
        <v>0.274666666666667</v>
      </c>
      <c r="P277" s="57">
        <f>(Boosters_IOS!B277*100)/Boosters_IOS!N277</f>
        <v>36.9243643930116</v>
      </c>
      <c r="Q277" s="57">
        <f>Boosters_IOS!B277/(C277+D277)</f>
        <v>0.934762285143103</v>
      </c>
      <c r="R277" s="57">
        <f>Boosters_IOS!N277/B277</f>
        <v>4.91420389583337</v>
      </c>
      <c r="S277" s="54">
        <v>6.86666666666666</v>
      </c>
      <c r="T277" s="54">
        <v>1.13333333333333</v>
      </c>
      <c r="U277" s="58">
        <v>3042.83333333333</v>
      </c>
      <c r="V277" s="54"/>
    </row>
    <row r="278" spans="1:22" s="168" customFormat="1" ht="22.500000" customHeight="1">
      <c r="A278" s="34">
        <v>276</v>
      </c>
      <c r="B278" s="49">
        <v>34</v>
      </c>
      <c r="C278" s="49">
        <v>29</v>
      </c>
      <c r="D278" s="49">
        <v>32</v>
      </c>
      <c r="E278" s="49">
        <v>11</v>
      </c>
      <c r="F278" s="50">
        <f>(C278*100)/B278</f>
        <v>85.2941176470588</v>
      </c>
      <c r="G278" s="156">
        <f>(D278*100)/B278</f>
        <v>94.1176470588235</v>
      </c>
      <c r="H278" s="152">
        <f>((B278-B279)/B278)*100</f>
        <v>8.82352941176471</v>
      </c>
      <c r="I278" s="52">
        <f>((B278-C278)/B278)*100</f>
        <v>14.7058823529412</v>
      </c>
      <c r="J278" s="52">
        <f>((C278-B279)/C278)*100</f>
        <v>-6.89655172413793</v>
      </c>
      <c r="K278" s="161"/>
      <c r="L278" s="54">
        <v>1.82758620689655</v>
      </c>
      <c r="M278" s="124" t="s">
        <v>29</v>
      </c>
      <c r="N278" s="54">
        <v>7.98</v>
      </c>
      <c r="O278" s="56">
        <f>N278/C278</f>
        <v>0.275172413793103</v>
      </c>
      <c r="P278" s="57">
        <f>(Boosters_IOS!B278*100)/Boosters_IOS!N278</f>
        <v>27.9815497544187</v>
      </c>
      <c r="Q278" s="57">
        <f>Boosters_IOS!B278/(C278+D278)</f>
        <v>0.8545826319065</v>
      </c>
      <c r="R278" s="57">
        <f>Boosters_IOS!N278/B278</f>
        <v>5.47940265721454</v>
      </c>
      <c r="S278" s="54">
        <v>5.89655172413793</v>
      </c>
      <c r="T278" s="54">
        <v>1</v>
      </c>
      <c r="U278" s="58">
        <v>3010</v>
      </c>
      <c r="V278" s="54"/>
    </row>
    <row r="279" spans="1:22" s="168" customFormat="1" ht="22.500000" customHeight="1">
      <c r="A279" s="34">
        <v>277</v>
      </c>
      <c r="B279" s="49">
        <v>31</v>
      </c>
      <c r="C279" s="49">
        <v>30</v>
      </c>
      <c r="D279" s="49">
        <v>27</v>
      </c>
      <c r="E279" s="49">
        <v>7</v>
      </c>
      <c r="F279" s="50">
        <f>(C279*100)/B279</f>
        <v>96.7741935483871</v>
      </c>
      <c r="G279" s="156">
        <f>(D279*100)/B279</f>
        <v>87.0967741935484</v>
      </c>
      <c r="H279" s="152">
        <f>((B279-B280)/B279)*100</f>
        <v>3.2258064516129</v>
      </c>
      <c r="I279" s="52">
        <f>((B279-C279)/B279)*100</f>
        <v>3.2258064516129</v>
      </c>
      <c r="J279" s="52">
        <f>((C279-B280)/C279)*100</f>
        <v>0</v>
      </c>
      <c r="K279" s="161"/>
      <c r="L279" s="54">
        <v>1.43333333333333</v>
      </c>
      <c r="M279" s="126" t="s">
        <v>29</v>
      </c>
      <c r="N279" s="54">
        <v>0</v>
      </c>
      <c r="O279" s="56">
        <f>N279/C279</f>
        <v>0</v>
      </c>
      <c r="P279" s="57">
        <f>(Boosters_IOS!B279*100)/Boosters_IOS!N279</f>
        <v>46.4759908734305</v>
      </c>
      <c r="Q279" s="57">
        <f>Boosters_IOS!B279/(C279+D279)</f>
        <v>0.643774873612467</v>
      </c>
      <c r="R279" s="57">
        <f>Boosters_IOS!N279/B279</f>
        <v>2.54693889886998</v>
      </c>
      <c r="S279" s="54">
        <v>7.33333333333333</v>
      </c>
      <c r="T279" s="54">
        <v>0.966666666666667</v>
      </c>
      <c r="U279" s="58">
        <v>2154.16666666667</v>
      </c>
      <c r="V279" s="54"/>
    </row>
    <row r="280" spans="1:22" s="168" customFormat="1" ht="22.500000" customHeight="1">
      <c r="A280" s="34">
        <v>278</v>
      </c>
      <c r="B280" s="49">
        <v>30</v>
      </c>
      <c r="C280" s="49">
        <v>29</v>
      </c>
      <c r="D280" s="49">
        <v>21</v>
      </c>
      <c r="E280" s="49">
        <v>4</v>
      </c>
      <c r="F280" s="50">
        <f>(C280*100)/B280</f>
        <v>96.6666666666667</v>
      </c>
      <c r="G280" s="156">
        <f>(D280*100)/B280</f>
        <v>70</v>
      </c>
      <c r="H280" s="152">
        <f>((B280-B281)/B280)*100</f>
        <v>-3.33333333333333</v>
      </c>
      <c r="I280" s="52">
        <f>((B280-C280)/B280)*100</f>
        <v>3.33333333333333</v>
      </c>
      <c r="J280" s="52">
        <f>((C280-B281)/C280)*100</f>
        <v>-6.89655172413793</v>
      </c>
      <c r="K280" s="161"/>
      <c r="L280" s="54">
        <v>1.06896551724137</v>
      </c>
      <c r="M280" s="125" t="s">
        <v>28</v>
      </c>
      <c r="N280" s="54">
        <v>1.88</v>
      </c>
      <c r="O280" s="56">
        <f>N280/C280</f>
        <v>0.0648275862068966</v>
      </c>
      <c r="P280" s="57">
        <f>(Boosters_IOS!B280*100)/Boosters_IOS!N280</f>
        <v>17.8326964741159</v>
      </c>
      <c r="Q280" s="57">
        <f>Boosters_IOS!B280/(C280+D280)</f>
        <v>0.270431801820988</v>
      </c>
      <c r="R280" s="57">
        <f>Boosters_IOS!N280/B280</f>
        <v>2.52749027807357</v>
      </c>
      <c r="S280" s="54">
        <v>4.62068965517241</v>
      </c>
      <c r="T280" s="54">
        <v>0.793103448275862</v>
      </c>
      <c r="U280" s="58">
        <v>2128.96551724138</v>
      </c>
      <c r="V280" s="54"/>
    </row>
    <row r="281" spans="1:22" s="168" customFormat="1" ht="22.500000" customHeight="1">
      <c r="A281" s="34">
        <v>279</v>
      </c>
      <c r="B281" s="49">
        <v>31</v>
      </c>
      <c r="C281" s="49">
        <v>29</v>
      </c>
      <c r="D281" s="49">
        <v>31</v>
      </c>
      <c r="E281" s="49">
        <v>12</v>
      </c>
      <c r="F281" s="50">
        <f>(C281*100)/B281</f>
        <v>93.5483870967742</v>
      </c>
      <c r="G281" s="156">
        <f>(D281*100)/B281</f>
        <v>100</v>
      </c>
      <c r="H281" s="152">
        <f>((B281-B282)/B281)*100</f>
        <v>3.2258064516129</v>
      </c>
      <c r="I281" s="52">
        <f>((B281-C281)/B281)*100</f>
        <v>6.45161290322581</v>
      </c>
      <c r="J281" s="52">
        <f>((C281-B282)/C281)*100</f>
        <v>-3.44827586206897</v>
      </c>
      <c r="K281" s="161"/>
      <c r="L281" s="54">
        <v>1.37931034482758</v>
      </c>
      <c r="M281" s="117" t="s">
        <v>28</v>
      </c>
      <c r="N281" s="54">
        <v>6.87</v>
      </c>
      <c r="O281" s="56">
        <f>N281/C281</f>
        <v>0.236896551724138</v>
      </c>
      <c r="P281" s="57">
        <f>(Boosters_IOS!B281*100)/Boosters_IOS!N281</f>
        <v>45.5590645935581</v>
      </c>
      <c r="Q281" s="57">
        <f>Boosters_IOS!B281/(C281+D281)</f>
        <v>1.20794493260032</v>
      </c>
      <c r="R281" s="57">
        <f>Boosters_IOS!N281/B281</f>
        <v>5.13170749865595</v>
      </c>
      <c r="S281" s="54">
        <v>4.10344827586206</v>
      </c>
      <c r="T281" s="54">
        <v>1</v>
      </c>
      <c r="U281" s="58">
        <v>1845.34482758621</v>
      </c>
      <c r="V281" s="54"/>
    </row>
    <row r="282" spans="1:22" s="168" customFormat="1" ht="22.500000" customHeight="1">
      <c r="A282" s="34">
        <v>280</v>
      </c>
      <c r="B282" s="49">
        <v>30</v>
      </c>
      <c r="C282" s="49">
        <v>30</v>
      </c>
      <c r="D282" s="49">
        <v>29</v>
      </c>
      <c r="E282" s="49">
        <v>10</v>
      </c>
      <c r="F282" s="50">
        <f>(C282*100)/B282</f>
        <v>100</v>
      </c>
      <c r="G282" s="156">
        <f>(D282*100)/B282</f>
        <v>96.6666666666667</v>
      </c>
      <c r="H282" s="152">
        <f>((B282-B283)/B282)*100</f>
        <v>-3.33333333333333</v>
      </c>
      <c r="I282" s="52">
        <f>((B282-C282)/B282)*100</f>
        <v>0</v>
      </c>
      <c r="J282" s="52">
        <f>((C282-B283)/C282)*100</f>
        <v>-3.33333333333333</v>
      </c>
      <c r="K282" s="161"/>
      <c r="L282" s="54">
        <v>1.66666666666666</v>
      </c>
      <c r="M282" s="125" t="s">
        <v>28</v>
      </c>
      <c r="N282" s="54">
        <v>12.86</v>
      </c>
      <c r="O282" s="56">
        <f>N282/C282</f>
        <v>0.428666666666667</v>
      </c>
      <c r="P282" s="57">
        <f>(Boosters_IOS!B282*100)/Boosters_IOS!N282</f>
        <v>14.4213943148215</v>
      </c>
      <c r="Q282" s="57">
        <f>Boosters_IOS!B282/(C282+D282)</f>
        <v>0.280026950695753</v>
      </c>
      <c r="R282" s="57">
        <f>Boosters_IOS!N282/B282</f>
        <v>3.81876854400722</v>
      </c>
      <c r="S282" s="54">
        <v>8.23333333333333</v>
      </c>
      <c r="T282" s="54">
        <v>0.966666666666667</v>
      </c>
      <c r="U282" s="58">
        <v>2072.33333333333</v>
      </c>
      <c r="V282" s="54"/>
    </row>
    <row r="283" spans="1:22" s="168" customFormat="1" ht="22.500000" customHeight="1">
      <c r="A283" s="34">
        <v>281</v>
      </c>
      <c r="B283" s="49">
        <v>31</v>
      </c>
      <c r="C283" s="49">
        <v>30</v>
      </c>
      <c r="D283" s="49">
        <v>33</v>
      </c>
      <c r="E283" s="49">
        <v>9</v>
      </c>
      <c r="F283" s="50">
        <f>(C283*100)/B283</f>
        <v>96.7741935483871</v>
      </c>
      <c r="G283" s="156">
        <f>(D283*100)/B283</f>
        <v>106.451612903226</v>
      </c>
      <c r="H283" s="152">
        <f>((B283-B284)/B283)*100</f>
        <v>3.2258064516129</v>
      </c>
      <c r="I283" s="52">
        <f>((B283-C283)/B283)*100</f>
        <v>3.2258064516129</v>
      </c>
      <c r="J283" s="52">
        <f>((C283-B284)/C283)*100</f>
        <v>0</v>
      </c>
      <c r="K283" s="161"/>
      <c r="L283" s="54">
        <v>1.2</v>
      </c>
      <c r="M283" s="127" t="s">
        <v>30</v>
      </c>
      <c r="N283" s="54">
        <v>9.61</v>
      </c>
      <c r="O283" s="56">
        <f>N283/C283</f>
        <v>0.320333333333333</v>
      </c>
      <c r="P283" s="57">
        <f>(Boosters_IOS!B283*100)/Boosters_IOS!N283</f>
        <v>24.1924244868604</v>
      </c>
      <c r="Q283" s="57">
        <f>Boosters_IOS!B283/(C283+D283)</f>
        <v>0.666653063865622</v>
      </c>
      <c r="R283" s="57">
        <f>Boosters_IOS!N283/B283</f>
        <v>5.6001458886898</v>
      </c>
      <c r="S283" s="54">
        <v>10.9666666666666</v>
      </c>
      <c r="T283" s="54">
        <v>1.06666666666667</v>
      </c>
      <c r="U283" s="58">
        <v>1763.5</v>
      </c>
      <c r="V283" s="54"/>
    </row>
    <row r="284" spans="1:22" s="168" customFormat="1" ht="22.500000" customHeight="1">
      <c r="A284" s="34">
        <v>282</v>
      </c>
      <c r="B284" s="49">
        <v>30</v>
      </c>
      <c r="C284" s="49">
        <v>29</v>
      </c>
      <c r="D284" s="49">
        <v>25</v>
      </c>
      <c r="E284" s="49">
        <v>11</v>
      </c>
      <c r="F284" s="50">
        <f>(C284*100)/B284</f>
        <v>96.6666666666667</v>
      </c>
      <c r="G284" s="156">
        <f>(D284*100)/B284</f>
        <v>83.3333333333333</v>
      </c>
      <c r="H284" s="152">
        <f>((B284-B285)/B284)*100</f>
        <v>0</v>
      </c>
      <c r="I284" s="52">
        <f>((B284-C284)/B284)*100</f>
        <v>3.33333333333333</v>
      </c>
      <c r="J284" s="52">
        <f>((C284-B285)/C284)*100</f>
        <v>-3.44827586206897</v>
      </c>
      <c r="K284" s="161"/>
      <c r="L284" s="54">
        <v>1.27586206896551</v>
      </c>
      <c r="M284" s="125" t="s">
        <v>28</v>
      </c>
      <c r="N284" s="54">
        <v>1.88</v>
      </c>
      <c r="O284" s="56">
        <f>N284/C284</f>
        <v>0.0648275862068966</v>
      </c>
      <c r="P284" s="57">
        <f>(Boosters_IOS!B284*100)/Boosters_IOS!N284</f>
        <v>26.2977022907804</v>
      </c>
      <c r="Q284" s="57">
        <f>Boosters_IOS!B284/(C284+D284)</f>
        <v>0.673095470550415</v>
      </c>
      <c r="R284" s="57">
        <f>Boosters_IOS!N284/B284</f>
        <v>4.60713956525209</v>
      </c>
      <c r="S284" s="54">
        <v>5.55172413793103</v>
      </c>
      <c r="T284" s="54">
        <v>0.931034482758621</v>
      </c>
      <c r="U284" s="58">
        <v>1608.79310344828</v>
      </c>
      <c r="V284" s="54"/>
    </row>
    <row r="285" spans="1:22" s="168" customFormat="1" ht="22.500000" customHeight="1">
      <c r="A285" s="34">
        <v>283</v>
      </c>
      <c r="B285" s="49">
        <v>30</v>
      </c>
      <c r="C285" s="49">
        <v>29</v>
      </c>
      <c r="D285" s="49">
        <v>25</v>
      </c>
      <c r="E285" s="49">
        <v>6</v>
      </c>
      <c r="F285" s="50">
        <f>(C285*100)/B285</f>
        <v>96.6666666666667</v>
      </c>
      <c r="G285" s="156">
        <f>(D285*100)/B285</f>
        <v>83.3333333333333</v>
      </c>
      <c r="H285" s="152">
        <f>((B285-B286)/B285)*100</f>
        <v>0</v>
      </c>
      <c r="I285" s="52">
        <f>((B285-C285)/B285)*100</f>
        <v>3.33333333333333</v>
      </c>
      <c r="J285" s="52">
        <f>((C285-B286)/C285)*100</f>
        <v>-3.44827586206897</v>
      </c>
      <c r="K285" s="161"/>
      <c r="L285" s="54">
        <v>1.44827586206896</v>
      </c>
      <c r="M285" s="126" t="s">
        <v>29</v>
      </c>
      <c r="N285" s="54">
        <v>0</v>
      </c>
      <c r="O285" s="56">
        <f>N285/C285</f>
        <v>0</v>
      </c>
      <c r="P285" s="57">
        <f>(Boosters_IOS!B285*100)/Boosters_IOS!N285</f>
        <v>13.0799266275676</v>
      </c>
      <c r="Q285" s="57">
        <f>Boosters_IOS!B285/(C285+D285)</f>
        <v>0.227051760102309</v>
      </c>
      <c r="R285" s="57">
        <f>Boosters_IOS!N285/B285</f>
        <v>3.12458303338479</v>
      </c>
      <c r="S285" s="54">
        <v>6.24137931034482</v>
      </c>
      <c r="T285" s="54">
        <v>0.96551724137931</v>
      </c>
      <c r="U285" s="58">
        <v>1556.72413793103</v>
      </c>
      <c r="V285" s="54"/>
    </row>
    <row r="286" spans="1:22" s="168" customFormat="1" ht="22.500000" customHeight="1">
      <c r="A286" s="34">
        <v>284</v>
      </c>
      <c r="B286" s="49">
        <v>30</v>
      </c>
      <c r="C286" s="49">
        <v>30</v>
      </c>
      <c r="D286" s="49">
        <v>5</v>
      </c>
      <c r="E286" s="49">
        <v>0</v>
      </c>
      <c r="F286" s="50">
        <f>(C286*100)/B286</f>
        <v>100</v>
      </c>
      <c r="G286" s="156">
        <f>(D286*100)/B286</f>
        <v>16.6666666666667</v>
      </c>
      <c r="H286" s="152">
        <f>((B286-B287)/B286)*100</f>
        <v>0</v>
      </c>
      <c r="I286" s="52">
        <f>((B286-C286)/B286)*100</f>
        <v>0</v>
      </c>
      <c r="J286" s="52">
        <f>((C286-B287)/C286)*100</f>
        <v>0</v>
      </c>
      <c r="K286" s="161"/>
      <c r="L286" s="54">
        <v>1</v>
      </c>
      <c r="M286" s="124" t="s">
        <v>29</v>
      </c>
      <c r="N286" s="54">
        <v>0</v>
      </c>
      <c r="O286" s="56">
        <f>N286/C286</f>
        <v>0</v>
      </c>
      <c r="P286" s="57">
        <f>(Boosters_IOS!B286*100)/Boosters_IOS!N286</f>
        <v>16.8164605549357</v>
      </c>
      <c r="Q286" s="57">
        <f>Boosters_IOS!B286/(C286+D286)</f>
        <v>0.325462644808202</v>
      </c>
      <c r="R286" s="57">
        <f>Boosters_IOS!N286/B286</f>
        <v>2.25794493260032</v>
      </c>
      <c r="S286" s="54">
        <v>4.26666666666666</v>
      </c>
      <c r="T286" s="54">
        <v>0.666666666666667</v>
      </c>
      <c r="U286" s="58">
        <v>1536.33333333333</v>
      </c>
      <c r="V286" s="54"/>
    </row>
    <row r="287" spans="1:22" s="168" customFormat="1" ht="22.500000" customHeight="1">
      <c r="A287" s="34">
        <v>285</v>
      </c>
      <c r="B287" s="49">
        <v>30</v>
      </c>
      <c r="C287" s="49">
        <v>30</v>
      </c>
      <c r="D287" s="49">
        <v>33</v>
      </c>
      <c r="E287" s="49">
        <v>9</v>
      </c>
      <c r="F287" s="50">
        <f>(C287*100)/B287</f>
        <v>100</v>
      </c>
      <c r="G287" s="156">
        <f>(D287*100)/B287</f>
        <v>110</v>
      </c>
      <c r="H287" s="152">
        <f>((B287-B288)/B287)*100</f>
        <v>0</v>
      </c>
      <c r="I287" s="52">
        <f>((B287-C287)/B287)*100</f>
        <v>0</v>
      </c>
      <c r="J287" s="52">
        <f>((C287-B288)/C287)*100</f>
        <v>0</v>
      </c>
      <c r="K287" s="161"/>
      <c r="L287" s="54">
        <v>1.3</v>
      </c>
      <c r="M287" s="117" t="s">
        <v>28</v>
      </c>
      <c r="N287" s="54">
        <v>9.51</v>
      </c>
      <c r="O287" s="56">
        <f>N287/C287</f>
        <v>0.317</v>
      </c>
      <c r="P287" s="57">
        <f>(Boosters_IOS!B287*100)/Boosters_IOS!N287</f>
        <v>10.9024212204398</v>
      </c>
      <c r="Q287" s="57">
        <f>Boosters_IOS!B287/(C287+D287)</f>
        <v>0.304342503251765</v>
      </c>
      <c r="R287" s="57">
        <f>Boosters_IOS!N287/B287</f>
        <v>5.86217725316362</v>
      </c>
      <c r="S287" s="54">
        <v>6.66666666666666</v>
      </c>
      <c r="T287" s="54">
        <v>0.966666666666667</v>
      </c>
      <c r="U287" s="58">
        <v>1294.33333333333</v>
      </c>
      <c r="V287" s="54"/>
    </row>
    <row r="288" spans="1:22" s="168" customFormat="1" ht="22.500000" customHeight="1">
      <c r="A288" s="34">
        <v>286</v>
      </c>
      <c r="B288" s="49">
        <v>30</v>
      </c>
      <c r="C288" s="49">
        <v>30</v>
      </c>
      <c r="D288" s="49">
        <v>24</v>
      </c>
      <c r="E288" s="49">
        <v>9</v>
      </c>
      <c r="F288" s="50">
        <f>(C288*100)/B288</f>
        <v>100</v>
      </c>
      <c r="G288" s="156">
        <f>(D288*100)/B288</f>
        <v>80</v>
      </c>
      <c r="H288" s="152">
        <f>((B288-B289)/B288)*100</f>
        <v>0</v>
      </c>
      <c r="I288" s="52">
        <f>((B288-C288)/B288)*100</f>
        <v>0</v>
      </c>
      <c r="J288" s="52">
        <f>((C288-B289)/C288)*100</f>
        <v>0</v>
      </c>
      <c r="K288" s="161"/>
      <c r="L288" s="54">
        <v>1.23333333333333</v>
      </c>
      <c r="M288" s="128" t="s">
        <v>30</v>
      </c>
      <c r="N288" s="54">
        <v>4.49</v>
      </c>
      <c r="O288" s="56">
        <f>N288/C288</f>
        <v>0.149666666666667</v>
      </c>
      <c r="P288" s="57">
        <f>(Boosters_IOS!B288*100)/Boosters_IOS!N288</f>
        <v>17.1733323738155</v>
      </c>
      <c r="Q288" s="57">
        <f>Boosters_IOS!B288/(C288+D288)</f>
        <v>0.46859213384488</v>
      </c>
      <c r="R288" s="57">
        <f>Boosters_IOS!N288/B288</f>
        <v>4.91148614934416</v>
      </c>
      <c r="S288" s="54">
        <v>9.2</v>
      </c>
      <c r="T288" s="54">
        <v>0.933333333333333</v>
      </c>
      <c r="U288" s="58">
        <v>1364.66666666667</v>
      </c>
      <c r="V288" s="54"/>
    </row>
    <row r="289" spans="1:22" s="168" customFormat="1" ht="22.500000" customHeight="1">
      <c r="A289" s="34">
        <v>287</v>
      </c>
      <c r="B289" s="49">
        <v>30</v>
      </c>
      <c r="C289" s="49">
        <v>28</v>
      </c>
      <c r="D289" s="49">
        <v>28</v>
      </c>
      <c r="E289" s="49">
        <v>14</v>
      </c>
      <c r="F289" s="50">
        <f>(C289*100)/B289</f>
        <v>93.3333333333333</v>
      </c>
      <c r="G289" s="156">
        <f>(D289*100)/B289</f>
        <v>93.3333333333333</v>
      </c>
      <c r="H289" s="152">
        <f>((B289-B290)/B289)*100</f>
        <v>3.33333333333333</v>
      </c>
      <c r="I289" s="52">
        <f>((B289-C289)/B289)*100</f>
        <v>6.66666666666667</v>
      </c>
      <c r="J289" s="52">
        <f>((C289-B290)/C289)*100</f>
        <v>-3.57142857142857</v>
      </c>
      <c r="K289" s="161"/>
      <c r="L289" s="54">
        <v>1.21428571428571</v>
      </c>
      <c r="M289" s="117" t="s">
        <v>28</v>
      </c>
      <c r="N289" s="54">
        <v>5.99</v>
      </c>
      <c r="O289" s="56">
        <f>N289/C289</f>
        <v>0.213928571428571</v>
      </c>
      <c r="P289" s="57">
        <f>(Boosters_IOS!B289*100)/Boosters_IOS!N289</f>
        <v>8.36331186083111</v>
      </c>
      <c r="Q289" s="57">
        <f>Boosters_IOS!B289/(C289+D289)</f>
        <v>0.398285271921849</v>
      </c>
      <c r="R289" s="57">
        <f>Boosters_IOS!N289/B289</f>
        <v>8.88961039947281</v>
      </c>
      <c r="S289" s="54">
        <v>8.28571428571428</v>
      </c>
      <c r="T289" s="54">
        <v>1</v>
      </c>
      <c r="U289" s="58">
        <v>1188.92857142857</v>
      </c>
      <c r="V289" s="54"/>
    </row>
    <row r="290" spans="1:22" s="168" customFormat="1" ht="22.500000" customHeight="1">
      <c r="A290" s="34">
        <v>288</v>
      </c>
      <c r="B290" s="49">
        <v>29</v>
      </c>
      <c r="C290" s="49">
        <v>28</v>
      </c>
      <c r="D290" s="49">
        <v>24</v>
      </c>
      <c r="E290" s="49">
        <v>2</v>
      </c>
      <c r="F290" s="50">
        <f>(C290*100)/B290</f>
        <v>96.551724137931</v>
      </c>
      <c r="G290" s="156">
        <f>(D290*100)/B290</f>
        <v>82.7586206896552</v>
      </c>
      <c r="H290" s="152">
        <f>((B290-B291)/B290)*100</f>
        <v>-3.44827586206897</v>
      </c>
      <c r="I290" s="52">
        <f>((B290-C290)/B290)*100</f>
        <v>3.44827586206897</v>
      </c>
      <c r="J290" s="52">
        <f>((C290-B291)/C290)*100</f>
        <v>-7.14285714285714</v>
      </c>
      <c r="K290" s="161"/>
      <c r="L290" s="54">
        <v>1.03571428571428</v>
      </c>
      <c r="M290" s="125" t="s">
        <v>28</v>
      </c>
      <c r="N290" s="54">
        <v>0</v>
      </c>
      <c r="O290" s="56">
        <f>N290/C290</f>
        <v>0</v>
      </c>
      <c r="P290" s="57">
        <f>(Boosters_IOS!B290*100)/Boosters_IOS!N290</f>
        <v>8.60512114071322</v>
      </c>
      <c r="Q290" s="57">
        <f>Boosters_IOS!B290/(C290+D290)</f>
        <v>0.18310750175095</v>
      </c>
      <c r="R290" s="57">
        <f>Boosters_IOS!N290/B290</f>
        <v>3.81552667796138</v>
      </c>
      <c r="S290" s="54">
        <v>11.1428571428571</v>
      </c>
      <c r="T290" s="54">
        <v>0.964285714285714</v>
      </c>
      <c r="U290" s="58">
        <v>1090.89285714286</v>
      </c>
      <c r="V290" s="54"/>
    </row>
    <row r="291" spans="1:22" s="168" customFormat="1" ht="22.500000" customHeight="1">
      <c r="A291" s="34">
        <v>289</v>
      </c>
      <c r="B291" s="49">
        <v>30</v>
      </c>
      <c r="C291" s="49">
        <v>29</v>
      </c>
      <c r="D291" s="49">
        <v>10</v>
      </c>
      <c r="E291" s="49">
        <v>3</v>
      </c>
      <c r="F291" s="50">
        <f>(C291*100)/B291</f>
        <v>96.6666666666667</v>
      </c>
      <c r="G291" s="156">
        <f>(D291*100)/B291</f>
        <v>33.3333333333333</v>
      </c>
      <c r="H291" s="152">
        <f>((B291-B292)/B291)*100</f>
        <v>6.66666666666667</v>
      </c>
      <c r="I291" s="52">
        <f>((B291-C291)/B291)*100</f>
        <v>3.33333333333333</v>
      </c>
      <c r="J291" s="52">
        <f>((C291-B292)/C291)*100</f>
        <v>3.44827586206897</v>
      </c>
      <c r="K291" s="161"/>
      <c r="L291" s="54">
        <v>1.06896551724137</v>
      </c>
      <c r="M291" s="126" t="s">
        <v>29</v>
      </c>
      <c r="N291" s="54">
        <v>3.87</v>
      </c>
      <c r="O291" s="56">
        <f>N291/C291</f>
        <v>0.133448275862069</v>
      </c>
      <c r="P291" s="57">
        <f>(Boosters_IOS!B291*100)/Boosters_IOS!N291</f>
        <v>27.2372269120202</v>
      </c>
      <c r="Q291" s="57">
        <f>Boosters_IOS!B291/(C291+D291)</f>
        <v>0.464881987763137</v>
      </c>
      <c r="R291" s="57">
        <f>Boosters_IOS!N291/B291</f>
        <v>2.21882567577161</v>
      </c>
      <c r="S291" s="54">
        <v>21.3793103448275</v>
      </c>
      <c r="T291" s="54">
        <v>0.724137931034483</v>
      </c>
      <c r="U291" s="58">
        <v>1054.48275862069</v>
      </c>
      <c r="V291" s="54"/>
    </row>
    <row r="292" spans="1:22" s="168" customFormat="1" ht="22.500000" customHeight="1">
      <c r="A292" s="34">
        <v>290</v>
      </c>
      <c r="B292" s="49">
        <v>28</v>
      </c>
      <c r="C292" s="49">
        <v>25</v>
      </c>
      <c r="D292" s="49">
        <v>23</v>
      </c>
      <c r="E292" s="49">
        <v>8</v>
      </c>
      <c r="F292" s="50">
        <f>(C292*100)/B292</f>
        <v>89.2857142857143</v>
      </c>
      <c r="G292" s="156">
        <f>(D292*100)/B292</f>
        <v>82.1428571428571</v>
      </c>
      <c r="H292" s="152">
        <f>((B292-B293)/B292)*100</f>
        <v>7.14285714285714</v>
      </c>
      <c r="I292" s="52">
        <f>((B292-C292)/B292)*100</f>
        <v>10.7142857142857</v>
      </c>
      <c r="J292" s="52">
        <f>((C292-B293)/C292)*100</f>
        <v>-4</v>
      </c>
      <c r="K292" s="161"/>
      <c r="L292" s="54">
        <v>1.48</v>
      </c>
      <c r="M292" s="124" t="s">
        <v>29</v>
      </c>
      <c r="N292" s="54">
        <v>14.51</v>
      </c>
      <c r="O292" s="56">
        <f>N292/C292</f>
        <v>0.5804</v>
      </c>
      <c r="P292" s="57">
        <f>(Boosters_IOS!B292*100)/Boosters_IOS!N292</f>
        <v>13.059737431623</v>
      </c>
      <c r="Q292" s="57">
        <f>Boosters_IOS!B292/(C292+D292)</f>
        <v>0.668465840920784</v>
      </c>
      <c r="R292" s="57">
        <f>Boosters_IOS!N292/B292</f>
        <v>8.77461317716607</v>
      </c>
      <c r="S292" s="54">
        <v>8.12</v>
      </c>
      <c r="T292" s="54">
        <v>1.12</v>
      </c>
      <c r="U292" s="58">
        <v>1051.8</v>
      </c>
      <c r="V292" s="54"/>
    </row>
    <row r="293" spans="1:22" s="168" customFormat="1" ht="22.500000" customHeight="1">
      <c r="A293" s="34">
        <v>291</v>
      </c>
      <c r="B293" s="49">
        <v>26</v>
      </c>
      <c r="C293" s="49">
        <v>26</v>
      </c>
      <c r="D293" s="49">
        <v>5</v>
      </c>
      <c r="E293" s="49">
        <v>3</v>
      </c>
      <c r="F293" s="50">
        <f>(C293*100)/B293</f>
        <v>100</v>
      </c>
      <c r="G293" s="156">
        <f>(D293*100)/B293</f>
        <v>19.2307692307692</v>
      </c>
      <c r="H293" s="152">
        <f>((B293-B294)/B293)*100</f>
        <v>0</v>
      </c>
      <c r="I293" s="52">
        <f>((B293-C293)/B293)*100</f>
        <v>0</v>
      </c>
      <c r="J293" s="52">
        <f>((C293-B294)/C293)*100</f>
        <v>0</v>
      </c>
      <c r="K293" s="161"/>
      <c r="L293" s="54">
        <v>1.07692307692307</v>
      </c>
      <c r="M293" s="117" t="s">
        <v>28</v>
      </c>
      <c r="N293" s="54">
        <v>0</v>
      </c>
      <c r="O293" s="56">
        <f>N293/C293</f>
        <v>0</v>
      </c>
      <c r="P293" s="57">
        <f>(Boosters_IOS!B293*100)/Boosters_IOS!N293</f>
        <v>11.4003023098619</v>
      </c>
      <c r="Q293" s="57">
        <f>Boosters_IOS!B293/(C293+D293)</f>
        <v>0.258064516129032</v>
      </c>
      <c r="R293" s="57">
        <f>Boosters_IOS!N293/B293</f>
        <v>2.69898375787928</v>
      </c>
      <c r="S293" s="54">
        <v>5.11538461538461</v>
      </c>
      <c r="T293" s="54">
        <v>0.692307692307692</v>
      </c>
      <c r="U293" s="58">
        <v>1125.57692307692</v>
      </c>
      <c r="V293" s="54"/>
    </row>
    <row r="294" spans="1:22" s="168" customFormat="1" ht="22.500000" customHeight="1">
      <c r="A294" s="34">
        <v>292</v>
      </c>
      <c r="B294" s="49">
        <v>26</v>
      </c>
      <c r="C294" s="49">
        <v>26</v>
      </c>
      <c r="D294" s="49">
        <v>24</v>
      </c>
      <c r="E294" s="49">
        <v>8</v>
      </c>
      <c r="F294" s="50">
        <f>(C294*100)/B294</f>
        <v>100</v>
      </c>
      <c r="G294" s="156">
        <f>(D294*100)/B294</f>
        <v>92.3076923076923</v>
      </c>
      <c r="H294" s="152">
        <f>((B294-B295)/B294)*100</f>
        <v>3.84615384615385</v>
      </c>
      <c r="I294" s="52">
        <f>((B294-C294)/B294)*100</f>
        <v>0</v>
      </c>
      <c r="J294" s="52">
        <f>((C294-B295)/C294)*100</f>
        <v>3.84615384615385</v>
      </c>
      <c r="K294" s="161"/>
      <c r="L294" s="54">
        <v>1.07692307692307</v>
      </c>
      <c r="M294" s="124" t="s">
        <v>29</v>
      </c>
      <c r="N294" s="54">
        <v>0</v>
      </c>
      <c r="O294" s="56">
        <f>N294/C294</f>
        <v>0</v>
      </c>
      <c r="P294" s="57">
        <f>(Boosters_IOS!B294*100)/Boosters_IOS!N294</f>
        <v>28.2867088066225</v>
      </c>
      <c r="Q294" s="57">
        <f>Boosters_IOS!B294/(C294+D294)</f>
        <v>0.789551058649695</v>
      </c>
      <c r="R294" s="57">
        <f>Boosters_IOS!N294/B294</f>
        <v>5.36777689783657</v>
      </c>
      <c r="S294" s="54">
        <v>6.96153846153846</v>
      </c>
      <c r="T294" s="54">
        <v>0.923076923076923</v>
      </c>
      <c r="U294" s="58">
        <v>1018.46153846154</v>
      </c>
      <c r="V294" s="54"/>
    </row>
    <row r="295" spans="1:22" s="168" customFormat="1" ht="22.500000" customHeight="1">
      <c r="A295" s="34">
        <v>293</v>
      </c>
      <c r="B295" s="49">
        <v>25</v>
      </c>
      <c r="C295" s="49">
        <v>25</v>
      </c>
      <c r="D295" s="49">
        <v>25</v>
      </c>
      <c r="E295" s="49">
        <v>10</v>
      </c>
      <c r="F295" s="50">
        <f>(C295*100)/B295</f>
        <v>100</v>
      </c>
      <c r="G295" s="156">
        <f>(D295*100)/B295</f>
        <v>100</v>
      </c>
      <c r="H295" s="152">
        <f>((B295-B296)/B295)*100</f>
        <v>-4</v>
      </c>
      <c r="I295" s="52">
        <f>((B295-C295)/B295)*100</f>
        <v>0</v>
      </c>
      <c r="J295" s="52">
        <f>((C295-B296)/C295)*100</f>
        <v>-4</v>
      </c>
      <c r="K295" s="161"/>
      <c r="L295" s="54">
        <v>1.16</v>
      </c>
      <c r="M295" s="127" t="s">
        <v>30</v>
      </c>
      <c r="N295" s="54">
        <v>0</v>
      </c>
      <c r="O295" s="56">
        <f>N295/C295</f>
        <v>0</v>
      </c>
      <c r="P295" s="57">
        <f>(Boosters_IOS!B295*100)/Boosters_IOS!N295</f>
        <v>23.7125213665415</v>
      </c>
      <c r="Q295" s="57">
        <f>Boosters_IOS!B295/(C295+D295)</f>
        <v>0.596511306373459</v>
      </c>
      <c r="R295" s="57">
        <f>Boosters_IOS!N295/B295</f>
        <v>5.03119256828707</v>
      </c>
      <c r="S295" s="54">
        <v>10.48</v>
      </c>
      <c r="T295" s="54">
        <v>0.92</v>
      </c>
      <c r="U295" s="58">
        <v>910.6</v>
      </c>
      <c r="V295" s="54"/>
    </row>
    <row r="296" spans="1:22" s="168" customFormat="1" ht="22.500000" customHeight="1">
      <c r="A296" s="34">
        <v>294</v>
      </c>
      <c r="B296" s="49">
        <v>26</v>
      </c>
      <c r="C296" s="49">
        <v>25</v>
      </c>
      <c r="D296" s="49">
        <v>25</v>
      </c>
      <c r="E296" s="49">
        <v>14</v>
      </c>
      <c r="F296" s="50">
        <f>(C296*100)/B296</f>
        <v>96.1538461538462</v>
      </c>
      <c r="G296" s="156">
        <f>(D296*100)/B296</f>
        <v>96.1538461538462</v>
      </c>
      <c r="H296" s="152">
        <f>((B296-B297)/B296)*100</f>
        <v>0</v>
      </c>
      <c r="I296" s="52">
        <f>((B296-C296)/B296)*100</f>
        <v>3.84615384615385</v>
      </c>
      <c r="J296" s="52">
        <f>((C296-B297)/C296)*100</f>
        <v>-4</v>
      </c>
      <c r="K296" s="161"/>
      <c r="L296" s="54">
        <v>1.96</v>
      </c>
      <c r="M296" s="124" t="s">
        <v>29</v>
      </c>
      <c r="N296" s="54">
        <v>6.49</v>
      </c>
      <c r="O296" s="56">
        <f>N296/C296</f>
        <v>0.2596</v>
      </c>
      <c r="P296" s="57">
        <f>(Boosters_IOS!B296*100)/Boosters_IOS!N296</f>
        <v>18.9762264564665</v>
      </c>
      <c r="Q296" s="57">
        <f>Boosters_IOS!B296/(C296+D296)</f>
        <v>0.857374910015435</v>
      </c>
      <c r="R296" s="57">
        <f>Boosters_IOS!N296/B296</f>
        <v>8.68875541540545</v>
      </c>
      <c r="S296" s="54">
        <v>5.52</v>
      </c>
      <c r="T296" s="54">
        <v>1</v>
      </c>
      <c r="U296" s="58">
        <v>947.8</v>
      </c>
      <c r="V296" s="54"/>
    </row>
    <row r="297" spans="1:22" s="168" customFormat="1" ht="22.500000" customHeight="1">
      <c r="A297" s="34">
        <v>295</v>
      </c>
      <c r="B297" s="49">
        <v>26</v>
      </c>
      <c r="C297" s="49">
        <v>25</v>
      </c>
      <c r="D297" s="49">
        <v>17</v>
      </c>
      <c r="E297" s="49">
        <v>5</v>
      </c>
      <c r="F297" s="50">
        <f>(C297*100)/B297</f>
        <v>96.1538461538462</v>
      </c>
      <c r="G297" s="156">
        <f>(D297*100)/B297</f>
        <v>65.3846153846154</v>
      </c>
      <c r="H297" s="152">
        <f>((B297-B298)/B297)*100</f>
        <v>7.69230769230769</v>
      </c>
      <c r="I297" s="52">
        <f>((B297-C297)/B297)*100</f>
        <v>3.84615384615385</v>
      </c>
      <c r="J297" s="52">
        <f>((C297-B298)/C297)*100</f>
        <v>4</v>
      </c>
      <c r="K297" s="161"/>
      <c r="L297" s="54">
        <v>1.4</v>
      </c>
      <c r="M297" s="126" t="s">
        <v>29</v>
      </c>
      <c r="N297" s="54">
        <v>0</v>
      </c>
      <c r="O297" s="56">
        <f>N297/C297</f>
        <v>0</v>
      </c>
      <c r="P297" s="57">
        <f>(Boosters_IOS!B297*100)/Boosters_IOS!N297</f>
        <v>9.25202685704119</v>
      </c>
      <c r="Q297" s="57">
        <f>Boosters_IOS!B297/(C297+D297)</f>
        <v>0.265009464827675</v>
      </c>
      <c r="R297" s="57">
        <f>Boosters_IOS!N297/B297</f>
        <v>4.62701004902661</v>
      </c>
      <c r="S297" s="54">
        <v>4.96</v>
      </c>
      <c r="T297" s="54">
        <v>0.92</v>
      </c>
      <c r="U297" s="58">
        <v>989.2</v>
      </c>
      <c r="V297" s="54"/>
    </row>
    <row r="298" spans="1:22" s="168" customFormat="1" ht="22.500000" customHeight="1">
      <c r="A298" s="34">
        <v>296</v>
      </c>
      <c r="B298" s="49">
        <v>24</v>
      </c>
      <c r="C298" s="49">
        <v>24</v>
      </c>
      <c r="D298" s="49">
        <v>23</v>
      </c>
      <c r="E298" s="49">
        <v>7</v>
      </c>
      <c r="F298" s="50">
        <f>(C298*100)/B298</f>
        <v>100</v>
      </c>
      <c r="G298" s="156">
        <f>(D298*100)/B298</f>
        <v>95.8333333333333</v>
      </c>
      <c r="H298" s="152">
        <f>((B298-B299)/B298)*100</f>
        <v>-8.33333333333333</v>
      </c>
      <c r="I298" s="52">
        <f>((B298-C298)/B298)*100</f>
        <v>0</v>
      </c>
      <c r="J298" s="52">
        <f>((C298-B299)/C298)*100</f>
        <v>-8.33333333333333</v>
      </c>
      <c r="K298" s="161"/>
      <c r="L298" s="54">
        <v>1.375</v>
      </c>
      <c r="M298" s="124" t="s">
        <v>29</v>
      </c>
      <c r="N298" s="54">
        <v>0</v>
      </c>
      <c r="O298" s="56">
        <f>N298/C298</f>
        <v>0</v>
      </c>
      <c r="P298" s="57">
        <f>(Boosters_IOS!B298*100)/Boosters_IOS!N298</f>
        <v>6.68970954733561</v>
      </c>
      <c r="Q298" s="57">
        <f>Boosters_IOS!B298/(C298+D298)</f>
        <v>0.269191225825782</v>
      </c>
      <c r="R298" s="57">
        <f>Boosters_IOS!N298/B298</f>
        <v>7.88025469335139</v>
      </c>
      <c r="S298" s="54">
        <v>8.75</v>
      </c>
      <c r="T298" s="54">
        <v>0.875</v>
      </c>
      <c r="U298" s="58">
        <v>809.583333333333</v>
      </c>
      <c r="V298" s="54"/>
    </row>
    <row r="299" spans="1:22" s="168" customFormat="1" ht="22.500000" customHeight="1">
      <c r="A299" s="34">
        <v>297</v>
      </c>
      <c r="B299" s="49">
        <v>26</v>
      </c>
      <c r="C299" s="49">
        <v>25</v>
      </c>
      <c r="D299" s="49">
        <v>15</v>
      </c>
      <c r="E299" s="49">
        <v>5</v>
      </c>
      <c r="F299" s="50">
        <f>(C299*100)/B299</f>
        <v>96.1538461538462</v>
      </c>
      <c r="G299" s="156">
        <f>(D299*100)/B299</f>
        <v>57.6923076923077</v>
      </c>
      <c r="H299" s="152">
        <f>((B299-B300)/B299)*100</f>
        <v>-3.84615384615385</v>
      </c>
      <c r="I299" s="52">
        <f>((B299-C299)/B299)*100</f>
        <v>3.84615384615385</v>
      </c>
      <c r="J299" s="52">
        <f>((C299-B300)/C299)*100</f>
        <v>-8</v>
      </c>
      <c r="K299" s="161"/>
      <c r="L299" s="54">
        <v>1.28</v>
      </c>
      <c r="M299" s="117" t="s">
        <v>28</v>
      </c>
      <c r="N299" s="54">
        <v>0</v>
      </c>
      <c r="O299" s="56">
        <f>N299/C299</f>
        <v>0</v>
      </c>
      <c r="P299" s="57">
        <f>(Boosters_IOS!B299*100)/Boosters_IOS!N299</f>
        <v>26.9684621984767</v>
      </c>
      <c r="Q299" s="57">
        <f>Boosters_IOS!B299/(C299+D299)</f>
        <v>0.647819566483412</v>
      </c>
      <c r="R299" s="57">
        <f>Boosters_IOS!N299/B299</f>
        <v>3.69559628414353</v>
      </c>
      <c r="S299" s="54">
        <v>6.36</v>
      </c>
      <c r="T299" s="54">
        <v>0.84</v>
      </c>
      <c r="U299" s="58">
        <v>813</v>
      </c>
      <c r="V299" s="54"/>
    </row>
    <row r="300" spans="1:22" s="168" customFormat="1" ht="22.500000" customHeight="1">
      <c r="A300" s="34">
        <v>298</v>
      </c>
      <c r="B300" s="49">
        <v>27</v>
      </c>
      <c r="C300" s="49">
        <v>27</v>
      </c>
      <c r="D300" s="49">
        <v>25</v>
      </c>
      <c r="E300" s="49">
        <v>13</v>
      </c>
      <c r="F300" s="50">
        <f>(C300*100)/B300</f>
        <v>100</v>
      </c>
      <c r="G300" s="156">
        <f>(D300*100)/B300</f>
        <v>92.5925925925926</v>
      </c>
      <c r="H300" s="152">
        <f>((B300-B301)/B300)*100</f>
        <v>-7.40740740740741</v>
      </c>
      <c r="I300" s="52">
        <f>((B300-C300)/B300)*100</f>
        <v>0</v>
      </c>
      <c r="J300" s="52">
        <f>((C300-B301)/C300)*100</f>
        <v>-7.40740740740741</v>
      </c>
      <c r="K300" s="161"/>
      <c r="L300" s="54">
        <v>1.44444444444444</v>
      </c>
      <c r="M300" s="124" t="s">
        <v>29</v>
      </c>
      <c r="N300" s="54">
        <v>2.67</v>
      </c>
      <c r="O300" s="56">
        <f>N300/C300</f>
        <v>0.0988888888888889</v>
      </c>
      <c r="P300" s="57">
        <f>(Boosters_IOS!B300*100)/Boosters_IOS!N300</f>
        <v>19.3355684688276</v>
      </c>
      <c r="Q300" s="57">
        <f>Boosters_IOS!B300/(C300+D300)</f>
        <v>0.836937175280453</v>
      </c>
      <c r="R300" s="57">
        <f>Boosters_IOS!N300/B300</f>
        <v>8.33634142612603</v>
      </c>
      <c r="S300" s="54">
        <v>6.44444444444444</v>
      </c>
      <c r="T300" s="54">
        <v>0.962962962962963</v>
      </c>
      <c r="U300" s="58">
        <v>468.888888888889</v>
      </c>
      <c r="V300" s="54"/>
    </row>
    <row r="301" spans="1:22" s="168" customFormat="1" ht="22.500000" customHeight="1">
      <c r="A301" s="34">
        <v>299</v>
      </c>
      <c r="B301" s="49">
        <v>29</v>
      </c>
      <c r="C301" s="49">
        <v>23</v>
      </c>
      <c r="D301" s="49">
        <v>27</v>
      </c>
      <c r="E301" s="49">
        <v>15</v>
      </c>
      <c r="F301" s="50">
        <f>(C301*100)/B301</f>
        <v>79.3103448275862</v>
      </c>
      <c r="G301" s="156">
        <f>(D301*100)/B301</f>
        <v>93.1034482758621</v>
      </c>
      <c r="H301" s="152">
        <f>((B301-B302)/B301)*100</f>
        <v>13.7931034482759</v>
      </c>
      <c r="I301" s="52">
        <f>((B301-C301)/B301)*100</f>
        <v>20.6896551724138</v>
      </c>
      <c r="J301" s="52">
        <f>((C301-B302)/C301)*100</f>
        <v>-8.69565217391304</v>
      </c>
      <c r="K301" s="161"/>
      <c r="L301" s="54">
        <v>2.13043478260869</v>
      </c>
      <c r="M301" s="127" t="s">
        <v>30</v>
      </c>
      <c r="N301" s="54">
        <v>22.47</v>
      </c>
      <c r="O301" s="56">
        <f>N301/C301</f>
        <v>0.97695652173913</v>
      </c>
      <c r="P301" s="57">
        <f>(Boosters_IOS!B301*100)/Boosters_IOS!N301</f>
        <v>20.6904247039519</v>
      </c>
      <c r="Q301" s="57">
        <f>Boosters_IOS!B301/(C301+D301)</f>
        <v>0.927806711836424</v>
      </c>
      <c r="R301" s="57">
        <f>Boosters_IOS!N301/B301</f>
        <v>7.73143503545397</v>
      </c>
      <c r="S301" s="54">
        <v>5.60869565217391</v>
      </c>
      <c r="T301" s="54">
        <v>1.17391304347826</v>
      </c>
      <c r="U301" s="58">
        <v>537.391304347826</v>
      </c>
      <c r="V301" s="54"/>
    </row>
    <row r="302" spans="1:22" s="168" customFormat="1" ht="22.500000" customHeight="1">
      <c r="A302" s="34">
        <v>300</v>
      </c>
      <c r="B302" s="49">
        <v>25</v>
      </c>
      <c r="C302" s="49">
        <v>24</v>
      </c>
      <c r="D302" s="49">
        <v>17</v>
      </c>
      <c r="E302" s="49">
        <v>5</v>
      </c>
      <c r="F302" s="50">
        <f>(C302*100)/B302</f>
        <v>96</v>
      </c>
      <c r="G302" s="156">
        <f>(D302*100)/B302</f>
        <v>68</v>
      </c>
      <c r="H302" s="152">
        <f>((B302-B303)/B302)*100</f>
        <v>0</v>
      </c>
      <c r="I302" s="52">
        <f>((B302-C302)/B302)*100</f>
        <v>4</v>
      </c>
      <c r="J302" s="52">
        <f>((C302-B303)/C302)*100</f>
        <v>-4.16666666666667</v>
      </c>
      <c r="K302" s="161"/>
      <c r="L302" s="54">
        <v>1.20833333333333</v>
      </c>
      <c r="M302" s="124" t="s">
        <v>29</v>
      </c>
      <c r="N302" s="54">
        <v>25.31</v>
      </c>
      <c r="O302" s="56">
        <f>N302/C302</f>
        <v>1.05458333333333</v>
      </c>
      <c r="P302" s="57">
        <f>(Boosters_IOS!B302*100)/Boosters_IOS!N302</f>
        <v>22.1940042836407</v>
      </c>
      <c r="Q302" s="57">
        <f>Boosters_IOS!B302/(C302+D302)</f>
        <v>0.647921226174346</v>
      </c>
      <c r="R302" s="57">
        <f>Boosters_IOS!N302/B302</f>
        <v>4.78773815371916</v>
      </c>
      <c r="S302" s="54">
        <v>6.625</v>
      </c>
      <c r="T302" s="54">
        <v>0.75</v>
      </c>
      <c r="U302" s="58">
        <v>1329.58333333333</v>
      </c>
      <c r="V302" s="54"/>
    </row>
    <row r="303" spans="1:22" s="168" customFormat="1" ht="22.500000" customHeight="1">
      <c r="A303" s="34">
        <v>301</v>
      </c>
      <c r="B303" s="49">
        <v>25</v>
      </c>
      <c r="C303" s="49">
        <v>25</v>
      </c>
      <c r="D303" s="49">
        <v>0</v>
      </c>
      <c r="E303" s="49">
        <v>0</v>
      </c>
      <c r="F303" s="50">
        <f>(C303*100)/B303</f>
        <v>100</v>
      </c>
      <c r="G303" s="156">
        <f>(D303*100)/B303</f>
        <v>0</v>
      </c>
      <c r="H303" s="152">
        <f>((B303-B304)/B303)*100</f>
        <v>0</v>
      </c>
      <c r="I303" s="52">
        <f>((B303-C303)/B303)*100</f>
        <v>0</v>
      </c>
      <c r="J303" s="52">
        <f>((C303-B304)/C303)*100</f>
        <v>0</v>
      </c>
      <c r="K303" s="155"/>
      <c r="L303" s="54">
        <v>1.04</v>
      </c>
      <c r="M303" s="135" t="s">
        <v>28</v>
      </c>
      <c r="N303" s="54">
        <v>0</v>
      </c>
      <c r="O303" s="56">
        <f>N303/C303</f>
        <v>0</v>
      </c>
      <c r="P303" s="57">
        <f>(Boosters_IOS!B303*100)/Boosters_IOS!N303</f>
        <v>0</v>
      </c>
      <c r="Q303" s="57">
        <f>Boosters_IOS!B303/(C303+D303)</f>
        <v>0</v>
      </c>
      <c r="R303" s="57">
        <f>Boosters_IOS!N303/B303</f>
        <v>2.24</v>
      </c>
      <c r="S303" s="54">
        <v>10.04</v>
      </c>
      <c r="T303" s="54">
        <v>0.48</v>
      </c>
      <c r="U303" s="58">
        <v>1395</v>
      </c>
      <c r="V303" s="54"/>
    </row>
    <row r="304" spans="1:22" s="168" customFormat="1" ht="22.500000" customHeight="1">
      <c r="A304" s="34">
        <v>302</v>
      </c>
      <c r="B304" s="49">
        <v>25</v>
      </c>
      <c r="C304" s="49">
        <v>25</v>
      </c>
      <c r="D304" s="49">
        <v>17</v>
      </c>
      <c r="E304" s="49">
        <v>9</v>
      </c>
      <c r="F304" s="50">
        <f>(C304*100)/B304</f>
        <v>100</v>
      </c>
      <c r="G304" s="156">
        <f>(D304*100)/B304</f>
        <v>68</v>
      </c>
      <c r="H304" s="152">
        <f>((B304-B305)/B304)*100</f>
        <v>4</v>
      </c>
      <c r="I304" s="52">
        <f>((B304-C304)/B304)*100</f>
        <v>0</v>
      </c>
      <c r="J304" s="52">
        <f>((C304-B305)/C304)*100</f>
        <v>4</v>
      </c>
      <c r="K304" s="155"/>
      <c r="L304" s="54">
        <v>1.64</v>
      </c>
      <c r="M304" s="136" t="s">
        <v>28</v>
      </c>
      <c r="N304" s="54">
        <v>6.66</v>
      </c>
      <c r="O304" s="56">
        <f>N304/C304</f>
        <v>0.2664</v>
      </c>
      <c r="P304" s="57">
        <f>(Boosters_IOS!B304*100)/Boosters_IOS!N304</f>
        <v>0</v>
      </c>
      <c r="Q304" s="57">
        <f>Boosters_IOS!B304/(C304+D304)</f>
        <v>0</v>
      </c>
      <c r="R304" s="57">
        <f>Boosters_IOS!N304/B304</f>
        <v>4.33036324370372</v>
      </c>
      <c r="S304" s="54">
        <v>7.92</v>
      </c>
      <c r="T304" s="54">
        <v>0.64</v>
      </c>
      <c r="U304" s="58">
        <v>1387.6</v>
      </c>
      <c r="V304" s="54"/>
    </row>
    <row r="305" spans="1:22" s="168" customFormat="1" ht="22.500000" customHeight="1">
      <c r="A305" s="34">
        <v>303</v>
      </c>
      <c r="B305" s="49">
        <v>24</v>
      </c>
      <c r="C305" s="49">
        <v>22</v>
      </c>
      <c r="D305" s="49">
        <v>25</v>
      </c>
      <c r="E305" s="49">
        <v>12</v>
      </c>
      <c r="F305" s="50">
        <f>(C305*100)/B305</f>
        <v>91.6666666666667</v>
      </c>
      <c r="G305" s="156">
        <f>(D305*100)/B305</f>
        <v>104.166666666667</v>
      </c>
      <c r="H305" s="152">
        <f>((B305-B306)/B305)*100</f>
        <v>-12.5</v>
      </c>
      <c r="I305" s="52">
        <f>((B305-C305)/B305)*100</f>
        <v>8.33333333333333</v>
      </c>
      <c r="J305" s="52">
        <f>((C305-B306)/C305)*100</f>
        <v>-22.7272727272727</v>
      </c>
      <c r="K305" s="155"/>
      <c r="L305" s="54">
        <v>1.59090909090909</v>
      </c>
      <c r="M305" s="137" t="s">
        <v>29</v>
      </c>
      <c r="N305" s="54">
        <v>6.98</v>
      </c>
      <c r="O305" s="56">
        <f>N305/C305</f>
        <v>0.317272727272727</v>
      </c>
      <c r="P305" s="57">
        <f>(Boosters_IOS!B305*100)/Boosters_IOS!N305</f>
        <v>7.73391891548943</v>
      </c>
      <c r="Q305" s="57">
        <f>Boosters_IOS!B305/(C305+D305)</f>
        <v>0.344118674571515</v>
      </c>
      <c r="R305" s="57">
        <f>Boosters_IOS!N305/B305</f>
        <v>8.71355231933198</v>
      </c>
      <c r="S305" s="54">
        <v>17.5</v>
      </c>
      <c r="T305" s="54">
        <v>1.04545454545455</v>
      </c>
      <c r="U305" s="58">
        <v>1219.77272727273</v>
      </c>
      <c r="V305" s="54"/>
    </row>
    <row r="306" spans="1:22" s="168" customFormat="1" ht="22.500000" customHeight="1">
      <c r="A306" s="34">
        <v>304</v>
      </c>
      <c r="B306" s="49">
        <v>27</v>
      </c>
      <c r="C306" s="49">
        <v>26</v>
      </c>
      <c r="D306" s="49">
        <v>27</v>
      </c>
      <c r="E306" s="49">
        <v>15</v>
      </c>
      <c r="F306" s="50">
        <f>(C306*100)/B306</f>
        <v>96.2962962962963</v>
      </c>
      <c r="G306" s="156">
        <f>(D306*100)/B306</f>
        <v>100</v>
      </c>
      <c r="H306" s="152">
        <f>((B306-B307)/B306)*100</f>
        <v>3.7037037037037</v>
      </c>
      <c r="I306" s="52">
        <f>((B306-C306)/B306)*100</f>
        <v>3.7037037037037</v>
      </c>
      <c r="J306" s="52">
        <f>((C306-B307)/C306)*100</f>
        <v>0</v>
      </c>
      <c r="K306" s="155"/>
      <c r="L306" s="54">
        <v>3</v>
      </c>
      <c r="M306" s="138" t="s">
        <v>29</v>
      </c>
      <c r="N306" s="54">
        <v>17.79</v>
      </c>
      <c r="O306" s="56">
        <f>N306/C306</f>
        <v>0.684230769230769</v>
      </c>
      <c r="P306" s="57">
        <f>(Boosters_IOS!B306*100)/Boosters_IOS!N306</f>
        <v>15.2496219702427</v>
      </c>
      <c r="Q306" s="57">
        <f>Boosters_IOS!B306/(C306+D306)</f>
        <v>1.2255680351881</v>
      </c>
      <c r="R306" s="57">
        <f>Boosters_IOS!N306/B306</f>
        <v>15.7757658934757</v>
      </c>
      <c r="S306" s="54">
        <v>8.8076923076923</v>
      </c>
      <c r="T306" s="54">
        <v>1</v>
      </c>
      <c r="U306" s="58">
        <v>1147.88461538462</v>
      </c>
      <c r="V306" s="54"/>
    </row>
    <row r="307" spans="1:22" s="168" customFormat="1" ht="22.500000" customHeight="1">
      <c r="A307" s="34">
        <v>305</v>
      </c>
      <c r="B307" s="49">
        <v>26</v>
      </c>
      <c r="C307" s="49">
        <v>26</v>
      </c>
      <c r="D307" s="49">
        <v>12</v>
      </c>
      <c r="E307" s="49">
        <v>4</v>
      </c>
      <c r="F307" s="50">
        <f>(C307*100)/B307</f>
        <v>100</v>
      </c>
      <c r="G307" s="156">
        <f>(D307*100)/B307</f>
        <v>46.1538461538462</v>
      </c>
      <c r="H307" s="152">
        <f>((B307-B308)/B307)*100</f>
        <v>-3.84615384615385</v>
      </c>
      <c r="I307" s="52">
        <f>((B307-C307)/B307)*100</f>
        <v>0</v>
      </c>
      <c r="J307" s="52">
        <f>((C307-B308)/C307)*100</f>
        <v>-3.84615384615385</v>
      </c>
      <c r="K307" s="155"/>
      <c r="L307" s="54">
        <v>1.11538461538461</v>
      </c>
      <c r="M307" s="137" t="s">
        <v>29</v>
      </c>
      <c r="N307" s="54">
        <v>9.65</v>
      </c>
      <c r="O307" s="56">
        <f>N307/C307</f>
        <v>0.371153846153846</v>
      </c>
      <c r="P307" s="57">
        <f>(Boosters_IOS!B307*100)/Boosters_IOS!N307</f>
        <v>6.33333771347782</v>
      </c>
      <c r="Q307" s="57">
        <f>Boosters_IOS!B307/(C307+D307)</f>
        <v>0.217389343303282</v>
      </c>
      <c r="R307" s="57">
        <f>Boosters_IOS!N307/B307</f>
        <v>5.01667368361231</v>
      </c>
      <c r="S307" s="54">
        <v>4.46153846153846</v>
      </c>
      <c r="T307" s="54">
        <v>0.653846153846154</v>
      </c>
      <c r="U307" s="58">
        <v>1343.84615384615</v>
      </c>
      <c r="V307" s="54"/>
    </row>
    <row r="308" spans="1:22" s="168" customFormat="1" ht="22.500000" customHeight="1">
      <c r="A308" s="34">
        <v>306</v>
      </c>
      <c r="B308" s="49">
        <v>27</v>
      </c>
      <c r="C308" s="49">
        <v>27</v>
      </c>
      <c r="D308" s="49">
        <v>27</v>
      </c>
      <c r="E308" s="49">
        <v>8</v>
      </c>
      <c r="F308" s="50">
        <f>(C308*100)/B308</f>
        <v>100</v>
      </c>
      <c r="G308" s="156">
        <f>(D308*100)/B308</f>
        <v>100</v>
      </c>
      <c r="H308" s="152">
        <f>((B308-B309)/B308)*100</f>
        <v>-11.1111111111111</v>
      </c>
      <c r="I308" s="52">
        <f>((B308-C308)/B308)*100</f>
        <v>0</v>
      </c>
      <c r="J308" s="52">
        <f>((C308-B309)/C308)*100</f>
        <v>-11.1111111111111</v>
      </c>
      <c r="K308" s="155"/>
      <c r="L308" s="54">
        <v>1.4074074074074</v>
      </c>
      <c r="M308" s="136" t="s">
        <v>28</v>
      </c>
      <c r="N308" s="54">
        <v>6.62</v>
      </c>
      <c r="O308" s="56">
        <f>N308/C308</f>
        <v>0.245185185185185</v>
      </c>
      <c r="P308" s="57">
        <f>(Boosters_IOS!B308*100)/Boosters_IOS!N308</f>
        <v>4.93228693759986</v>
      </c>
      <c r="Q308" s="57">
        <f>Boosters_IOS!B308/(C308+D308)</f>
        <v>0.155392454968279</v>
      </c>
      <c r="R308" s="57">
        <f>Boosters_IOS!N308/B308</f>
        <v>6.30103061456907</v>
      </c>
      <c r="S308" s="54">
        <v>7.14814814814814</v>
      </c>
      <c r="T308" s="54">
        <v>0.925925925925926</v>
      </c>
      <c r="U308" s="58">
        <v>1129.07407407407</v>
      </c>
      <c r="V308" s="54"/>
    </row>
    <row r="309" spans="1:22" s="168" customFormat="1" ht="22.500000" customHeight="1">
      <c r="A309" s="34">
        <v>307</v>
      </c>
      <c r="B309" s="49">
        <v>30</v>
      </c>
      <c r="C309" s="49">
        <v>22</v>
      </c>
      <c r="D309" s="49">
        <v>31</v>
      </c>
      <c r="E309" s="49">
        <v>19</v>
      </c>
      <c r="F309" s="50">
        <f>(C309*100)/B309</f>
        <v>73.3333333333333</v>
      </c>
      <c r="G309" s="156">
        <f>(D309*100)/B309</f>
        <v>103.333333333333</v>
      </c>
      <c r="H309" s="152">
        <f>((B309-B310)/B309)*100</f>
        <v>23.3333333333333</v>
      </c>
      <c r="I309" s="52">
        <f>((B309-C309)/B309)*100</f>
        <v>26.6666666666667</v>
      </c>
      <c r="J309" s="52">
        <f>((C309-B310)/C309)*100</f>
        <v>-4.54545454545455</v>
      </c>
      <c r="K309" s="155"/>
      <c r="L309" s="54">
        <v>1.86363636363636</v>
      </c>
      <c r="M309" s="137" t="s">
        <v>29</v>
      </c>
      <c r="N309" s="54">
        <v>4.99</v>
      </c>
      <c r="O309" s="56">
        <f>N309/C309</f>
        <v>0.226818181818182</v>
      </c>
      <c r="P309" s="57">
        <f>(Boosters_IOS!B309*100)/Boosters_IOS!N309</f>
        <v>7.25753464015138</v>
      </c>
      <c r="Q309" s="57">
        <f>Boosters_IOS!B309/(C309+D309)</f>
        <v>0.560286184828502</v>
      </c>
      <c r="R309" s="57">
        <f>Boosters_IOS!N309/B309</f>
        <v>13.6387764662424</v>
      </c>
      <c r="S309" s="54">
        <v>12.590909090909</v>
      </c>
      <c r="T309" s="54">
        <v>1.13636363636364</v>
      </c>
      <c r="U309" s="58">
        <v>892.727272727273</v>
      </c>
      <c r="V309" s="54"/>
    </row>
    <row r="310" spans="1:22" s="168" customFormat="1" ht="22.500000" customHeight="1">
      <c r="A310" s="34">
        <v>308</v>
      </c>
      <c r="B310" s="49">
        <v>23</v>
      </c>
      <c r="C310" s="49">
        <v>23</v>
      </c>
      <c r="D310" s="49">
        <v>2</v>
      </c>
      <c r="E310" s="49">
        <v>1</v>
      </c>
      <c r="F310" s="50">
        <f>(C310*100)/B310</f>
        <v>100</v>
      </c>
      <c r="G310" s="156">
        <f>(D310*100)/B310</f>
        <v>8.69565217391304</v>
      </c>
      <c r="H310" s="152">
        <f>((B310-B311)/B310)*100</f>
        <v>0</v>
      </c>
      <c r="I310" s="52">
        <f>((B310-C310)/B310)*100</f>
        <v>0</v>
      </c>
      <c r="J310" s="52">
        <f>((C310-B311)/C310)*100</f>
        <v>0</v>
      </c>
      <c r="K310" s="155"/>
      <c r="L310" s="54">
        <v>1</v>
      </c>
      <c r="M310" s="136" t="s">
        <v>28</v>
      </c>
      <c r="N310" s="54">
        <v>0</v>
      </c>
      <c r="O310" s="56">
        <f>N310/C310</f>
        <v>0</v>
      </c>
      <c r="P310" s="57">
        <f>(Boosters_IOS!B310*100)/Boosters_IOS!N310</f>
        <v>6.93445983074744</v>
      </c>
      <c r="Q310" s="57">
        <f>Boosters_IOS!B310/(C310+D310)</f>
        <v>0.285215900910494</v>
      </c>
      <c r="R310" s="57">
        <f>Boosters_IOS!N310/B310</f>
        <v>4.47067675298578</v>
      </c>
      <c r="S310" s="54">
        <v>6.08695652173913</v>
      </c>
      <c r="T310" s="54">
        <v>0.478260869565217</v>
      </c>
      <c r="U310" s="58">
        <v>939.347826086957</v>
      </c>
      <c r="V310" s="54"/>
    </row>
    <row r="311" spans="1:22" s="168" customFormat="1" ht="22.500000" customHeight="1">
      <c r="A311" s="34">
        <v>309</v>
      </c>
      <c r="B311" s="49">
        <v>23</v>
      </c>
      <c r="C311" s="49">
        <v>22</v>
      </c>
      <c r="D311" s="49">
        <v>12</v>
      </c>
      <c r="E311" s="49">
        <v>6</v>
      </c>
      <c r="F311" s="50">
        <f>(C311*100)/B311</f>
        <v>95.6521739130435</v>
      </c>
      <c r="G311" s="156">
        <f>(D311*100)/B311</f>
        <v>52.1739130434783</v>
      </c>
      <c r="H311" s="152">
        <f>((B311-B312)/B311)*100</f>
        <v>4.34782608695652</v>
      </c>
      <c r="I311" s="52">
        <f>((B311-C311)/B311)*100</f>
        <v>4.34782608695652</v>
      </c>
      <c r="J311" s="52">
        <f>((C311-B312)/C311)*100</f>
        <v>0</v>
      </c>
      <c r="K311" s="155"/>
      <c r="L311" s="54">
        <v>1.54545454545454</v>
      </c>
      <c r="M311" s="137" t="s">
        <v>29</v>
      </c>
      <c r="N311" s="54">
        <v>5.32</v>
      </c>
      <c r="O311" s="56">
        <f>N311/C311</f>
        <v>0.241818181818182</v>
      </c>
      <c r="P311" s="57">
        <f>(Boosters_IOS!B311*100)/Boosters_IOS!N311</f>
        <v>15.3332229676756</v>
      </c>
      <c r="Q311" s="57">
        <f>Boosters_IOS!B311/(C311+D311)</f>
        <v>0.732728901745191</v>
      </c>
      <c r="R311" s="57">
        <f>Boosters_IOS!N311/B311</f>
        <v>7.06416691215448</v>
      </c>
      <c r="S311" s="54">
        <v>5.4090909090909</v>
      </c>
      <c r="T311" s="54">
        <v>0.772727272727273</v>
      </c>
      <c r="U311" s="58">
        <v>805</v>
      </c>
      <c r="V311" s="54"/>
    </row>
    <row r="312" spans="1:22" s="168" customFormat="1" ht="22.500000" customHeight="1">
      <c r="A312" s="34">
        <v>310</v>
      </c>
      <c r="B312" s="49">
        <v>22</v>
      </c>
      <c r="C312" s="49">
        <v>22</v>
      </c>
      <c r="D312" s="49">
        <v>15</v>
      </c>
      <c r="E312" s="49">
        <v>6</v>
      </c>
      <c r="F312" s="50">
        <f>(C312*100)/B312</f>
        <v>100</v>
      </c>
      <c r="G312" s="156">
        <f>(D312*100)/B312</f>
        <v>68.1818181818182</v>
      </c>
      <c r="H312" s="152">
        <f>((B312-B313)/B312)*100</f>
        <v>-4.54545454545455</v>
      </c>
      <c r="I312" s="52">
        <f>((B312-C312)/B312)*100</f>
        <v>0</v>
      </c>
      <c r="J312" s="52">
        <f>((C312-B313)/C312)*100</f>
        <v>-4.54545454545455</v>
      </c>
      <c r="K312" s="155"/>
      <c r="L312" s="54">
        <v>1.68181818181818</v>
      </c>
      <c r="M312" s="136" t="s">
        <v>28</v>
      </c>
      <c r="N312" s="54">
        <v>0</v>
      </c>
      <c r="O312" s="56">
        <f>N312/C312</f>
        <v>0</v>
      </c>
      <c r="P312" s="57">
        <f>(Boosters_IOS!B312*100)/Boosters_IOS!N312</f>
        <v>4.61139171562088</v>
      </c>
      <c r="Q312" s="57">
        <f>Boosters_IOS!B312/(C312+D312)</f>
        <v>0.246767500615199</v>
      </c>
      <c r="R312" s="57">
        <f>Boosters_IOS!N312/B312</f>
        <v>8.99984418609713</v>
      </c>
      <c r="S312" s="54">
        <v>22.6818181818181</v>
      </c>
      <c r="T312" s="54">
        <v>0.818181818181818</v>
      </c>
      <c r="U312" s="58">
        <v>658.636363636364</v>
      </c>
      <c r="V312" s="54"/>
    </row>
    <row r="313" spans="1:22" s="168" customFormat="1" ht="22.500000" customHeight="1">
      <c r="A313" s="34">
        <v>311</v>
      </c>
      <c r="B313" s="49">
        <v>23</v>
      </c>
      <c r="C313" s="49">
        <v>21</v>
      </c>
      <c r="D313" s="49">
        <v>21</v>
      </c>
      <c r="E313" s="49">
        <v>14</v>
      </c>
      <c r="F313" s="50">
        <f>(C313*100)/B313</f>
        <v>91.304347826087</v>
      </c>
      <c r="G313" s="156">
        <f>(D313*100)/B313</f>
        <v>91.304347826087</v>
      </c>
      <c r="H313" s="152">
        <f>((B313-B314)/B313)*100</f>
        <v>4.34782608695652</v>
      </c>
      <c r="I313" s="52">
        <f>((B313-C313)/B313)*100</f>
        <v>8.69565217391304</v>
      </c>
      <c r="J313" s="52">
        <f>((C313-B314)/C313)*100</f>
        <v>-4.76190476190476</v>
      </c>
      <c r="K313" s="155"/>
      <c r="L313" s="54">
        <v>2.47619047619047</v>
      </c>
      <c r="M313" s="135" t="s">
        <v>28</v>
      </c>
      <c r="N313" s="54">
        <v>11.11</v>
      </c>
      <c r="O313" s="56">
        <f>N313/C313</f>
        <v>0.529047619047619</v>
      </c>
      <c r="P313" s="57">
        <f>(Boosters_IOS!B313*100)/Boosters_IOS!N313</f>
        <v>1.65363244007338</v>
      </c>
      <c r="Q313" s="57">
        <f>Boosters_IOS!B313/(C313+D313)</f>
        <v>0.0983427981610083</v>
      </c>
      <c r="R313" s="57">
        <f>Boosters_IOS!N313/B313</f>
        <v>10.8598801425121</v>
      </c>
      <c r="S313" s="54">
        <v>6.71428571428571</v>
      </c>
      <c r="T313" s="54">
        <v>0.80952380952381</v>
      </c>
      <c r="U313" s="58">
        <v>720.714285714286</v>
      </c>
      <c r="V313" s="54"/>
    </row>
    <row r="314" spans="1:22" s="168" customFormat="1" ht="22.500000" customHeight="1">
      <c r="A314" s="34">
        <v>312</v>
      </c>
      <c r="B314" s="49">
        <v>22</v>
      </c>
      <c r="C314" s="49">
        <v>21</v>
      </c>
      <c r="D314" s="49">
        <v>14</v>
      </c>
      <c r="E314" s="49">
        <v>6</v>
      </c>
      <c r="F314" s="50">
        <f>(C314*100)/B314</f>
        <v>95.4545454545455</v>
      </c>
      <c r="G314" s="156">
        <f>(D314*100)/B314</f>
        <v>63.6363636363636</v>
      </c>
      <c r="H314" s="152">
        <f>((B314-B315)/B314)*100</f>
        <v>4.54545454545455</v>
      </c>
      <c r="I314" s="52">
        <f>((B314-C314)/B314)*100</f>
        <v>4.54545454545455</v>
      </c>
      <c r="J314" s="52">
        <f>((C314-B315)/C314)*100</f>
        <v>0</v>
      </c>
      <c r="K314" s="155"/>
      <c r="L314" s="54">
        <v>1.19047619047619</v>
      </c>
      <c r="M314" s="136" t="s">
        <v>28</v>
      </c>
      <c r="N314" s="54">
        <v>6.62</v>
      </c>
      <c r="O314" s="56">
        <f>N314/C314</f>
        <v>0.315238095238095</v>
      </c>
      <c r="P314" s="57">
        <f>(Boosters_IOS!B314*100)/Boosters_IOS!N314</f>
        <v>8.64973430363785</v>
      </c>
      <c r="Q314" s="57">
        <f>Boosters_IOS!B314/(C314+D314)</f>
        <v>0.447199646108908</v>
      </c>
      <c r="R314" s="57">
        <f>Boosters_IOS!N314/B314</f>
        <v>8.2251541778199</v>
      </c>
      <c r="S314" s="54">
        <v>5.23809523809523</v>
      </c>
      <c r="T314" s="54">
        <v>0.714285714285714</v>
      </c>
      <c r="U314" s="58">
        <v>635.714285714286</v>
      </c>
      <c r="V314" s="54"/>
    </row>
    <row r="315" spans="1:22" s="168" customFormat="1" ht="22.500000" customHeight="1">
      <c r="A315" s="34">
        <v>313</v>
      </c>
      <c r="B315" s="49">
        <v>21</v>
      </c>
      <c r="C315" s="49">
        <v>19</v>
      </c>
      <c r="D315" s="49">
        <v>18</v>
      </c>
      <c r="E315" s="49">
        <v>7</v>
      </c>
      <c r="F315" s="50">
        <f>(C315*100)/B315</f>
        <v>90.4761904761905</v>
      </c>
      <c r="G315" s="156">
        <f>(D315*100)/B315</f>
        <v>85.7142857142857</v>
      </c>
      <c r="H315" s="152">
        <f>((B315-B316)/B315)*100</f>
        <v>9.52380952380952</v>
      </c>
      <c r="I315" s="52">
        <f>((B315-C315)/B315)*100</f>
        <v>9.52380952380952</v>
      </c>
      <c r="J315" s="52">
        <f>((C315-B316)/C315)*100</f>
        <v>0</v>
      </c>
      <c r="K315" s="155"/>
      <c r="L315" s="54">
        <v>2</v>
      </c>
      <c r="M315" s="137" t="s">
        <v>29</v>
      </c>
      <c r="N315" s="54">
        <v>2.65</v>
      </c>
      <c r="O315" s="56">
        <f>N315/C315</f>
        <v>0.139473684210526</v>
      </c>
      <c r="P315" s="57">
        <f>(Boosters_IOS!B315*100)/Boosters_IOS!N315</f>
        <v>5.02882155612172</v>
      </c>
      <c r="Q315" s="57">
        <f>Boosters_IOS!B315/(C315+D315)</f>
        <v>0.277318785014181</v>
      </c>
      <c r="R315" s="57">
        <f>Boosters_IOS!N315/B315</f>
        <v>9.71617867982074</v>
      </c>
      <c r="S315" s="54">
        <v>7.47368421052631</v>
      </c>
      <c r="T315" s="54">
        <v>1</v>
      </c>
      <c r="U315" s="58">
        <v>309.736842105263</v>
      </c>
      <c r="V315" s="54"/>
    </row>
    <row r="316" spans="1:22" s="168" customFormat="1" ht="22.500000" customHeight="1">
      <c r="A316" s="34">
        <v>314</v>
      </c>
      <c r="B316" s="49">
        <v>19</v>
      </c>
      <c r="C316" s="49">
        <v>16</v>
      </c>
      <c r="D316" s="49">
        <v>20</v>
      </c>
      <c r="E316" s="49">
        <v>7</v>
      </c>
      <c r="F316" s="50">
        <f>(C316*100)/B316</f>
        <v>84.2105263157895</v>
      </c>
      <c r="G316" s="156">
        <f>(D316*100)/B316</f>
        <v>105.263157894737</v>
      </c>
      <c r="H316" s="152">
        <f>((B316-B317)/B316)*100</f>
        <v>10.5263157894737</v>
      </c>
      <c r="I316" s="52">
        <f>((B316-C316)/B316)*100</f>
        <v>15.7894736842105</v>
      </c>
      <c r="J316" s="52">
        <f>((C316-B317)/C316)*100</f>
        <v>-6.25</v>
      </c>
      <c r="K316" s="155"/>
      <c r="L316" s="54">
        <v>1.4375</v>
      </c>
      <c r="M316" s="138" t="s">
        <v>29</v>
      </c>
      <c r="N316" s="54">
        <v>15.63</v>
      </c>
      <c r="O316" s="56">
        <f>N316/C316</f>
        <v>0.976875</v>
      </c>
      <c r="P316" s="57">
        <f>(Boosters_IOS!B316*100)/Boosters_IOS!N316</f>
        <v>9.41229428596588</v>
      </c>
      <c r="Q316" s="57">
        <f>Boosters_IOS!B316/(C316+D316)</f>
        <v>0.752398899005489</v>
      </c>
      <c r="R316" s="57">
        <f>Boosters_IOS!N316/B316</f>
        <v>15.146125594806</v>
      </c>
      <c r="S316" s="54">
        <v>4.5625</v>
      </c>
      <c r="T316" s="54">
        <v>1.125</v>
      </c>
      <c r="U316" s="58">
        <v>926.25</v>
      </c>
      <c r="V316" s="54"/>
    </row>
    <row r="317" spans="1:22" s="168" customFormat="1" ht="22.500000" customHeight="1">
      <c r="A317" s="34">
        <v>315</v>
      </c>
      <c r="B317" s="49">
        <v>17</v>
      </c>
      <c r="C317" s="49">
        <v>17</v>
      </c>
      <c r="D317" s="49">
        <v>17</v>
      </c>
      <c r="E317" s="49">
        <v>6</v>
      </c>
      <c r="F317" s="50">
        <f>(C317*100)/B317</f>
        <v>100</v>
      </c>
      <c r="G317" s="156">
        <f>(D317*100)/B317</f>
        <v>100</v>
      </c>
      <c r="H317" s="152">
        <f>((B317-B318)/B317)*100</f>
        <v>-11.7647058823529</v>
      </c>
      <c r="I317" s="52">
        <f>((B317-C317)/B317)*100</f>
        <v>0</v>
      </c>
      <c r="J317" s="52">
        <f>((C317-B318)/C317)*100</f>
        <v>-11.7647058823529</v>
      </c>
      <c r="K317" s="155"/>
      <c r="L317" s="54">
        <v>1.70588235294117</v>
      </c>
      <c r="M317" s="139" t="s">
        <v>30</v>
      </c>
      <c r="N317" s="54">
        <v>10.28</v>
      </c>
      <c r="O317" s="56">
        <f>N317/C317</f>
        <v>0.604705882352941</v>
      </c>
      <c r="P317" s="57">
        <f>(Boosters_IOS!B317*100)/Boosters_IOS!N317</f>
        <v>12.2882403812696</v>
      </c>
      <c r="Q317" s="57">
        <f>Boosters_IOS!B317/(C317+D317)</f>
        <v>0.843975523409135</v>
      </c>
      <c r="R317" s="57">
        <f>Boosters_IOS!N317/B317</f>
        <v>13.7363120711012</v>
      </c>
      <c r="S317" s="54">
        <v>8.76470588235294</v>
      </c>
      <c r="T317" s="54">
        <v>1</v>
      </c>
      <c r="U317" s="58">
        <v>973.529411764706</v>
      </c>
      <c r="V317" s="54"/>
    </row>
    <row r="318" spans="1:22" s="168" customFormat="1" ht="22.500000" customHeight="1">
      <c r="A318" s="34">
        <v>316</v>
      </c>
      <c r="B318" s="49">
        <v>19</v>
      </c>
      <c r="C318" s="49">
        <v>18</v>
      </c>
      <c r="D318" s="49">
        <v>19</v>
      </c>
      <c r="E318" s="49">
        <v>8</v>
      </c>
      <c r="F318" s="50">
        <f>(C318*100)/B318</f>
        <v>94.7368421052632</v>
      </c>
      <c r="G318" s="156">
        <f>(D318*100)/B318</f>
        <v>100</v>
      </c>
      <c r="H318" s="152">
        <f>((B318-B319)/B318)*100</f>
        <v>0</v>
      </c>
      <c r="I318" s="52">
        <f>((B318-C318)/B318)*100</f>
        <v>5.26315789473684</v>
      </c>
      <c r="J318" s="52">
        <f>((C318-B319)/C318)*100</f>
        <v>-5.55555555555556</v>
      </c>
      <c r="K318" s="155"/>
      <c r="L318" s="54">
        <v>1.5</v>
      </c>
      <c r="M318" s="136" t="s">
        <v>28</v>
      </c>
      <c r="N318" s="54">
        <v>0</v>
      </c>
      <c r="O318" s="56">
        <f>N318/C318</f>
        <v>0</v>
      </c>
      <c r="P318" s="57">
        <f>(Boosters_IOS!B318*100)/Boosters_IOS!N318</f>
        <v>16.3474967725342</v>
      </c>
      <c r="Q318" s="57">
        <f>Boosters_IOS!B318/(C318+D318)</f>
        <v>1.25379285383301</v>
      </c>
      <c r="R318" s="57">
        <f>Boosters_IOS!N318/B318</f>
        <v>14.9355992790165</v>
      </c>
      <c r="S318" s="54">
        <v>7.83333333333333</v>
      </c>
      <c r="T318" s="54">
        <v>0.944444444444444</v>
      </c>
      <c r="U318" s="58">
        <v>597.777777777778</v>
      </c>
      <c r="V318" s="54"/>
    </row>
    <row r="319" spans="1:22" s="168" customFormat="1" ht="22.500000" customHeight="1">
      <c r="A319" s="34">
        <v>317</v>
      </c>
      <c r="B319" s="49">
        <v>19</v>
      </c>
      <c r="C319" s="49">
        <v>19</v>
      </c>
      <c r="D319" s="49">
        <v>9</v>
      </c>
      <c r="E319" s="49">
        <v>3</v>
      </c>
      <c r="F319" s="50">
        <f>(C319*100)/B319</f>
        <v>100</v>
      </c>
      <c r="G319" s="156">
        <f>(D319*100)/B319</f>
        <v>47.3684210526316</v>
      </c>
      <c r="H319" s="152">
        <f>((B319-B320)/B319)*100</f>
        <v>0</v>
      </c>
      <c r="I319" s="52">
        <f>((B319-C319)/B319)*100</f>
        <v>0</v>
      </c>
      <c r="J319" s="52">
        <f>((C319-B320)/C319)*100</f>
        <v>0</v>
      </c>
      <c r="K319" s="155"/>
      <c r="L319" s="54">
        <v>1.10526315789473</v>
      </c>
      <c r="M319" s="135" t="s">
        <v>28</v>
      </c>
      <c r="N319" s="54">
        <v>0</v>
      </c>
      <c r="O319" s="56">
        <f>N319/C319</f>
        <v>0</v>
      </c>
      <c r="P319" s="57">
        <f>(Boosters_IOS!B319*100)/Boosters_IOS!N319</f>
        <v>8.04327178929238</v>
      </c>
      <c r="Q319" s="57">
        <f>Boosters_IOS!B319/(C319+D319)</f>
        <v>0.380428129064706</v>
      </c>
      <c r="R319" s="57">
        <f>Boosters_IOS!N319/B319</f>
        <v>6.97018504073263</v>
      </c>
      <c r="S319" s="54">
        <v>6.31578947368421</v>
      </c>
      <c r="T319" s="54">
        <v>0.789473684210526</v>
      </c>
      <c r="U319" s="58">
        <v>491.578947368421</v>
      </c>
      <c r="V319" s="54"/>
    </row>
    <row r="320" spans="1:22" s="168" customFormat="1" ht="22.500000" customHeight="1">
      <c r="A320" s="34">
        <v>318</v>
      </c>
      <c r="B320" s="49">
        <v>19</v>
      </c>
      <c r="C320" s="49">
        <v>19</v>
      </c>
      <c r="D320" s="49">
        <v>21</v>
      </c>
      <c r="E320" s="49">
        <v>11</v>
      </c>
      <c r="F320" s="50">
        <f>(C320*100)/B320</f>
        <v>100</v>
      </c>
      <c r="G320" s="156">
        <f>(D320*100)/B320</f>
        <v>110.526315789474</v>
      </c>
      <c r="H320" s="152">
        <f>((B320-B321)/B320)*100</f>
        <v>0</v>
      </c>
      <c r="I320" s="52">
        <f>((B320-C320)/B320)*100</f>
        <v>0</v>
      </c>
      <c r="J320" s="52">
        <f>((C320-B321)/C320)*100</f>
        <v>0</v>
      </c>
      <c r="K320" s="155"/>
      <c r="L320" s="54">
        <v>2.47368421052631</v>
      </c>
      <c r="M320" s="138" t="s">
        <v>29</v>
      </c>
      <c r="N320" s="54">
        <v>16.1</v>
      </c>
      <c r="O320" s="56">
        <f>N320/C320</f>
        <v>0.847368421052632</v>
      </c>
      <c r="P320" s="57">
        <f>(Boosters_IOS!B320*100)/Boosters_IOS!N320</f>
        <v>7.52284453955041</v>
      </c>
      <c r="Q320" s="57">
        <f>Boosters_IOS!B320/(C320+D320)</f>
        <v>0.949978575588353</v>
      </c>
      <c r="R320" s="57">
        <f>Boosters_IOS!N320/B320</f>
        <v>26.5850887315425</v>
      </c>
      <c r="S320" s="54">
        <v>4.52631578947368</v>
      </c>
      <c r="T320" s="54">
        <v>1</v>
      </c>
      <c r="U320" s="58">
        <v>524.736842105263</v>
      </c>
      <c r="V320" s="54"/>
    </row>
    <row r="321" spans="1:22" s="168" customFormat="1" ht="22.500000" customHeight="1">
      <c r="A321" s="34">
        <v>319</v>
      </c>
      <c r="B321" s="49">
        <v>19</v>
      </c>
      <c r="C321" s="49">
        <v>18</v>
      </c>
      <c r="D321" s="49">
        <v>12</v>
      </c>
      <c r="E321" s="49">
        <v>4</v>
      </c>
      <c r="F321" s="50">
        <f>(C321*100)/B321</f>
        <v>94.7368421052632</v>
      </c>
      <c r="G321" s="156">
        <f>(D321*100)/B321</f>
        <v>63.1578947368421</v>
      </c>
      <c r="H321" s="152">
        <f>((B321-B322)/B321)*100</f>
        <v>0</v>
      </c>
      <c r="I321" s="52">
        <f>((B321-C321)/B321)*100</f>
        <v>5.26315789473684</v>
      </c>
      <c r="J321" s="52">
        <f>((C321-B322)/C321)*100</f>
        <v>-5.55555555555556</v>
      </c>
      <c r="K321" s="155"/>
      <c r="L321" s="54">
        <v>1.61111111111111</v>
      </c>
      <c r="M321" s="135" t="s">
        <v>28</v>
      </c>
      <c r="N321" s="54">
        <v>2.99</v>
      </c>
      <c r="O321" s="56">
        <f>N321/C321</f>
        <v>0.166111111111111</v>
      </c>
      <c r="P321" s="57">
        <f>(Boosters_IOS!B321*100)/Boosters_IOS!N321</f>
        <v>11.1774278887829</v>
      </c>
      <c r="Q321" s="57">
        <f>Boosters_IOS!B321/(C321+D321)</f>
        <v>0.488399587127059</v>
      </c>
      <c r="R321" s="57">
        <f>Boosters_IOS!N321/B321</f>
        <v>6.89923702040694</v>
      </c>
      <c r="S321" s="54">
        <v>5.61111111111111</v>
      </c>
      <c r="T321" s="54">
        <v>1</v>
      </c>
      <c r="U321" s="58">
        <v>761.944444444445</v>
      </c>
      <c r="V321" s="54"/>
    </row>
    <row r="322" spans="1:22" s="168" customFormat="1" ht="22.500000" customHeight="1">
      <c r="A322" s="34">
        <v>320</v>
      </c>
      <c r="B322" s="49">
        <v>19</v>
      </c>
      <c r="C322" s="49">
        <v>19</v>
      </c>
      <c r="D322" s="49">
        <v>8</v>
      </c>
      <c r="E322" s="49">
        <v>1</v>
      </c>
      <c r="F322" s="50">
        <f>(C322*100)/B322</f>
        <v>100</v>
      </c>
      <c r="G322" s="156">
        <f>(D322*100)/B322</f>
        <v>42.1052631578947</v>
      </c>
      <c r="H322" s="152">
        <f>((B322-B323)/B322)*100</f>
        <v>-5.26315789473684</v>
      </c>
      <c r="I322" s="52">
        <f>((B322-C322)/B322)*100</f>
        <v>0</v>
      </c>
      <c r="J322" s="52">
        <f>((C322-B323)/C322)*100</f>
        <v>-5.26315789473684</v>
      </c>
      <c r="K322" s="155"/>
      <c r="L322" s="54">
        <v>1.36842105263157</v>
      </c>
      <c r="M322" s="136" t="s">
        <v>28</v>
      </c>
      <c r="N322" s="54">
        <v>6.49</v>
      </c>
      <c r="O322" s="56">
        <f>N322/C322</f>
        <v>0.341578947368421</v>
      </c>
      <c r="P322" s="57">
        <f>(Boosters_IOS!B322*100)/Boosters_IOS!N322</f>
        <v>7.63272400767819</v>
      </c>
      <c r="Q322" s="57">
        <f>Boosters_IOS!B322/(C322+D322)</f>
        <v>0.412236945287494</v>
      </c>
      <c r="R322" s="57">
        <f>Boosters_IOS!N322/B322</f>
        <v>7.67498464958985</v>
      </c>
      <c r="S322" s="54">
        <v>13.2105263157894</v>
      </c>
      <c r="T322" s="54">
        <v>0.736842105263158</v>
      </c>
      <c r="U322" s="58">
        <v>935</v>
      </c>
      <c r="V322" s="54"/>
    </row>
    <row r="323" spans="1:22" s="168" customFormat="1" ht="22.500000" customHeight="1">
      <c r="A323" s="34">
        <v>321</v>
      </c>
      <c r="B323" s="49">
        <v>20</v>
      </c>
      <c r="C323" s="49">
        <v>19</v>
      </c>
      <c r="D323" s="49">
        <v>17</v>
      </c>
      <c r="E323" s="49">
        <v>8</v>
      </c>
      <c r="F323" s="50">
        <f>(C323*100)/B323</f>
        <v>95</v>
      </c>
      <c r="G323" s="156">
        <f>(D323*100)/B323</f>
        <v>85</v>
      </c>
      <c r="H323" s="152">
        <f>((B323-B324)/B323)*100</f>
        <v>5</v>
      </c>
      <c r="I323" s="52">
        <f>((B323-C323)/B323)*100</f>
        <v>5</v>
      </c>
      <c r="J323" s="52">
        <f>((C323-B324)/C323)*100</f>
        <v>0</v>
      </c>
      <c r="K323" s="155"/>
      <c r="L323" s="54">
        <v>2.63157894736842</v>
      </c>
      <c r="M323" s="137" t="s">
        <v>29</v>
      </c>
      <c r="N323" s="54">
        <v>0</v>
      </c>
      <c r="O323" s="56">
        <f>N323/C323</f>
        <v>0</v>
      </c>
      <c r="P323" s="57">
        <f>(Boosters_IOS!B323*100)/Boosters_IOS!N323</f>
        <v>11.0921967282577</v>
      </c>
      <c r="Q323" s="57">
        <f>Boosters_IOS!B323/(C323+D323)</f>
        <v>0.706510354177386</v>
      </c>
      <c r="R323" s="57">
        <f>Boosters_IOS!N323/B323</f>
        <v>11.4649845172647</v>
      </c>
      <c r="S323" s="54">
        <v>4.68421052631578</v>
      </c>
      <c r="T323" s="54">
        <v>0.894736842105263</v>
      </c>
      <c r="U323" s="58">
        <v>779.736842105263</v>
      </c>
      <c r="V323" s="54"/>
    </row>
    <row r="324" spans="1:22" s="168" customFormat="1" ht="22.500000" customHeight="1">
      <c r="A324" s="34">
        <v>322</v>
      </c>
      <c r="B324" s="49">
        <v>19</v>
      </c>
      <c r="C324" s="49">
        <v>18</v>
      </c>
      <c r="D324" s="49">
        <v>19</v>
      </c>
      <c r="E324" s="49">
        <v>3</v>
      </c>
      <c r="F324" s="50">
        <f>(C324*100)/B324</f>
        <v>94.7368421052632</v>
      </c>
      <c r="G324" s="156">
        <f>(D324*100)/B324</f>
        <v>100</v>
      </c>
      <c r="H324" s="152">
        <f>((B324-B325)/B324)*100</f>
        <v>5.26315789473684</v>
      </c>
      <c r="I324" s="52">
        <f>((B324-C324)/B324)*100</f>
        <v>5.26315789473684</v>
      </c>
      <c r="J324" s="52">
        <f>((C324-B325)/C324)*100</f>
        <v>0</v>
      </c>
      <c r="K324" s="155"/>
      <c r="L324" s="54">
        <v>2.66666666666666</v>
      </c>
      <c r="M324" s="140" t="s">
        <v>30</v>
      </c>
      <c r="N324" s="54">
        <v>7.95</v>
      </c>
      <c r="O324" s="56">
        <f>N324/C324</f>
        <v>0.441666666666667</v>
      </c>
      <c r="P324" s="57">
        <f>(Boosters_IOS!B324*100)/Boosters_IOS!N324</f>
        <v>12.0799198492482</v>
      </c>
      <c r="Q324" s="57">
        <f>Boosters_IOS!B324/(C324+D324)</f>
        <v>0.717966764139141</v>
      </c>
      <c r="R324" s="57">
        <f>Boosters_IOS!N324/B324</f>
        <v>11.5741314619478</v>
      </c>
      <c r="S324" s="54">
        <v>8.16666666666666</v>
      </c>
      <c r="T324" s="54">
        <v>1</v>
      </c>
      <c r="U324" s="58">
        <v>340</v>
      </c>
      <c r="V324" s="54"/>
    </row>
    <row r="325" spans="1:22" s="168" customFormat="1" ht="22.500000" customHeight="1">
      <c r="A325" s="34">
        <v>323</v>
      </c>
      <c r="B325" s="49">
        <v>18</v>
      </c>
      <c r="C325" s="49">
        <v>17</v>
      </c>
      <c r="D325" s="49">
        <v>12</v>
      </c>
      <c r="E325" s="49">
        <v>3</v>
      </c>
      <c r="F325" s="50">
        <f>(C325*100)/B325</f>
        <v>94.4444444444444</v>
      </c>
      <c r="G325" s="156">
        <f>(D325*100)/B325</f>
        <v>66.6666666666667</v>
      </c>
      <c r="H325" s="152">
        <f>((B325-B326)/B325)*100</f>
        <v>5.55555555555556</v>
      </c>
      <c r="I325" s="52">
        <f>((B325-C325)/B325)*100</f>
        <v>5.55555555555556</v>
      </c>
      <c r="J325" s="52">
        <f>((C325-B326)/C325)*100</f>
        <v>0</v>
      </c>
      <c r="K325" s="155"/>
      <c r="L325" s="54">
        <v>1.11764705882352</v>
      </c>
      <c r="M325" s="135" t="s">
        <v>28</v>
      </c>
      <c r="N325" s="54">
        <v>0</v>
      </c>
      <c r="O325" s="56">
        <f>N325/C325</f>
        <v>0</v>
      </c>
      <c r="P325" s="57">
        <f>(Boosters_IOS!B325*100)/Boosters_IOS!N325</f>
        <v>6.15214096100899</v>
      </c>
      <c r="Q325" s="57">
        <f>Boosters_IOS!B325/(C325+D325)</f>
        <v>0.241379310344828</v>
      </c>
      <c r="R325" s="57">
        <f>Boosters_IOS!N325/B325</f>
        <v>6.32119600889491</v>
      </c>
      <c r="S325" s="54">
        <v>7.70588235294117</v>
      </c>
      <c r="T325" s="54">
        <v>1</v>
      </c>
      <c r="U325" s="58">
        <v>309.705882352941</v>
      </c>
      <c r="V325" s="54"/>
    </row>
    <row r="326" spans="1:22" s="168" customFormat="1" ht="22.500000" customHeight="1">
      <c r="A326" s="34">
        <v>324</v>
      </c>
      <c r="B326" s="49">
        <v>17</v>
      </c>
      <c r="C326" s="49">
        <v>17</v>
      </c>
      <c r="D326" s="49">
        <v>10</v>
      </c>
      <c r="E326" s="49">
        <v>1</v>
      </c>
      <c r="F326" s="50">
        <f>(C326*100)/B326</f>
        <v>100</v>
      </c>
      <c r="G326" s="156">
        <f>(D326*100)/B326</f>
        <v>58.8235294117647</v>
      </c>
      <c r="H326" s="152">
        <f>((B326-B327)/B326)*100</f>
        <v>0</v>
      </c>
      <c r="I326" s="52">
        <f>((B326-C326)/B326)*100</f>
        <v>0</v>
      </c>
      <c r="J326" s="52">
        <f>((C326-B327)/C326)*100</f>
        <v>0</v>
      </c>
      <c r="K326" s="155"/>
      <c r="L326" s="54">
        <v>1.05882352941176</v>
      </c>
      <c r="M326" s="136" t="s">
        <v>28</v>
      </c>
      <c r="N326" s="54">
        <v>6.49</v>
      </c>
      <c r="O326" s="56">
        <f>N326/C326</f>
        <v>0.381764705882353</v>
      </c>
      <c r="P326" s="57">
        <f>(Boosters_IOS!B326*100)/Boosters_IOS!N326</f>
        <v>6.53217307914398</v>
      </c>
      <c r="Q326" s="57">
        <f>Boosters_IOS!B326/(C326+D326)</f>
        <v>0.375199908250457</v>
      </c>
      <c r="R326" s="57">
        <f>Boosters_IOS!N326/B326</f>
        <v>9.12262625948624</v>
      </c>
      <c r="S326" s="54">
        <v>10.8235294117647</v>
      </c>
      <c r="T326" s="54">
        <v>0.882352941176471</v>
      </c>
      <c r="U326" s="58">
        <v>648.529411764706</v>
      </c>
      <c r="V326" s="54"/>
    </row>
    <row r="327" spans="1:22" s="168" customFormat="1" ht="22.500000" customHeight="1">
      <c r="A327" s="34">
        <v>325</v>
      </c>
      <c r="B327" s="49">
        <v>17</v>
      </c>
      <c r="C327" s="49">
        <v>17</v>
      </c>
      <c r="D327" s="49">
        <v>7</v>
      </c>
      <c r="E327" s="49">
        <v>3</v>
      </c>
      <c r="F327" s="50">
        <f>(C327*100)/B327</f>
        <v>100</v>
      </c>
      <c r="G327" s="156">
        <f>(D327*100)/B327</f>
        <v>41.1764705882353</v>
      </c>
      <c r="H327" s="152">
        <f>((B327-B328)/B327)*100</f>
        <v>0</v>
      </c>
      <c r="I327" s="52">
        <f>((B327-C327)/B327)*100</f>
        <v>0</v>
      </c>
      <c r="J327" s="52">
        <f>((C327-B328)/C327)*100</f>
        <v>0</v>
      </c>
      <c r="K327" s="155"/>
      <c r="L327" s="54">
        <v>1.11764705882352</v>
      </c>
      <c r="M327" s="135" t="s">
        <v>28</v>
      </c>
      <c r="N327" s="54">
        <v>0</v>
      </c>
      <c r="O327" s="56">
        <f>N327/C327</f>
        <v>0</v>
      </c>
      <c r="P327" s="57">
        <f>(Boosters_IOS!B327*100)/Boosters_IOS!N327</f>
        <v>5.97830881482467</v>
      </c>
      <c r="Q327" s="57">
        <f>Boosters_IOS!B327/(C327+D327)</f>
        <v>0.338766563448431</v>
      </c>
      <c r="R327" s="57">
        <f>Boosters_IOS!N327/B327</f>
        <v>7.99989917923931</v>
      </c>
      <c r="S327" s="54">
        <v>8.41176470588235</v>
      </c>
      <c r="T327" s="54">
        <v>0.705882352941177</v>
      </c>
      <c r="U327" s="58">
        <v>650.294117647059</v>
      </c>
      <c r="V327" s="54"/>
    </row>
    <row r="328" spans="1:22" s="168" customFormat="1" ht="22.500000" customHeight="1">
      <c r="A328" s="34">
        <v>326</v>
      </c>
      <c r="B328" s="49">
        <v>17</v>
      </c>
      <c r="C328" s="49">
        <v>17</v>
      </c>
      <c r="D328" s="49">
        <v>17</v>
      </c>
      <c r="E328" s="49">
        <v>6</v>
      </c>
      <c r="F328" s="50">
        <f>(C328*100)/B328</f>
        <v>100</v>
      </c>
      <c r="G328" s="156">
        <f>(D328*100)/B328</f>
        <v>100</v>
      </c>
      <c r="H328" s="152">
        <f>((B328-B329)/B328)*100</f>
        <v>0</v>
      </c>
      <c r="I328" s="52">
        <f>((B328-C328)/B328)*100</f>
        <v>0</v>
      </c>
      <c r="J328" s="52">
        <f>((C328-B329)/C328)*100</f>
        <v>0</v>
      </c>
      <c r="K328" s="155"/>
      <c r="L328" s="54">
        <v>1.29411764705882</v>
      </c>
      <c r="M328" s="136" t="s">
        <v>28</v>
      </c>
      <c r="N328" s="54">
        <v>20.66</v>
      </c>
      <c r="O328" s="56">
        <f>N328/C328</f>
        <v>1.21529411764706</v>
      </c>
      <c r="P328" s="57">
        <f>(Boosters_IOS!B328*100)/Boosters_IOS!N328</f>
        <v>4.86674824479299</v>
      </c>
      <c r="Q328" s="57">
        <f>Boosters_IOS!B328/(C328+D328)</f>
        <v>0.401529047465052</v>
      </c>
      <c r="R328" s="57">
        <f>Boosters_IOS!N328/B328</f>
        <v>16.5009171326935</v>
      </c>
      <c r="S328" s="54">
        <v>10</v>
      </c>
      <c r="T328" s="54">
        <v>1</v>
      </c>
      <c r="U328" s="58">
        <v>562.941176470588</v>
      </c>
      <c r="V328" s="54"/>
    </row>
    <row r="329" spans="1:22" s="168" customFormat="1" ht="22.500000" customHeight="1">
      <c r="A329" s="34">
        <v>327</v>
      </c>
      <c r="B329" s="49">
        <v>17</v>
      </c>
      <c r="C329" s="49">
        <v>16</v>
      </c>
      <c r="D329" s="49">
        <v>16</v>
      </c>
      <c r="E329" s="49">
        <v>2</v>
      </c>
      <c r="F329" s="50">
        <f>(C329*100)/B329</f>
        <v>94.1176470588235</v>
      </c>
      <c r="G329" s="156">
        <f>(D329*100)/B329</f>
        <v>94.1176470588235</v>
      </c>
      <c r="H329" s="152">
        <f>((B329-B330)/B329)*100</f>
        <v>0</v>
      </c>
      <c r="I329" s="52">
        <f>((B329-C329)/B329)*100</f>
        <v>5.88235294117647</v>
      </c>
      <c r="J329" s="52">
        <f>((C329-B330)/C329)*100</f>
        <v>-6.25</v>
      </c>
      <c r="K329" s="155"/>
      <c r="L329" s="54">
        <v>1.6875</v>
      </c>
      <c r="M329" s="137" t="s">
        <v>29</v>
      </c>
      <c r="N329" s="54">
        <v>4.99</v>
      </c>
      <c r="O329" s="56">
        <f>N329/C329</f>
        <v>0.311875</v>
      </c>
      <c r="P329" s="57">
        <f>(Boosters_IOS!B329*100)/Boosters_IOS!N329</f>
        <v>11.0219806990039</v>
      </c>
      <c r="Q329" s="57">
        <f>Boosters_IOS!B329/(C329+D329)</f>
        <v>1.1005236839675</v>
      </c>
      <c r="R329" s="57">
        <f>Boosters_IOS!N329/B329</f>
        <v>18.7949339589916</v>
      </c>
      <c r="S329" s="54">
        <v>6.25</v>
      </c>
      <c r="T329" s="54">
        <v>0.875</v>
      </c>
      <c r="U329" s="58">
        <v>703.125</v>
      </c>
      <c r="V329" s="54"/>
    </row>
    <row r="330" spans="1:22" s="168" customFormat="1" ht="22.500000" customHeight="1">
      <c r="A330" s="34">
        <v>328</v>
      </c>
      <c r="B330" s="49">
        <v>17</v>
      </c>
      <c r="C330" s="49">
        <v>17</v>
      </c>
      <c r="D330" s="49">
        <v>7</v>
      </c>
      <c r="E330" s="49">
        <v>3</v>
      </c>
      <c r="F330" s="50">
        <f>(C330*100)/B330</f>
        <v>100</v>
      </c>
      <c r="G330" s="156">
        <f>(D330*100)/B330</f>
        <v>41.1764705882353</v>
      </c>
      <c r="H330" s="152">
        <f>((B330-B331)/B330)*100</f>
        <v>-11.7647058823529</v>
      </c>
      <c r="I330" s="52">
        <f>((B330-C330)/B330)*100</f>
        <v>0</v>
      </c>
      <c r="J330" s="52">
        <f>((C330-B331)/C330)*100</f>
        <v>-11.7647058823529</v>
      </c>
      <c r="K330" s="155"/>
      <c r="L330" s="54">
        <v>1.52941176470588</v>
      </c>
      <c r="M330" s="136" t="s">
        <v>28</v>
      </c>
      <c r="N330" s="54">
        <v>19.99</v>
      </c>
      <c r="O330" s="56">
        <f>N330/C330</f>
        <v>1.17588235294118</v>
      </c>
      <c r="P330" s="57">
        <f>(Boosters_IOS!B330*100)/Boosters_IOS!N330</f>
        <v>10.8271006522867</v>
      </c>
      <c r="Q330" s="57">
        <f>Boosters_IOS!B330/(C330+D330)</f>
        <v>0.652166150575491</v>
      </c>
      <c r="R330" s="57">
        <f>Boosters_IOS!N330/B330</f>
        <v>8.50370919530687</v>
      </c>
      <c r="S330" s="54">
        <v>13.7058823529411</v>
      </c>
      <c r="T330" s="54">
        <v>0.823529411764706</v>
      </c>
      <c r="U330" s="58">
        <v>1857.94117647059</v>
      </c>
      <c r="V330" s="54"/>
    </row>
    <row r="331" spans="1:22" s="168" customFormat="1" ht="22.500000" customHeight="1">
      <c r="A331" s="34">
        <v>329</v>
      </c>
      <c r="B331" s="49">
        <v>19</v>
      </c>
      <c r="C331" s="49">
        <v>17</v>
      </c>
      <c r="D331" s="49">
        <v>21</v>
      </c>
      <c r="E331" s="49">
        <v>5</v>
      </c>
      <c r="F331" s="50">
        <f>(C331*100)/B331</f>
        <v>89.4736842105263</v>
      </c>
      <c r="G331" s="156">
        <f>(D331*100)/B331</f>
        <v>110.526315789474</v>
      </c>
      <c r="H331" s="152">
        <f>((B331-B332)/B331)*100</f>
        <v>5.26315789473684</v>
      </c>
      <c r="I331" s="52">
        <f>((B331-C331)/B331)*100</f>
        <v>10.5263157894737</v>
      </c>
      <c r="J331" s="52">
        <f>((C331-B332)/C331)*100</f>
        <v>-5.88235294117647</v>
      </c>
      <c r="K331" s="155"/>
      <c r="L331" s="54">
        <v>1.47058823529411</v>
      </c>
      <c r="M331" s="137" t="s">
        <v>29</v>
      </c>
      <c r="N331" s="54">
        <v>0</v>
      </c>
      <c r="O331" s="56">
        <f>N331/C331</f>
        <v>0</v>
      </c>
      <c r="P331" s="57">
        <f>(Boosters_IOS!B331*100)/Boosters_IOS!N331</f>
        <v>8.78808130070064</v>
      </c>
      <c r="Q331" s="57">
        <f>Boosters_IOS!B331/(C331+D331)</f>
        <v>0.600672771544025</v>
      </c>
      <c r="R331" s="57">
        <f>Boosters_IOS!N331/B331</f>
        <v>13.6701687431166</v>
      </c>
      <c r="S331" s="54">
        <v>4</v>
      </c>
      <c r="T331" s="54">
        <v>1.05882352941177</v>
      </c>
      <c r="U331" s="58">
        <v>1557.94117647059</v>
      </c>
      <c r="V331" s="54"/>
    </row>
    <row r="332" spans="1:22" s="168" customFormat="1" ht="22.500000" customHeight="1">
      <c r="A332" s="34">
        <v>330</v>
      </c>
      <c r="B332" s="49">
        <v>18</v>
      </c>
      <c r="C332" s="49">
        <v>18</v>
      </c>
      <c r="D332" s="49">
        <v>14</v>
      </c>
      <c r="E332" s="49">
        <v>3</v>
      </c>
      <c r="F332" s="50">
        <f>(C332*100)/B332</f>
        <v>100</v>
      </c>
      <c r="G332" s="156">
        <f>(D332*100)/B332</f>
        <v>77.7777777777778</v>
      </c>
      <c r="H332" s="152">
        <f>((B332-B333)/B332)*100</f>
        <v>0</v>
      </c>
      <c r="I332" s="52">
        <f>((B332-C332)/B332)*100</f>
        <v>0</v>
      </c>
      <c r="J332" s="52">
        <f>((C332-B333)/C332)*100</f>
        <v>0</v>
      </c>
      <c r="K332" s="155"/>
      <c r="L332" s="54">
        <v>1.05555555555555</v>
      </c>
      <c r="M332" s="138" t="s">
        <v>29</v>
      </c>
      <c r="N332" s="54">
        <v>0</v>
      </c>
      <c r="O332" s="56">
        <f>N332/C332</f>
        <v>0</v>
      </c>
      <c r="P332" s="57">
        <f>(Boosters_IOS!B332*100)/Boosters_IOS!N332</f>
        <v>13.1976172786741</v>
      </c>
      <c r="Q332" s="57">
        <f>Boosters_IOS!B332/(C332+D332)</f>
        <v>1.05704891620853</v>
      </c>
      <c r="R332" s="57">
        <f>Boosters_IOS!N332/B332</f>
        <v>14.2389192956534</v>
      </c>
      <c r="S332" s="54">
        <v>4.16666666666666</v>
      </c>
      <c r="T332" s="54">
        <v>0.833333333333333</v>
      </c>
      <c r="U332" s="58">
        <v>898.888888888889</v>
      </c>
      <c r="V332" s="54"/>
    </row>
    <row r="333" spans="1:22" s="168" customFormat="1" ht="22.500000" customHeight="1">
      <c r="A333" s="34">
        <v>331</v>
      </c>
      <c r="B333" s="49">
        <v>18</v>
      </c>
      <c r="C333" s="49">
        <v>17</v>
      </c>
      <c r="D333" s="49">
        <v>20</v>
      </c>
      <c r="E333" s="49">
        <v>7</v>
      </c>
      <c r="F333" s="50">
        <f>(C333*100)/B333</f>
        <v>94.4444444444444</v>
      </c>
      <c r="G333" s="156">
        <f>(D333*100)/B333</f>
        <v>111.111111111111</v>
      </c>
      <c r="H333" s="152">
        <f>((B333-B334)/B333)*100</f>
        <v>-11.1111111111111</v>
      </c>
      <c r="I333" s="52">
        <f>((B333-C333)/B333)*100</f>
        <v>5.55555555555556</v>
      </c>
      <c r="J333" s="52">
        <f>((C333-B334)/C333)*100</f>
        <v>-17.6470588235294</v>
      </c>
      <c r="K333" s="155"/>
      <c r="L333" s="54">
        <v>1.64705882352941</v>
      </c>
      <c r="M333" s="139" t="s">
        <v>30</v>
      </c>
      <c r="N333" s="54">
        <v>52.81</v>
      </c>
      <c r="O333" s="56">
        <f>N333/C333</f>
        <v>3.10647058823529</v>
      </c>
      <c r="P333" s="57">
        <f>(Boosters_IOS!B333*100)/Boosters_IOS!N333</f>
        <v>3.99067423284376</v>
      </c>
      <c r="Q333" s="57">
        <f>Boosters_IOS!B333/(C333+D333)</f>
        <v>0.680366964996249</v>
      </c>
      <c r="R333" s="57">
        <f>Boosters_IOS!N333/B333</f>
        <v>35.0450077634605</v>
      </c>
      <c r="S333" s="54">
        <v>5.76470588235294</v>
      </c>
      <c r="T333" s="54">
        <v>1.11764705882353</v>
      </c>
      <c r="U333" s="58">
        <v>1583.23529411765</v>
      </c>
      <c r="V333" s="54"/>
    </row>
    <row r="334" spans="1:22" s="168" customFormat="1" ht="22.500000" customHeight="1">
      <c r="A334" s="34">
        <v>332</v>
      </c>
      <c r="B334" s="49">
        <v>20</v>
      </c>
      <c r="C334" s="49">
        <v>20</v>
      </c>
      <c r="D334" s="49">
        <v>21</v>
      </c>
      <c r="E334" s="49">
        <v>2</v>
      </c>
      <c r="F334" s="50">
        <f>(C334*100)/B334</f>
        <v>100</v>
      </c>
      <c r="G334" s="156">
        <f>(D334*100)/B334</f>
        <v>105</v>
      </c>
      <c r="H334" s="152">
        <f>((B334-B335)/B334)*100</f>
        <v>0</v>
      </c>
      <c r="I334" s="52">
        <f>((B334-C334)/B334)*100</f>
        <v>0</v>
      </c>
      <c r="J334" s="52">
        <f>((C334-B335)/C334)*100</f>
        <v>0</v>
      </c>
      <c r="K334" s="155"/>
      <c r="L334" s="54">
        <v>1.4</v>
      </c>
      <c r="M334" s="138" t="s">
        <v>29</v>
      </c>
      <c r="N334" s="54">
        <v>12.97</v>
      </c>
      <c r="O334" s="56">
        <f>N334/C334</f>
        <v>0.6485</v>
      </c>
      <c r="P334" s="57">
        <f>(Boosters_IOS!B334*100)/Boosters_IOS!N334</f>
        <v>9.31773751441928</v>
      </c>
      <c r="Q334" s="57">
        <f>Boosters_IOS!B334/(C334+D334)</f>
        <v>0.910906229505423</v>
      </c>
      <c r="R334" s="57">
        <f>Boosters_IOS!N334/B334</f>
        <v>20.040892626524</v>
      </c>
      <c r="S334" s="54">
        <v>9.7</v>
      </c>
      <c r="T334" s="54">
        <v>0.95</v>
      </c>
      <c r="U334" s="58">
        <v>1840.75</v>
      </c>
      <c r="V334" s="54"/>
    </row>
    <row r="335" spans="1:22" s="168" customFormat="1" ht="22.500000" customHeight="1">
      <c r="A335" s="34">
        <v>333</v>
      </c>
      <c r="B335" s="49">
        <v>20</v>
      </c>
      <c r="C335" s="49">
        <v>20</v>
      </c>
      <c r="D335" s="49">
        <v>12</v>
      </c>
      <c r="E335" s="49">
        <v>2</v>
      </c>
      <c r="F335" s="50">
        <f>(C335*100)/B335</f>
        <v>100</v>
      </c>
      <c r="G335" s="156">
        <f>(D335*100)/B335</f>
        <v>60</v>
      </c>
      <c r="H335" s="152">
        <f>((B335-B336)/B335)*100</f>
        <v>0</v>
      </c>
      <c r="I335" s="52">
        <f>((B335-C335)/B335)*100</f>
        <v>0</v>
      </c>
      <c r="J335" s="52">
        <f>((C335-B336)/C335)*100</f>
        <v>0</v>
      </c>
      <c r="K335" s="155"/>
      <c r="L335" s="54">
        <v>1.2</v>
      </c>
      <c r="M335" s="135" t="s">
        <v>28</v>
      </c>
      <c r="N335" s="54">
        <v>0</v>
      </c>
      <c r="O335" s="56">
        <f>N335/C335</f>
        <v>0</v>
      </c>
      <c r="P335" s="57">
        <f>(Boosters_IOS!B335*100)/Boosters_IOS!N335</f>
        <v>5.30326761157448</v>
      </c>
      <c r="Q335" s="57">
        <f>Boosters_IOS!B335/(C335+D335)</f>
        <v>0.520374612931618</v>
      </c>
      <c r="R335" s="57">
        <f>Boosters_IOS!N335/B335</f>
        <v>15.6997429070603</v>
      </c>
      <c r="S335" s="54">
        <v>8.05</v>
      </c>
      <c r="T335" s="54">
        <v>0.9</v>
      </c>
      <c r="U335" s="58">
        <v>1729.5</v>
      </c>
      <c r="V335" s="54"/>
    </row>
    <row r="336" spans="1:22" s="168" customFormat="1" ht="22.500000" customHeight="1">
      <c r="A336" s="34">
        <v>334</v>
      </c>
      <c r="B336" s="49">
        <v>20</v>
      </c>
      <c r="C336" s="49">
        <v>20</v>
      </c>
      <c r="D336" s="49">
        <v>7</v>
      </c>
      <c r="E336" s="49">
        <v>4</v>
      </c>
      <c r="F336" s="50">
        <f>(C336*100)/B336</f>
        <v>100</v>
      </c>
      <c r="G336" s="156">
        <f>(D336*100)/B336</f>
        <v>35</v>
      </c>
      <c r="H336" s="152">
        <f>((B336-B337)/B336)*100</f>
        <v>0</v>
      </c>
      <c r="I336" s="52">
        <f>((B336-C336)/B336)*100</f>
        <v>0</v>
      </c>
      <c r="J336" s="52">
        <f>((C336-B337)/C336)*100</f>
        <v>0</v>
      </c>
      <c r="K336" s="155"/>
      <c r="L336" s="54">
        <v>1.15</v>
      </c>
      <c r="M336" s="136" t="s">
        <v>28</v>
      </c>
      <c r="N336" s="54">
        <v>0</v>
      </c>
      <c r="O336" s="56">
        <f>N336/C336</f>
        <v>0</v>
      </c>
      <c r="P336" s="57">
        <f>(Boosters_IOS!B336*100)/Boosters_IOS!N336</f>
        <v>1.71089174100948</v>
      </c>
      <c r="Q336" s="57">
        <f>Boosters_IOS!B336/(C336+D336)</f>
        <v>0.111111111111111</v>
      </c>
      <c r="R336" s="57">
        <f>Boosters_IOS!N336/B336</f>
        <v>8.76735777048612</v>
      </c>
      <c r="S336" s="54">
        <v>4.8</v>
      </c>
      <c r="T336" s="54">
        <v>0.7</v>
      </c>
      <c r="U336" s="58">
        <v>1745</v>
      </c>
      <c r="V336" s="54"/>
    </row>
    <row r="337" spans="1:22" s="168" customFormat="1" ht="22.500000" customHeight="1">
      <c r="A337" s="34">
        <v>335</v>
      </c>
      <c r="B337" s="49">
        <v>20</v>
      </c>
      <c r="C337" s="49">
        <v>19</v>
      </c>
      <c r="D337" s="49">
        <v>19</v>
      </c>
      <c r="E337" s="49">
        <v>10</v>
      </c>
      <c r="F337" s="50">
        <f>(C337*100)/B337</f>
        <v>95</v>
      </c>
      <c r="G337" s="156">
        <f>(D337*100)/B337</f>
        <v>95</v>
      </c>
      <c r="H337" s="152">
        <f>((B337-B338)/B337)*100</f>
        <v>5</v>
      </c>
      <c r="I337" s="52">
        <f>((B337-C337)/B337)*100</f>
        <v>5</v>
      </c>
      <c r="J337" s="52">
        <f>((C337-B338)/C337)*100</f>
        <v>0</v>
      </c>
      <c r="K337" s="155"/>
      <c r="L337" s="54">
        <v>1.57894736842105</v>
      </c>
      <c r="M337" s="137" t="s">
        <v>29</v>
      </c>
      <c r="N337" s="54">
        <v>5.99</v>
      </c>
      <c r="O337" s="56">
        <f>N337/C337</f>
        <v>0.315263157894737</v>
      </c>
      <c r="P337" s="57">
        <f>(Boosters_IOS!B337*100)/Boosters_IOS!N337</f>
        <v>16.0421794206945</v>
      </c>
      <c r="Q337" s="57">
        <f>Boosters_IOS!B337/(C337+D337)</f>
        <v>1.13155639535616</v>
      </c>
      <c r="R337" s="57">
        <f>Boosters_IOS!N337/B337</f>
        <v>13.4019019161652</v>
      </c>
      <c r="S337" s="54">
        <v>4.78947368421052</v>
      </c>
      <c r="T337" s="54">
        <v>1.10526315789474</v>
      </c>
      <c r="U337" s="58">
        <v>1344.73684210526</v>
      </c>
      <c r="V337" s="54"/>
    </row>
    <row r="338" spans="1:22" s="168" customFormat="1" ht="22.500000" customHeight="1">
      <c r="A338" s="34">
        <v>336</v>
      </c>
      <c r="B338" s="49">
        <v>19</v>
      </c>
      <c r="C338" s="49">
        <v>19</v>
      </c>
      <c r="D338" s="49">
        <v>21</v>
      </c>
      <c r="E338" s="49">
        <v>4</v>
      </c>
      <c r="F338" s="50">
        <f>(C338*100)/B338</f>
        <v>100</v>
      </c>
      <c r="G338" s="156">
        <f>(D338*100)/B338</f>
        <v>110.526315789474</v>
      </c>
      <c r="H338" s="152">
        <f>((B338-B339)/B338)*100</f>
        <v>-5.26315789473684</v>
      </c>
      <c r="I338" s="52">
        <f>((B338-C338)/B338)*100</f>
        <v>0</v>
      </c>
      <c r="J338" s="52">
        <f>((C338-B339)/C338)*100</f>
        <v>-5.26315789473684</v>
      </c>
      <c r="K338" s="155"/>
      <c r="L338" s="54">
        <v>1.21052631578947</v>
      </c>
      <c r="M338" s="136" t="s">
        <v>28</v>
      </c>
      <c r="N338" s="54">
        <v>0</v>
      </c>
      <c r="O338" s="56">
        <f>N338/C338</f>
        <v>0</v>
      </c>
      <c r="P338" s="57">
        <f>(Boosters_IOS!B338*100)/Boosters_IOS!N338</f>
        <v>2.00165181419041</v>
      </c>
      <c r="Q338" s="57">
        <f>Boosters_IOS!B338/(C338+D338)</f>
        <v>0.266299690345294</v>
      </c>
      <c r="R338" s="57">
        <f>Boosters_IOS!N338/B338</f>
        <v>28.0084140042846</v>
      </c>
      <c r="S338" s="54">
        <v>24.2105263157894</v>
      </c>
      <c r="T338" s="54">
        <v>1.05263157894737</v>
      </c>
      <c r="U338" s="58">
        <v>1142.1052631579</v>
      </c>
      <c r="V338" s="54"/>
    </row>
    <row r="339" spans="1:22" s="168" customFormat="1" ht="22.500000" customHeight="1">
      <c r="A339" s="34">
        <v>337</v>
      </c>
      <c r="B339" s="49">
        <v>20</v>
      </c>
      <c r="C339" s="49">
        <v>20</v>
      </c>
      <c r="D339" s="49">
        <v>23</v>
      </c>
      <c r="E339" s="49">
        <v>8</v>
      </c>
      <c r="F339" s="50">
        <f>(C339*100)/B339</f>
        <v>100</v>
      </c>
      <c r="G339" s="156">
        <f>(D339*100)/B339</f>
        <v>115</v>
      </c>
      <c r="H339" s="152">
        <f>((B339-B340)/B339)*100</f>
        <v>-5</v>
      </c>
      <c r="I339" s="52">
        <f>((B339-C339)/B339)*100</f>
        <v>0</v>
      </c>
      <c r="J339" s="52">
        <f>((C339-B340)/C339)*100</f>
        <v>-5</v>
      </c>
      <c r="K339" s="155"/>
      <c r="L339" s="54">
        <v>1.45</v>
      </c>
      <c r="M339" s="137" t="s">
        <v>29</v>
      </c>
      <c r="N339" s="54">
        <v>0</v>
      </c>
      <c r="O339" s="56">
        <f>N339/C339</f>
        <v>0</v>
      </c>
      <c r="P339" s="57">
        <f>(Boosters_IOS!B339*100)/Boosters_IOS!N339</f>
        <v>21.2555777196776</v>
      </c>
      <c r="Q339" s="57">
        <f>Boosters_IOS!B339/(C339+D339)</f>
        <v>1.45497472782982</v>
      </c>
      <c r="R339" s="57">
        <f>Boosters_IOS!N339/B339</f>
        <v>14.717057828723</v>
      </c>
      <c r="S339" s="54">
        <v>11.45</v>
      </c>
      <c r="T339" s="54">
        <v>1</v>
      </c>
      <c r="U339" s="58">
        <v>595.75</v>
      </c>
      <c r="V339" s="54"/>
    </row>
    <row r="340" spans="1:22" s="168" customFormat="1" ht="22.500000" customHeight="1">
      <c r="A340" s="34">
        <v>338</v>
      </c>
      <c r="B340" s="49">
        <v>21</v>
      </c>
      <c r="C340" s="49">
        <v>20</v>
      </c>
      <c r="D340" s="49">
        <v>24</v>
      </c>
      <c r="E340" s="49">
        <v>8</v>
      </c>
      <c r="F340" s="50">
        <f>(C340*100)/B340</f>
        <v>95.2380952380952</v>
      </c>
      <c r="G340" s="156">
        <f>(D340*100)/B340</f>
        <v>114.285714285714</v>
      </c>
      <c r="H340" s="152">
        <f>((B340-B341)/B340)*100</f>
        <v>4.76190476190476</v>
      </c>
      <c r="I340" s="52">
        <f>((B340-C340)/B340)*100</f>
        <v>4.76190476190476</v>
      </c>
      <c r="J340" s="52">
        <f>((C340-B341)/C340)*100</f>
        <v>0</v>
      </c>
      <c r="K340" s="155"/>
      <c r="L340" s="54">
        <v>1.65</v>
      </c>
      <c r="M340" s="136" t="s">
        <v>28</v>
      </c>
      <c r="N340" s="54">
        <v>21.96</v>
      </c>
      <c r="O340" s="56">
        <f>N340/C340</f>
        <v>1.098</v>
      </c>
      <c r="P340" s="57">
        <f>(Boosters_IOS!B340*100)/Boosters_IOS!N340</f>
        <v>15.6936672021659</v>
      </c>
      <c r="Q340" s="57">
        <f>Boosters_IOS!B340/(C340+D340)</f>
        <v>1.36261604238567</v>
      </c>
      <c r="R340" s="57">
        <f>Boosters_IOS!N340/B340</f>
        <v>18.1920834971893</v>
      </c>
      <c r="S340" s="54">
        <v>10.25</v>
      </c>
      <c r="T340" s="54">
        <v>1.05</v>
      </c>
      <c r="U340" s="58">
        <v>190.25</v>
      </c>
      <c r="V340" s="54"/>
    </row>
    <row r="341" spans="1:22" s="168" customFormat="1" ht="22.500000" customHeight="1">
      <c r="A341" s="34">
        <v>339</v>
      </c>
      <c r="B341" s="49">
        <v>20</v>
      </c>
      <c r="C341" s="49">
        <v>20</v>
      </c>
      <c r="D341" s="49">
        <v>15</v>
      </c>
      <c r="E341" s="49">
        <v>2</v>
      </c>
      <c r="F341" s="50">
        <f>(C341*100)/B341</f>
        <v>100</v>
      </c>
      <c r="G341" s="156">
        <f>(D341*100)/B341</f>
        <v>75</v>
      </c>
      <c r="H341" s="152">
        <f>((B341-B342)/B341)*100</f>
        <v>0</v>
      </c>
      <c r="I341" s="52">
        <f>((B341-C341)/B341)*100</f>
        <v>0</v>
      </c>
      <c r="J341" s="52">
        <f>((C341-B342)/C341)*100</f>
        <v>0</v>
      </c>
      <c r="K341" s="155"/>
      <c r="L341" s="54">
        <v>1.1</v>
      </c>
      <c r="M341" s="135" t="s">
        <v>28</v>
      </c>
      <c r="N341" s="54">
        <v>0</v>
      </c>
      <c r="O341" s="56">
        <f>N341/C341</f>
        <v>0</v>
      </c>
      <c r="P341" s="57">
        <f>(Boosters_IOS!B341*100)/Boosters_IOS!N341</f>
        <v>4.50624289434989</v>
      </c>
      <c r="Q341" s="57">
        <f>Boosters_IOS!B341/(C341+D341)</f>
        <v>0.175154214936067</v>
      </c>
      <c r="R341" s="57">
        <f>Boosters_IOS!N341/B341</f>
        <v>6.80211616028165</v>
      </c>
      <c r="S341" s="54">
        <v>4.8</v>
      </c>
      <c r="T341" s="54">
        <v>0.85</v>
      </c>
      <c r="U341" s="58">
        <v>234.5</v>
      </c>
      <c r="V341" s="54"/>
    </row>
    <row r="342" spans="1:22" s="168" customFormat="1" ht="22.500000" customHeight="1">
      <c r="A342" s="34">
        <v>340</v>
      </c>
      <c r="B342" s="49">
        <v>20</v>
      </c>
      <c r="C342" s="49">
        <v>20</v>
      </c>
      <c r="D342" s="49">
        <v>5</v>
      </c>
      <c r="E342" s="49">
        <v>0</v>
      </c>
      <c r="F342" s="50">
        <f>(C342*100)/B342</f>
        <v>100</v>
      </c>
      <c r="G342" s="156">
        <f>(D342*100)/B342</f>
        <v>25</v>
      </c>
      <c r="H342" s="152">
        <f>((B342-B343)/B342)*100</f>
        <v>0</v>
      </c>
      <c r="I342" s="52">
        <f>((B342-C342)/B342)*100</f>
        <v>0</v>
      </c>
      <c r="J342" s="52">
        <f>((C342-B343)/C342)*100</f>
        <v>0</v>
      </c>
      <c r="K342" s="155"/>
      <c r="L342" s="54">
        <v>1</v>
      </c>
      <c r="M342" s="136" t="s">
        <v>28</v>
      </c>
      <c r="N342" s="54">
        <v>0</v>
      </c>
      <c r="O342" s="56">
        <f>N342/C342</f>
        <v>0</v>
      </c>
      <c r="P342" s="57">
        <f>(Boosters_IOS!B342*100)/Boosters_IOS!N342</f>
        <v>4.62220082397747</v>
      </c>
      <c r="Q342" s="57">
        <f>Boosters_IOS!B342/(C342+D342)</f>
        <v>0.2</v>
      </c>
      <c r="R342" s="57">
        <f>Boosters_IOS!N342/B342</f>
        <v>5.40867888524306</v>
      </c>
      <c r="S342" s="54">
        <v>5.8</v>
      </c>
      <c r="T342" s="54">
        <v>0.7</v>
      </c>
      <c r="U342" s="58">
        <v>331.25</v>
      </c>
      <c r="V342" s="54"/>
    </row>
    <row r="343" spans="1:22" s="168" customFormat="1" ht="22.500000" customHeight="1">
      <c r="A343" s="34">
        <v>341</v>
      </c>
      <c r="B343" s="49">
        <v>20</v>
      </c>
      <c r="C343" s="49">
        <v>20</v>
      </c>
      <c r="D343" s="49">
        <v>16</v>
      </c>
      <c r="E343" s="49">
        <v>2</v>
      </c>
      <c r="F343" s="50">
        <f>(C343*100)/B343</f>
        <v>100</v>
      </c>
      <c r="G343" s="156">
        <f>(D343*100)/B343</f>
        <v>80</v>
      </c>
      <c r="H343" s="152">
        <f>((B343-B344)/B343)*100</f>
        <v>-10</v>
      </c>
      <c r="I343" s="52">
        <f>((B343-C343)/B343)*100</f>
        <v>0</v>
      </c>
      <c r="J343" s="52">
        <f>((C343-B344)/C343)*100</f>
        <v>-10</v>
      </c>
      <c r="K343" s="155"/>
      <c r="L343" s="54">
        <v>1</v>
      </c>
      <c r="M343" s="135" t="s">
        <v>28</v>
      </c>
      <c r="N343" s="54">
        <v>39.48</v>
      </c>
      <c r="O343" s="56">
        <f>N343/C343</f>
        <v>1.974</v>
      </c>
      <c r="P343" s="57">
        <f>(Boosters_IOS!B343*100)/Boosters_IOS!N343</f>
        <v>1.75084564200045</v>
      </c>
      <c r="Q343" s="57">
        <f>Boosters_IOS!B343/(C343+D343)</f>
        <v>0.177533126896863</v>
      </c>
      <c r="R343" s="57">
        <f>Boosters_IOS!N343/B343</f>
        <v>18.251730520872</v>
      </c>
      <c r="S343" s="54">
        <v>9.05</v>
      </c>
      <c r="T343" s="54">
        <v>0.9</v>
      </c>
      <c r="U343" s="58">
        <v>2670.75</v>
      </c>
      <c r="V343" s="54"/>
    </row>
    <row r="344" spans="1:22" s="168" customFormat="1" ht="22.500000" customHeight="1">
      <c r="A344" s="34">
        <v>342</v>
      </c>
      <c r="B344" s="49">
        <v>22</v>
      </c>
      <c r="C344" s="49">
        <v>21</v>
      </c>
      <c r="D344" s="49">
        <v>20</v>
      </c>
      <c r="E344" s="49">
        <v>9</v>
      </c>
      <c r="F344" s="50">
        <f>(C344*100)/B344</f>
        <v>95.4545454545455</v>
      </c>
      <c r="G344" s="156">
        <f>(D344*100)/B344</f>
        <v>90.9090909090909</v>
      </c>
      <c r="H344" s="152">
        <f>((B344-B345)/B344)*100</f>
        <v>0</v>
      </c>
      <c r="I344" s="52">
        <f>((B344-C344)/B344)*100</f>
        <v>4.54545454545455</v>
      </c>
      <c r="J344" s="52">
        <f>((C344-B345)/C344)*100</f>
        <v>-4.76190476190476</v>
      </c>
      <c r="K344" s="155"/>
      <c r="L344" s="54">
        <v>1.52380952380952</v>
      </c>
      <c r="M344" s="138" t="s">
        <v>29</v>
      </c>
      <c r="N344" s="54">
        <v>2.49</v>
      </c>
      <c r="O344" s="56">
        <f>N344/C344</f>
        <v>0.118571428571429</v>
      </c>
      <c r="P344" s="57">
        <f>(Boosters_IOS!B344*100)/Boosters_IOS!N344</f>
        <v>16.0914085013828</v>
      </c>
      <c r="Q344" s="57">
        <f>Boosters_IOS!B344/(C344+D344)</f>
        <v>1.31492501665538</v>
      </c>
      <c r="R344" s="57">
        <f>Boosters_IOS!N344/B344</f>
        <v>15.2288848815412</v>
      </c>
      <c r="S344" s="54">
        <v>9.76190476190476</v>
      </c>
      <c r="T344" s="54">
        <v>1.09523809523809</v>
      </c>
      <c r="U344" s="58">
        <v>2538.80952380952</v>
      </c>
      <c r="V344" s="54"/>
    </row>
    <row r="345" spans="1:22" s="168" customFormat="1" ht="22.500000" customHeight="1">
      <c r="A345" s="34">
        <v>343</v>
      </c>
      <c r="B345" s="49">
        <v>22</v>
      </c>
      <c r="C345" s="49">
        <v>21</v>
      </c>
      <c r="D345" s="49">
        <v>25</v>
      </c>
      <c r="E345" s="49">
        <v>6</v>
      </c>
      <c r="F345" s="50">
        <f>(C345*100)/B345</f>
        <v>95.4545454545455</v>
      </c>
      <c r="G345" s="156">
        <f>(D345*100)/B345</f>
        <v>113.636363636364</v>
      </c>
      <c r="H345" s="152">
        <f>((B345-B346)/B345)*100</f>
        <v>4.54545454545455</v>
      </c>
      <c r="I345" s="52">
        <f>((B345-C345)/B345)*100</f>
        <v>4.54545454545455</v>
      </c>
      <c r="J345" s="52">
        <f>((C345-B346)/C345)*100</f>
        <v>0</v>
      </c>
      <c r="K345" s="155"/>
      <c r="L345" s="54">
        <v>1.42857142857142</v>
      </c>
      <c r="M345" s="135" t="s">
        <v>28</v>
      </c>
      <c r="N345" s="54">
        <v>3.95</v>
      </c>
      <c r="O345" s="56">
        <f>N345/C345</f>
        <v>0.188095238095238</v>
      </c>
      <c r="P345" s="57">
        <f>(Boosters_IOS!B345*100)/Boosters_IOS!N345</f>
        <v>2.03979805685294</v>
      </c>
      <c r="Q345" s="57">
        <f>Boosters_IOS!B345/(C345+D345)</f>
        <v>0.11436510968532</v>
      </c>
      <c r="R345" s="57">
        <f>Boosters_IOS!N345/B345</f>
        <v>11.7230745818428</v>
      </c>
      <c r="S345" s="54">
        <v>6.04761904761904</v>
      </c>
      <c r="T345" s="54">
        <v>1.14285714285714</v>
      </c>
      <c r="U345" s="58">
        <v>2365.71428571429</v>
      </c>
      <c r="V345" s="54"/>
    </row>
    <row r="346" spans="1:22" s="168" customFormat="1" ht="22.500000" customHeight="1">
      <c r="A346" s="34">
        <v>344</v>
      </c>
      <c r="B346" s="49">
        <v>21</v>
      </c>
      <c r="C346" s="49">
        <v>19</v>
      </c>
      <c r="D346" s="49">
        <v>23</v>
      </c>
      <c r="E346" s="49">
        <v>8</v>
      </c>
      <c r="F346" s="50">
        <f>(C346*100)/B346</f>
        <v>90.4761904761905</v>
      </c>
      <c r="G346" s="156">
        <f>(D346*100)/B346</f>
        <v>109.52380952381</v>
      </c>
      <c r="H346" s="152">
        <f>((B346-B347)/B346)*100</f>
        <v>9.52380952380952</v>
      </c>
      <c r="I346" s="52">
        <f>((B346-C346)/B346)*100</f>
        <v>9.52380952380952</v>
      </c>
      <c r="J346" s="52">
        <f>((C346-B347)/C346)*100</f>
        <v>0</v>
      </c>
      <c r="K346" s="155"/>
      <c r="L346" s="54">
        <v>1.42105263157894</v>
      </c>
      <c r="M346" s="136" t="s">
        <v>28</v>
      </c>
      <c r="N346" s="54">
        <v>13.08</v>
      </c>
      <c r="O346" s="56">
        <f>N346/C346</f>
        <v>0.688421052631579</v>
      </c>
      <c r="P346" s="57">
        <f>(Boosters_IOS!B346*100)/Boosters_IOS!N346</f>
        <v>3.8825676244331</v>
      </c>
      <c r="Q346" s="57">
        <f>Boosters_IOS!B346/(C346+D346)</f>
        <v>0.39958059848986</v>
      </c>
      <c r="R346" s="57">
        <f>Boosters_IOS!N346/B346</f>
        <v>20.5833168738795</v>
      </c>
      <c r="S346" s="54">
        <v>7.31578947368421</v>
      </c>
      <c r="T346" s="54">
        <v>1.05263157894737</v>
      </c>
      <c r="U346" s="58">
        <v>2751.31578947368</v>
      </c>
      <c r="V346" s="54"/>
    </row>
    <row r="347" spans="1:22" s="168" customFormat="1" ht="22.500000" customHeight="1">
      <c r="A347" s="34">
        <v>345</v>
      </c>
      <c r="B347" s="49">
        <v>19</v>
      </c>
      <c r="C347" s="49">
        <v>18</v>
      </c>
      <c r="D347" s="49">
        <v>21</v>
      </c>
      <c r="E347" s="49">
        <v>14</v>
      </c>
      <c r="F347" s="50">
        <f>(C347*100)/B347</f>
        <v>94.7368421052632</v>
      </c>
      <c r="G347" s="156">
        <f>(D347*100)/B347</f>
        <v>110.526315789474</v>
      </c>
      <c r="H347" s="152">
        <f>((B347-B348)/B347)*100</f>
        <v>0</v>
      </c>
      <c r="I347" s="52">
        <f>((B347-C347)/B347)*100</f>
        <v>5.26315789473684</v>
      </c>
      <c r="J347" s="52">
        <f>((C347-B348)/C347)*100</f>
        <v>-5.55555555555556</v>
      </c>
      <c r="K347" s="155"/>
      <c r="L347" s="54">
        <v>1.5</v>
      </c>
      <c r="M347" s="137" t="s">
        <v>29</v>
      </c>
      <c r="N347" s="54">
        <v>0</v>
      </c>
      <c r="O347" s="56">
        <f>N347/C347</f>
        <v>0</v>
      </c>
      <c r="P347" s="57">
        <f>(Boosters_IOS!B347*100)/Boosters_IOS!N347</f>
        <v>22.2520109239726</v>
      </c>
      <c r="Q347" s="57">
        <f>Boosters_IOS!B347/(C347+D347)</f>
        <v>1.48492117135566</v>
      </c>
      <c r="R347" s="57">
        <f>Boosters_IOS!N347/B347</f>
        <v>13.6976208531718</v>
      </c>
      <c r="S347" s="54">
        <v>3.16666666666666</v>
      </c>
      <c r="T347" s="54">
        <v>1</v>
      </c>
      <c r="U347" s="58">
        <v>2582.5</v>
      </c>
      <c r="V347" s="54"/>
    </row>
    <row r="348" spans="1:22" s="168" customFormat="1" ht="22.500000" customHeight="1">
      <c r="A348" s="34">
        <v>346</v>
      </c>
      <c r="B348" s="49">
        <v>19</v>
      </c>
      <c r="C348" s="49">
        <v>19</v>
      </c>
      <c r="D348" s="49">
        <v>17</v>
      </c>
      <c r="E348" s="49">
        <v>6</v>
      </c>
      <c r="F348" s="50">
        <f>(C348*100)/B348</f>
        <v>100</v>
      </c>
      <c r="G348" s="156">
        <f>(D348*100)/B348</f>
        <v>89.4736842105263</v>
      </c>
      <c r="H348" s="152">
        <f>((B348-B349)/B348)*100</f>
        <v>-5.26315789473684</v>
      </c>
      <c r="I348" s="52">
        <f>((B348-C348)/B348)*100</f>
        <v>0</v>
      </c>
      <c r="J348" s="52">
        <f>((C348-B349)/C348)*100</f>
        <v>-5.26315789473684</v>
      </c>
      <c r="K348" s="155"/>
      <c r="L348" s="54">
        <v>1.42105263157894</v>
      </c>
      <c r="M348" s="138" t="s">
        <v>29</v>
      </c>
      <c r="N348" s="54">
        <v>2.49</v>
      </c>
      <c r="O348" s="56">
        <f>N348/C348</f>
        <v>0.131052631578947</v>
      </c>
      <c r="P348" s="57">
        <f>(Boosters_IOS!B348*100)/Boosters_IOS!N348</f>
        <v>21.0035894469708</v>
      </c>
      <c r="Q348" s="57">
        <f>Boosters_IOS!B348/(C348+D348)</f>
        <v>0.682354729809672</v>
      </c>
      <c r="R348" s="57">
        <f>Boosters_IOS!N348/B348</f>
        <v>6.15553188762997</v>
      </c>
      <c r="S348" s="54">
        <v>5.78947368421052</v>
      </c>
      <c r="T348" s="54">
        <v>0.894736842105263</v>
      </c>
      <c r="U348" s="58">
        <v>2365.52631578947</v>
      </c>
      <c r="V348" s="54"/>
    </row>
    <row r="349" spans="1:22" s="168" customFormat="1" ht="22.500000" customHeight="1">
      <c r="A349" s="34">
        <v>347</v>
      </c>
      <c r="B349" s="49">
        <v>20</v>
      </c>
      <c r="C349" s="49">
        <v>19</v>
      </c>
      <c r="D349" s="49">
        <v>18</v>
      </c>
      <c r="E349" s="49">
        <v>8</v>
      </c>
      <c r="F349" s="50">
        <f>(C349*100)/B349</f>
        <v>95</v>
      </c>
      <c r="G349" s="156">
        <f>(D349*100)/B349</f>
        <v>90</v>
      </c>
      <c r="H349" s="152">
        <f>((B349-B350)/B349)*100</f>
        <v>5</v>
      </c>
      <c r="I349" s="52">
        <f>((B349-C349)/B349)*100</f>
        <v>5</v>
      </c>
      <c r="J349" s="52">
        <f>((C349-B350)/C349)*100</f>
        <v>0</v>
      </c>
      <c r="K349" s="155"/>
      <c r="L349" s="54">
        <v>1.26315789473684</v>
      </c>
      <c r="M349" s="135" t="s">
        <v>28</v>
      </c>
      <c r="N349" s="54">
        <v>0</v>
      </c>
      <c r="O349" s="56">
        <f>N349/C349</f>
        <v>0</v>
      </c>
      <c r="P349" s="57">
        <f>(Boosters_IOS!B349*100)/Boosters_IOS!N349</f>
        <v>11.2791057318533</v>
      </c>
      <c r="Q349" s="57">
        <f>Boosters_IOS!B349/(C349+D349)</f>
        <v>0.552280344605025</v>
      </c>
      <c r="R349" s="57">
        <f>Boosters_IOS!N349/B349</f>
        <v>9.05850748994989</v>
      </c>
      <c r="S349" s="54">
        <v>5.78947368421052</v>
      </c>
      <c r="T349" s="54">
        <v>0.842105263157895</v>
      </c>
      <c r="U349" s="58">
        <v>1959.21052631579</v>
      </c>
      <c r="V349" s="54"/>
    </row>
    <row r="350" spans="1:22" s="168" customFormat="1" ht="22.500000" customHeight="1">
      <c r="A350" s="34">
        <v>348</v>
      </c>
      <c r="B350" s="49">
        <v>19</v>
      </c>
      <c r="C350" s="49">
        <v>19</v>
      </c>
      <c r="D350" s="49">
        <v>1</v>
      </c>
      <c r="E350" s="49">
        <v>0</v>
      </c>
      <c r="F350" s="50">
        <f>(C350*100)/B350</f>
        <v>100</v>
      </c>
      <c r="G350" s="156">
        <f>(D350*100)/B350</f>
        <v>5.26315789473684</v>
      </c>
      <c r="H350" s="152">
        <f>((B350-B351)/B350)*100</f>
        <v>0</v>
      </c>
      <c r="I350" s="52">
        <f>((B350-C350)/B350)*100</f>
        <v>0</v>
      </c>
      <c r="J350" s="52">
        <f>((C350-B351)/C350)*100</f>
        <v>0</v>
      </c>
      <c r="K350" s="155"/>
      <c r="L350" s="54">
        <v>1.05263157894736</v>
      </c>
      <c r="M350" s="136" t="s">
        <v>28</v>
      </c>
      <c r="N350" s="54">
        <v>0</v>
      </c>
      <c r="O350" s="56">
        <f>N350/C350</f>
        <v>0</v>
      </c>
      <c r="P350" s="57">
        <f>(Boosters_IOS!B350*100)/Boosters_IOS!N350</f>
        <v>1.46496975215873</v>
      </c>
      <c r="Q350" s="57">
        <f>Boosters_IOS!B350/(C350+D350)</f>
        <v>0.05</v>
      </c>
      <c r="R350" s="57">
        <f>Boosters_IOS!N350/B350</f>
        <v>3.59267342344867</v>
      </c>
      <c r="S350" s="54">
        <v>6.1578947368421</v>
      </c>
      <c r="T350" s="54">
        <v>0.526315789473684</v>
      </c>
      <c r="U350" s="58">
        <v>2010.52631578947</v>
      </c>
      <c r="V350" s="54"/>
    </row>
    <row r="351" spans="1:22" s="168" customFormat="1" ht="22.500000" customHeight="1">
      <c r="A351" s="34">
        <v>349</v>
      </c>
      <c r="B351" s="49">
        <v>19</v>
      </c>
      <c r="C351" s="49">
        <v>18</v>
      </c>
      <c r="D351" s="49">
        <v>21</v>
      </c>
      <c r="E351" s="49">
        <v>8</v>
      </c>
      <c r="F351" s="50">
        <f>(C351*100)/B351</f>
        <v>94.7368421052632</v>
      </c>
      <c r="G351" s="156">
        <f>(D351*100)/B351</f>
        <v>110.526315789474</v>
      </c>
      <c r="H351" s="152">
        <f>((B351-B352)/B351)*100</f>
        <v>5.26315789473684</v>
      </c>
      <c r="I351" s="52">
        <f>((B351-C351)/B351)*100</f>
        <v>5.26315789473684</v>
      </c>
      <c r="J351" s="52">
        <f>((C351-B352)/C351)*100</f>
        <v>0</v>
      </c>
      <c r="K351" s="155"/>
      <c r="L351" s="54">
        <v>1.72222222222222</v>
      </c>
      <c r="M351" s="135" t="s">
        <v>28</v>
      </c>
      <c r="N351" s="54">
        <v>0</v>
      </c>
      <c r="O351" s="56">
        <f>N351/C351</f>
        <v>0</v>
      </c>
      <c r="P351" s="57">
        <f>(Boosters_IOS!B351*100)/Boosters_IOS!N351</f>
        <v>0.784234500089402</v>
      </c>
      <c r="Q351" s="57">
        <f>Boosters_IOS!B351/(C351+D351)</f>
        <v>0.105907628788778</v>
      </c>
      <c r="R351" s="57">
        <f>Boosters_IOS!N351/B351</f>
        <v>27.7199413285821</v>
      </c>
      <c r="S351" s="54">
        <v>12.3333333333333</v>
      </c>
      <c r="T351" s="54">
        <v>1.05555555555556</v>
      </c>
      <c r="U351" s="58">
        <v>1328.88888888889</v>
      </c>
      <c r="V351" s="54"/>
    </row>
    <row r="352" spans="1:22" s="168" customFormat="1" ht="22.500000" customHeight="1">
      <c r="A352" s="34">
        <v>350</v>
      </c>
      <c r="B352" s="49">
        <v>18</v>
      </c>
      <c r="C352" s="49">
        <v>18</v>
      </c>
      <c r="D352" s="49">
        <v>11</v>
      </c>
      <c r="E352" s="49">
        <v>3</v>
      </c>
      <c r="F352" s="50">
        <f>(C352*100)/B352</f>
        <v>100</v>
      </c>
      <c r="G352" s="156">
        <f>(D352*100)/B352</f>
        <v>61.1111111111111</v>
      </c>
      <c r="H352" s="152">
        <f>((B352-B353)/B352)*100</f>
        <v>11.1111111111111</v>
      </c>
      <c r="I352" s="52">
        <f>((B352-C352)/B352)*100</f>
        <v>0</v>
      </c>
      <c r="J352" s="52">
        <f>((C352-B353)/C352)*100</f>
        <v>11.1111111111111</v>
      </c>
      <c r="K352" s="155"/>
      <c r="L352" s="54">
        <v>1.22222222222222</v>
      </c>
      <c r="M352" s="136" t="s">
        <v>28</v>
      </c>
      <c r="N352" s="54">
        <v>0</v>
      </c>
      <c r="O352" s="56">
        <f>N352/C352</f>
        <v>0</v>
      </c>
      <c r="P352" s="57">
        <f>(Boosters_IOS!B352*100)/Boosters_IOS!N352</f>
        <v>16.4448223942538</v>
      </c>
      <c r="Q352" s="57">
        <f>Boosters_IOS!B352/(C352+D352)</f>
        <v>0.259365175553428</v>
      </c>
      <c r="R352" s="57">
        <f>Boosters_IOS!N352/B352</f>
        <v>2.54101933211163</v>
      </c>
      <c r="S352" s="54">
        <v>10.5</v>
      </c>
      <c r="T352" s="54">
        <v>0.833333333333333</v>
      </c>
      <c r="U352" s="58">
        <v>1014.16666666667</v>
      </c>
      <c r="V352" s="54"/>
    </row>
    <row r="353" spans="1:22" s="168" customFormat="1" ht="22.500000" customHeight="1">
      <c r="A353" s="34">
        <v>351</v>
      </c>
      <c r="B353" s="49">
        <v>16</v>
      </c>
      <c r="C353" s="49">
        <v>16</v>
      </c>
      <c r="D353" s="49">
        <v>0</v>
      </c>
      <c r="E353" s="49">
        <v>0</v>
      </c>
      <c r="F353" s="50">
        <f>(C353*100)/B353</f>
        <v>100</v>
      </c>
      <c r="G353" s="156">
        <f>(D353*100)/B353</f>
        <v>0</v>
      </c>
      <c r="H353" s="152">
        <f>((B353-B354)/B353)*100</f>
        <v>-6.25</v>
      </c>
      <c r="I353" s="52">
        <f>((B353-C353)/B353)*100</f>
        <v>0</v>
      </c>
      <c r="J353" s="52">
        <f>((C353-B354)/C353)*100</f>
        <v>-6.25</v>
      </c>
      <c r="K353" s="155"/>
      <c r="L353" s="54">
        <v>1.0625</v>
      </c>
      <c r="M353" s="135" t="s">
        <v>28</v>
      </c>
      <c r="N353" s="54">
        <v>0</v>
      </c>
      <c r="O353" s="56">
        <f>N353/C353</f>
        <v>0</v>
      </c>
      <c r="P353" s="57">
        <f>(Boosters_IOS!B353*100)/Boosters_IOS!N353</f>
        <v>0</v>
      </c>
      <c r="Q353" s="57">
        <f>Boosters_IOS!B353/(C353+D353)</f>
        <v>0</v>
      </c>
      <c r="R353" s="57">
        <f>Boosters_IOS!N353/B353</f>
        <v>1</v>
      </c>
      <c r="S353" s="54">
        <v>8.5</v>
      </c>
      <c r="T353" s="54">
        <v>0.5625</v>
      </c>
      <c r="U353" s="58">
        <v>1259.375</v>
      </c>
      <c r="V353" s="54"/>
    </row>
    <row r="354" spans="1:22" s="168" customFormat="1" ht="22.500000" customHeight="1">
      <c r="A354" s="34">
        <v>352</v>
      </c>
      <c r="B354" s="49">
        <v>17</v>
      </c>
      <c r="C354" s="49">
        <v>17</v>
      </c>
      <c r="D354" s="49">
        <v>0</v>
      </c>
      <c r="E354" s="49">
        <v>0</v>
      </c>
      <c r="F354" s="50">
        <f>(C354*100)/B354</f>
        <v>100</v>
      </c>
      <c r="G354" s="156">
        <f>(D354*100)/B354</f>
        <v>0</v>
      </c>
      <c r="H354" s="152">
        <f>((B354-B355)/B354)*100</f>
        <v>-35.2941176470588</v>
      </c>
      <c r="I354" s="52">
        <f>((B354-C354)/B354)*100</f>
        <v>0</v>
      </c>
      <c r="J354" s="52">
        <f>((C354-B355)/C354)*100</f>
        <v>-35.2941176470588</v>
      </c>
      <c r="K354" s="155"/>
      <c r="L354" s="54">
        <v>1.05882352941176</v>
      </c>
      <c r="M354" s="136" t="s">
        <v>28</v>
      </c>
      <c r="N354" s="54">
        <v>0</v>
      </c>
      <c r="O354" s="56">
        <f>N354/C354</f>
        <v>0</v>
      </c>
      <c r="P354" s="57">
        <f>(Boosters_IOS!B354*100)/Boosters_IOS!N354</f>
        <v>0</v>
      </c>
      <c r="Q354" s="57">
        <f>Boosters_IOS!B354/(C354+D354)</f>
        <v>0</v>
      </c>
      <c r="R354" s="57">
        <f>Boosters_IOS!N354/B354</f>
        <v>0.823529411764706</v>
      </c>
      <c r="S354" s="54">
        <v>7.35294117647058</v>
      </c>
      <c r="T354" s="54">
        <v>0.529411764705882</v>
      </c>
      <c r="U354" s="58">
        <v>1276.17647058823</v>
      </c>
      <c r="V354" s="54"/>
    </row>
    <row r="355" spans="1:22" s="168" customFormat="1" ht="22.500000" customHeight="1">
      <c r="A355" s="34">
        <v>353</v>
      </c>
      <c r="B355" s="49">
        <v>23</v>
      </c>
      <c r="C355" s="49">
        <v>16</v>
      </c>
      <c r="D355" s="49">
        <v>24</v>
      </c>
      <c r="E355" s="49">
        <v>19</v>
      </c>
      <c r="F355" s="50">
        <f>(C355*100)/B355</f>
        <v>69.5652173913044</v>
      </c>
      <c r="G355" s="156">
        <f>(D355*100)/B355</f>
        <v>104.347826086957</v>
      </c>
      <c r="H355" s="152">
        <f>((B355-B356)/B355)*100</f>
        <v>30.4347826086957</v>
      </c>
      <c r="I355" s="52">
        <f>((B355-C355)/B355)*100</f>
        <v>30.4347826086957</v>
      </c>
      <c r="J355" s="52">
        <f>((C355-B356)/C355)*100</f>
        <v>0</v>
      </c>
      <c r="K355" s="155"/>
      <c r="L355" s="54">
        <v>4.6875</v>
      </c>
      <c r="M355" s="137" t="s">
        <v>29</v>
      </c>
      <c r="N355" s="54">
        <v>3.74</v>
      </c>
      <c r="O355" s="56">
        <f>N355/C355</f>
        <v>0.23375</v>
      </c>
      <c r="P355" s="57">
        <f>(Boosters_IOS!B355*100)/Boosters_IOS!N355</f>
        <v>28.4206482244152</v>
      </c>
      <c r="Q355" s="57">
        <f>Boosters_IOS!B355/(C355+D355)</f>
        <v>2.54449535517942</v>
      </c>
      <c r="R355" s="57">
        <f>Boosters_IOS!N355/B355</f>
        <v>15.5704024708133</v>
      </c>
      <c r="S355" s="54">
        <v>6.3125</v>
      </c>
      <c r="T355" s="54">
        <v>1.5</v>
      </c>
      <c r="U355" s="58">
        <v>233.125</v>
      </c>
      <c r="V355" s="54"/>
    </row>
    <row r="356" spans="1:22" s="168" customFormat="1" ht="22.500000" customHeight="1">
      <c r="A356" s="34">
        <v>354</v>
      </c>
      <c r="B356" s="49">
        <v>16</v>
      </c>
      <c r="C356" s="49">
        <v>14</v>
      </c>
      <c r="D356" s="49">
        <v>3</v>
      </c>
      <c r="E356" s="49">
        <v>1</v>
      </c>
      <c r="F356" s="50">
        <f>(C356*100)/B356</f>
        <v>87.5</v>
      </c>
      <c r="G356" s="156">
        <f>(D356*100)/B356</f>
        <v>18.75</v>
      </c>
      <c r="H356" s="152">
        <f>((B356-B357)/B356)*100</f>
        <v>6.25</v>
      </c>
      <c r="I356" s="52">
        <f>((B356-C356)/B356)*100</f>
        <v>12.5</v>
      </c>
      <c r="J356" s="52">
        <f>((C356-B357)/C356)*100</f>
        <v>-7.14285714285714</v>
      </c>
      <c r="K356" s="155"/>
      <c r="L356" s="54">
        <v>1</v>
      </c>
      <c r="M356" s="136" t="s">
        <v>28</v>
      </c>
      <c r="N356" s="54">
        <v>0</v>
      </c>
      <c r="O356" s="56">
        <f>N356/C356</f>
        <v>0</v>
      </c>
      <c r="P356" s="57">
        <f>(Boosters_IOS!B356*100)/Boosters_IOS!N356</f>
        <v>41.3590969631555</v>
      </c>
      <c r="Q356" s="57">
        <f>Boosters_IOS!B356/(C356+D356)</f>
        <v>0.544752649736748</v>
      </c>
      <c r="R356" s="57">
        <f>Boosters_IOS!N356/B356</f>
        <v>1.39944953551794</v>
      </c>
      <c r="S356" s="54">
        <v>6.28571428571428</v>
      </c>
      <c r="T356" s="54">
        <v>0.714285714285714</v>
      </c>
      <c r="U356" s="58">
        <v>372.857142857143</v>
      </c>
      <c r="V356" s="54"/>
    </row>
    <row r="357" spans="1:22" s="168" customFormat="1" ht="22.500000" customHeight="1">
      <c r="A357" s="34">
        <v>355</v>
      </c>
      <c r="B357" s="49">
        <v>15</v>
      </c>
      <c r="C357" s="49">
        <v>15</v>
      </c>
      <c r="D357" s="49">
        <v>14</v>
      </c>
      <c r="E357" s="49">
        <v>4</v>
      </c>
      <c r="F357" s="50">
        <f>(C357*100)/B357</f>
        <v>100</v>
      </c>
      <c r="G357" s="156">
        <f>(D357*100)/B357</f>
        <v>93.3333333333333</v>
      </c>
      <c r="H357" s="152">
        <f>((B357-B358)/B357)*100</f>
        <v>6.66666666666667</v>
      </c>
      <c r="I357" s="52">
        <f>((B357-C357)/B357)*100</f>
        <v>0</v>
      </c>
      <c r="J357" s="52">
        <f>((C357-B358)/C357)*100</f>
        <v>6.66666666666667</v>
      </c>
      <c r="K357" s="155"/>
      <c r="L357" s="54">
        <v>1.26666666666666</v>
      </c>
      <c r="M357" s="135" t="s">
        <v>28</v>
      </c>
      <c r="N357" s="54">
        <v>0</v>
      </c>
      <c r="O357" s="56">
        <f>N357/C357</f>
        <v>0</v>
      </c>
      <c r="P357" s="57">
        <f>(Boosters_IOS!B357*100)/Boosters_IOS!N357</f>
        <v>26.9188279313082</v>
      </c>
      <c r="Q357" s="57">
        <f>Boosters_IOS!B357/(C357+D357)</f>
        <v>0.362813451415497</v>
      </c>
      <c r="R357" s="57">
        <f>Boosters_IOS!N357/B357</f>
        <v>2.60575735761318</v>
      </c>
      <c r="S357" s="54">
        <v>7</v>
      </c>
      <c r="T357" s="54">
        <v>0.733333333333333</v>
      </c>
      <c r="U357" s="58">
        <v>298</v>
      </c>
      <c r="V357" s="54"/>
    </row>
    <row r="358" spans="1:22" s="168" customFormat="1" ht="22.500000" customHeight="1">
      <c r="A358" s="34">
        <v>356</v>
      </c>
      <c r="B358" s="49">
        <v>14</v>
      </c>
      <c r="C358" s="49">
        <v>12</v>
      </c>
      <c r="D358" s="49">
        <v>14</v>
      </c>
      <c r="E358" s="49">
        <v>2</v>
      </c>
      <c r="F358" s="50">
        <f>(C358*100)/B358</f>
        <v>85.7142857142857</v>
      </c>
      <c r="G358" s="156">
        <f>(D358*100)/B358</f>
        <v>100</v>
      </c>
      <c r="H358" s="152">
        <f>((B358-B359)/B358)*100</f>
        <v>-7.14285714285714</v>
      </c>
      <c r="I358" s="52">
        <f>((B358-C358)/B358)*100</f>
        <v>14.2857142857143</v>
      </c>
      <c r="J358" s="52">
        <f>((C358-B359)/C358)*100</f>
        <v>-25</v>
      </c>
      <c r="K358" s="155"/>
      <c r="L358" s="54">
        <v>1.83333333333333</v>
      </c>
      <c r="M358" s="136" t="s">
        <v>28</v>
      </c>
      <c r="N358" s="54">
        <v>59.99</v>
      </c>
      <c r="O358" s="56">
        <f>N358/C358</f>
        <v>4.99916666666667</v>
      </c>
      <c r="P358" s="57">
        <f>(Boosters_IOS!B358*100)/Boosters_IOS!N358</f>
        <v>31.2429221245719</v>
      </c>
      <c r="Q358" s="57">
        <f>Boosters_IOS!B358/(C358+D358)</f>
        <v>0.458183948436019</v>
      </c>
      <c r="R358" s="57">
        <f>Boosters_IOS!N358/B358</f>
        <v>2.72353861044975</v>
      </c>
      <c r="S358" s="54">
        <v>4.5</v>
      </c>
      <c r="T358" s="54">
        <v>0.916666666666667</v>
      </c>
      <c r="U358" s="58">
        <v>8334.58333333333</v>
      </c>
      <c r="V358" s="54"/>
    </row>
    <row r="359" spans="1:22" s="168" customFormat="1" ht="22.500000" customHeight="1">
      <c r="A359" s="34">
        <v>357</v>
      </c>
      <c r="B359" s="49">
        <v>15</v>
      </c>
      <c r="C359" s="49">
        <v>14</v>
      </c>
      <c r="D359" s="49">
        <v>16</v>
      </c>
      <c r="E359" s="49">
        <v>7</v>
      </c>
      <c r="F359" s="50">
        <f>(C359*100)/B359</f>
        <v>93.3333333333333</v>
      </c>
      <c r="G359" s="156">
        <f>(D359*100)/B359</f>
        <v>106.666666666667</v>
      </c>
      <c r="H359" s="152">
        <f>((B359-B360)/B359)*100</f>
        <v>6.66666666666667</v>
      </c>
      <c r="I359" s="52">
        <f>((B359-C359)/B359)*100</f>
        <v>6.66666666666667</v>
      </c>
      <c r="J359" s="52">
        <f>((C359-B360)/C359)*100</f>
        <v>0</v>
      </c>
      <c r="K359" s="155"/>
      <c r="L359" s="54">
        <v>2.85714285714285</v>
      </c>
      <c r="M359" s="139" t="s">
        <v>30</v>
      </c>
      <c r="N359" s="54">
        <v>0</v>
      </c>
      <c r="O359" s="56">
        <f>N359/C359</f>
        <v>0</v>
      </c>
      <c r="P359" s="57">
        <f>(Boosters_IOS!B359*100)/Boosters_IOS!N359</f>
        <v>32.1482074023884</v>
      </c>
      <c r="Q359" s="57">
        <f>Boosters_IOS!B359/(C359+D359)</f>
        <v>0.969545345473257</v>
      </c>
      <c r="R359" s="57">
        <f>Boosters_IOS!N359/B359</f>
        <v>6.03172259863687</v>
      </c>
      <c r="S359" s="54">
        <v>11.9285714285714</v>
      </c>
      <c r="T359" s="54">
        <v>1</v>
      </c>
      <c r="U359" s="58">
        <v>6293.57142857143</v>
      </c>
      <c r="V359" s="54"/>
    </row>
    <row r="360" spans="1:22" s="168" customFormat="1" ht="22.500000" customHeight="1">
      <c r="A360" s="34">
        <v>358</v>
      </c>
      <c r="B360" s="49">
        <v>14</v>
      </c>
      <c r="C360" s="49">
        <v>14</v>
      </c>
      <c r="D360" s="49">
        <v>5</v>
      </c>
      <c r="E360" s="49">
        <v>0</v>
      </c>
      <c r="F360" s="50">
        <f>(C360*100)/B360</f>
        <v>100</v>
      </c>
      <c r="G360" s="156">
        <f>(D360*100)/B360</f>
        <v>35.7142857142857</v>
      </c>
      <c r="H360" s="152">
        <f>((B360-B361)/B360)*100</f>
        <v>0</v>
      </c>
      <c r="I360" s="52">
        <f>((B360-C360)/B360)*100</f>
        <v>0</v>
      </c>
      <c r="J360" s="52">
        <f>((C360-B361)/C360)*100</f>
        <v>0</v>
      </c>
      <c r="K360" s="155"/>
      <c r="L360" s="54">
        <v>1</v>
      </c>
      <c r="M360" s="136" t="s">
        <v>28</v>
      </c>
      <c r="N360" s="54">
        <v>0</v>
      </c>
      <c r="O360" s="56">
        <f>N360/C360</f>
        <v>0</v>
      </c>
      <c r="P360" s="57">
        <f>(Boosters_IOS!B360*100)/Boosters_IOS!N360</f>
        <v>20</v>
      </c>
      <c r="Q360" s="57">
        <f>Boosters_IOS!B360/(C360+D360)</f>
        <v>0.217389343303282</v>
      </c>
      <c r="R360" s="57">
        <f>Boosters_IOS!N360/B360</f>
        <v>1.47514197241513</v>
      </c>
      <c r="S360" s="54">
        <v>8.71428571428571</v>
      </c>
      <c r="T360" s="54">
        <v>0.714285714285714</v>
      </c>
      <c r="U360" s="58">
        <v>6224.28571428572</v>
      </c>
      <c r="V360" s="54"/>
    </row>
    <row r="361" spans="1:22" s="168" customFormat="1" ht="22.500000" customHeight="1">
      <c r="A361" s="34">
        <v>359</v>
      </c>
      <c r="B361" s="49">
        <v>14</v>
      </c>
      <c r="C361" s="49">
        <v>14</v>
      </c>
      <c r="D361" s="49">
        <v>11</v>
      </c>
      <c r="E361" s="49">
        <v>3</v>
      </c>
      <c r="F361" s="50">
        <f>(C361*100)/B361</f>
        <v>100</v>
      </c>
      <c r="G361" s="156">
        <f>(D361*100)/B361</f>
        <v>78.5714285714286</v>
      </c>
      <c r="H361" s="152">
        <f>((B361-B362)/B361)*100</f>
        <v>0</v>
      </c>
      <c r="I361" s="52">
        <f>((B361-C361)/B361)*100</f>
        <v>0</v>
      </c>
      <c r="J361" s="52">
        <f>((C361-B362)/C361)*100</f>
        <v>0</v>
      </c>
      <c r="K361" s="155"/>
      <c r="L361" s="54">
        <v>1.5</v>
      </c>
      <c r="M361" s="135" t="s">
        <v>28</v>
      </c>
      <c r="N361" s="54">
        <v>0</v>
      </c>
      <c r="O361" s="56">
        <f>N361/C361</f>
        <v>0</v>
      </c>
      <c r="P361" s="57">
        <f>(Boosters_IOS!B361*100)/Boosters_IOS!N361</f>
        <v>22.545078306373</v>
      </c>
      <c r="Q361" s="57">
        <f>Boosters_IOS!B361/(C361+D361)</f>
        <v>0.391295405462966</v>
      </c>
      <c r="R361" s="57">
        <f>Boosters_IOS!N361/B361</f>
        <v>3.09930968513009</v>
      </c>
      <c r="S361" s="54">
        <v>12.5714285714285</v>
      </c>
      <c r="T361" s="54">
        <v>0.785714285714286</v>
      </c>
      <c r="U361" s="58">
        <v>6050.35714285714</v>
      </c>
      <c r="V361" s="54"/>
    </row>
    <row r="362" spans="1:22" s="168" customFormat="1" ht="22.500000" customHeight="1">
      <c r="A362" s="34">
        <v>360</v>
      </c>
      <c r="B362" s="49">
        <v>14</v>
      </c>
      <c r="C362" s="49">
        <v>14</v>
      </c>
      <c r="D362" s="49">
        <v>5</v>
      </c>
      <c r="E362" s="49">
        <v>2</v>
      </c>
      <c r="F362" s="50">
        <f>(C362*100)/B362</f>
        <v>100</v>
      </c>
      <c r="G362" s="156">
        <f>(D362*100)/B362</f>
        <v>35.7142857142857</v>
      </c>
      <c r="H362" s="152">
        <f>((B362-B363)/B362)*100</f>
        <v>0</v>
      </c>
      <c r="I362" s="52">
        <f>((B362-C362)/B362)*100</f>
        <v>0</v>
      </c>
      <c r="J362" s="52">
        <f>((C362-B363)/C362)*100</f>
        <v>0</v>
      </c>
      <c r="K362" s="155"/>
      <c r="L362" s="54">
        <v>1.14285714285714</v>
      </c>
      <c r="M362" s="136" t="s">
        <v>28</v>
      </c>
      <c r="N362" s="54">
        <v>0</v>
      </c>
      <c r="O362" s="56">
        <f>N362/C362</f>
        <v>0</v>
      </c>
      <c r="P362" s="57">
        <f>(Boosters_IOS!B362*100)/Boosters_IOS!N362</f>
        <v>26.2401866997689</v>
      </c>
      <c r="Q362" s="57">
        <f>Boosters_IOS!B362/(C362+D362)</f>
        <v>0.375284080145387</v>
      </c>
      <c r="R362" s="57">
        <f>Boosters_IOS!N362/B362</f>
        <v>1.94096983606151</v>
      </c>
      <c r="S362" s="54">
        <v>8</v>
      </c>
      <c r="T362" s="54">
        <v>0.642857142857143</v>
      </c>
      <c r="U362" s="58">
        <v>5945.35714285714</v>
      </c>
      <c r="V362" s="54"/>
    </row>
    <row r="363" spans="1:22" s="168" customFormat="1" ht="22.500000" customHeight="1">
      <c r="A363" s="34">
        <v>361</v>
      </c>
      <c r="B363" s="49">
        <v>14</v>
      </c>
      <c r="C363" s="49">
        <v>14</v>
      </c>
      <c r="D363" s="49">
        <v>15</v>
      </c>
      <c r="E363" s="49">
        <v>4</v>
      </c>
      <c r="F363" s="50">
        <f>(C363*100)/B363</f>
        <v>100</v>
      </c>
      <c r="G363" s="156">
        <f>(D363*100)/B363</f>
        <v>107.142857142857</v>
      </c>
      <c r="H363" s="152">
        <f>((B363-B364)/B363)*100</f>
        <v>7.14285714285714</v>
      </c>
      <c r="I363" s="52">
        <f>((B363-C363)/B363)*100</f>
        <v>0</v>
      </c>
      <c r="J363" s="52">
        <f>((C363-B364)/C363)*100</f>
        <v>7.14285714285714</v>
      </c>
      <c r="K363" s="155"/>
      <c r="L363" s="54">
        <v>1.21428571428571</v>
      </c>
      <c r="M363" s="135" t="s">
        <v>28</v>
      </c>
      <c r="N363" s="54">
        <v>0</v>
      </c>
      <c r="O363" s="56">
        <f>N363/C363</f>
        <v>0</v>
      </c>
      <c r="P363" s="57">
        <f>(Boosters_IOS!B363*100)/Boosters_IOS!N363</f>
        <v>0</v>
      </c>
      <c r="Q363" s="57">
        <f>Boosters_IOS!B363/(C363+D363)</f>
        <v>0</v>
      </c>
      <c r="R363" s="57">
        <f>Boosters_IOS!N363/B363</f>
        <v>2.99062467862656</v>
      </c>
      <c r="S363" s="54">
        <v>4.57142857142857</v>
      </c>
      <c r="T363" s="54">
        <v>1</v>
      </c>
      <c r="U363" s="58">
        <v>5765.35714285714</v>
      </c>
      <c r="V363" s="54"/>
    </row>
    <row r="364" spans="1:22" s="168" customFormat="1" ht="22.500000" customHeight="1">
      <c r="A364" s="34">
        <v>362</v>
      </c>
      <c r="B364" s="49">
        <v>13</v>
      </c>
      <c r="C364" s="49">
        <v>13</v>
      </c>
      <c r="D364" s="49">
        <v>12</v>
      </c>
      <c r="E364" s="49">
        <v>3</v>
      </c>
      <c r="F364" s="50">
        <f>(C364*100)/B364</f>
        <v>100</v>
      </c>
      <c r="G364" s="156">
        <f>(D364*100)/B364</f>
        <v>92.3076923076923</v>
      </c>
      <c r="H364" s="152">
        <f>((B364-B365)/B364)*100</f>
        <v>0</v>
      </c>
      <c r="I364" s="52">
        <f>((B364-C364)/B364)*100</f>
        <v>0</v>
      </c>
      <c r="J364" s="52">
        <f>((C364-B365)/C364)*100</f>
        <v>0</v>
      </c>
      <c r="K364" s="155"/>
      <c r="L364" s="54">
        <v>1.15384615384615</v>
      </c>
      <c r="M364" s="138" t="s">
        <v>29</v>
      </c>
      <c r="N364" s="54">
        <v>0</v>
      </c>
      <c r="O364" s="56">
        <f>N364/C364</f>
        <v>0</v>
      </c>
      <c r="P364" s="57">
        <f>(Boosters_IOS!B364*100)/Boosters_IOS!N364</f>
        <v>25.8791562605138</v>
      </c>
      <c r="Q364" s="57">
        <f>Boosters_IOS!B364/(C364+D364)</f>
        <v>0.460863603641977</v>
      </c>
      <c r="R364" s="57">
        <f>Boosters_IOS!N364/B364</f>
        <v>3.42467177804489</v>
      </c>
      <c r="S364" s="54">
        <v>7.07692307692307</v>
      </c>
      <c r="T364" s="54">
        <v>0.846153846153846</v>
      </c>
      <c r="U364" s="58">
        <v>6058.07692307692</v>
      </c>
      <c r="V364" s="54"/>
    </row>
    <row r="365" spans="1:22" s="168" customFormat="1" ht="22.500000" customHeight="1">
      <c r="A365" s="34">
        <v>363</v>
      </c>
      <c r="B365" s="49">
        <v>13</v>
      </c>
      <c r="C365" s="49">
        <v>13</v>
      </c>
      <c r="D365" s="49">
        <v>12</v>
      </c>
      <c r="E365" s="49">
        <v>1</v>
      </c>
      <c r="F365" s="50">
        <f>(C365*100)/B365</f>
        <v>100</v>
      </c>
      <c r="G365" s="156">
        <f>(D365*100)/B365</f>
        <v>92.3076923076923</v>
      </c>
      <c r="H365" s="152">
        <f>((B365-B366)/B365)*100</f>
        <v>-7.69230769230769</v>
      </c>
      <c r="I365" s="52">
        <f>((B365-C365)/B365)*100</f>
        <v>0</v>
      </c>
      <c r="J365" s="52">
        <f>((C365-B366)/C365)*100</f>
        <v>-7.69230769230769</v>
      </c>
      <c r="K365" s="155"/>
      <c r="L365" s="54">
        <v>1.15384615384615</v>
      </c>
      <c r="M365" s="135" t="s">
        <v>28</v>
      </c>
      <c r="N365" s="54">
        <v>0</v>
      </c>
      <c r="O365" s="56">
        <f>N365/C365</f>
        <v>0</v>
      </c>
      <c r="P365" s="57">
        <f>(Boosters_IOS!B365*100)/Boosters_IOS!N365</f>
        <v>29.5547743334638</v>
      </c>
      <c r="Q365" s="57">
        <f>Boosters_IOS!B365/(C365+D365)</f>
        <v>0.380863603641977</v>
      </c>
      <c r="R365" s="57">
        <f>Boosters_IOS!N365/B365</f>
        <v>2.47821214515077</v>
      </c>
      <c r="S365" s="54">
        <v>7.15384615384615</v>
      </c>
      <c r="T365" s="54">
        <v>0.769230769230769</v>
      </c>
      <c r="U365" s="58">
        <v>5942.69230769231</v>
      </c>
      <c r="V365" s="54"/>
    </row>
    <row r="366" spans="1:22" s="168" customFormat="1" ht="22.500000" customHeight="1">
      <c r="A366" s="34">
        <v>364</v>
      </c>
      <c r="B366" s="49">
        <v>14</v>
      </c>
      <c r="C366" s="49">
        <v>13</v>
      </c>
      <c r="D366" s="49">
        <v>15</v>
      </c>
      <c r="E366" s="49">
        <v>4</v>
      </c>
      <c r="F366" s="50">
        <f>(C366*100)/B366</f>
        <v>92.8571428571429</v>
      </c>
      <c r="G366" s="156">
        <f>(D366*100)/B366</f>
        <v>107.142857142857</v>
      </c>
      <c r="H366" s="152">
        <f>((B366-B367)/B366)*100</f>
        <v>7.14285714285714</v>
      </c>
      <c r="I366" s="52">
        <f>((B366-C366)/B366)*100</f>
        <v>7.14285714285714</v>
      </c>
      <c r="J366" s="52">
        <f>((C366-B367)/C366)*100</f>
        <v>0</v>
      </c>
      <c r="K366" s="155"/>
      <c r="L366" s="54">
        <v>1.3076923076923</v>
      </c>
      <c r="M366" s="138" t="s">
        <v>29</v>
      </c>
      <c r="N366" s="54">
        <v>0</v>
      </c>
      <c r="O366" s="56">
        <f>N366/C366</f>
        <v>0</v>
      </c>
      <c r="P366" s="57">
        <f>(Boosters_IOS!B366*100)/Boosters_IOS!N366</f>
        <v>36.152693861246</v>
      </c>
      <c r="Q366" s="57">
        <f>Boosters_IOS!B366/(C366+D366)</f>
        <v>0.60402795211916</v>
      </c>
      <c r="R366" s="57">
        <f>Boosters_IOS!N366/B366</f>
        <v>3.34153772572201</v>
      </c>
      <c r="S366" s="54">
        <v>9.38461538461538</v>
      </c>
      <c r="T366" s="54">
        <v>0.923076923076923</v>
      </c>
      <c r="U366" s="58">
        <v>5755.38461538462</v>
      </c>
      <c r="V366" s="54"/>
    </row>
    <row r="367" spans="1:22" s="168" customFormat="1" ht="22.500000" customHeight="1">
      <c r="A367" s="34">
        <v>365</v>
      </c>
      <c r="B367" s="49">
        <v>13</v>
      </c>
      <c r="C367" s="49">
        <v>13</v>
      </c>
      <c r="D367" s="49">
        <v>11</v>
      </c>
      <c r="E367" s="49">
        <v>3</v>
      </c>
      <c r="F367" s="50">
        <f>(C367*100)/B367</f>
        <v>100</v>
      </c>
      <c r="G367" s="156">
        <f>(D367*100)/B367</f>
        <v>84.6153846153846</v>
      </c>
      <c r="H367" s="152">
        <f>((B367-B368)/B367)*100</f>
        <v>7.69230769230769</v>
      </c>
      <c r="I367" s="52">
        <f>((B367-C367)/B367)*100</f>
        <v>0</v>
      </c>
      <c r="J367" s="52">
        <f>((C367-B368)/C367)*100</f>
        <v>7.69230769230769</v>
      </c>
      <c r="K367" s="155"/>
      <c r="L367" s="54">
        <v>1.3076923076923</v>
      </c>
      <c r="M367" s="137" t="s">
        <v>29</v>
      </c>
      <c r="N367" s="54">
        <v>0</v>
      </c>
      <c r="O367" s="56">
        <f>N367/C367</f>
        <v>0</v>
      </c>
      <c r="P367" s="57">
        <f>(Boosters_IOS!B367*100)/Boosters_IOS!N367</f>
        <v>12.3327041353367</v>
      </c>
      <c r="Q367" s="57">
        <f>Boosters_IOS!B367/(C367+D367)</f>
        <v>0.25</v>
      </c>
      <c r="R367" s="57">
        <f>Boosters_IOS!N367/B367</f>
        <v>3.74239466441123</v>
      </c>
      <c r="S367" s="54">
        <v>3.07692307692307</v>
      </c>
      <c r="T367" s="54">
        <v>0.692307692307692</v>
      </c>
      <c r="U367" s="58">
        <v>5681.92307692308</v>
      </c>
      <c r="V367" s="54"/>
    </row>
    <row r="368" spans="1:22" s="168" customFormat="1" ht="22.500000" customHeight="1">
      <c r="A368" s="34">
        <v>366</v>
      </c>
      <c r="B368" s="49">
        <v>12</v>
      </c>
      <c r="C368" s="49">
        <v>12</v>
      </c>
      <c r="D368" s="49">
        <v>10</v>
      </c>
      <c r="E368" s="49">
        <v>1</v>
      </c>
      <c r="F368" s="50">
        <f>(C368*100)/B368</f>
        <v>100</v>
      </c>
      <c r="G368" s="156">
        <f>(D368*100)/B368</f>
        <v>83.3333333333333</v>
      </c>
      <c r="H368" s="152">
        <f>((B368-B369)/B368)*100</f>
        <v>0</v>
      </c>
      <c r="I368" s="52">
        <f>((B368-C368)/B368)*100</f>
        <v>0</v>
      </c>
      <c r="J368" s="52">
        <f>((C368-B369)/C368)*100</f>
        <v>0</v>
      </c>
      <c r="K368" s="155"/>
      <c r="L368" s="54">
        <v>1.25</v>
      </c>
      <c r="M368" s="136" t="s">
        <v>28</v>
      </c>
      <c r="N368" s="54">
        <v>0</v>
      </c>
      <c r="O368" s="56">
        <f>N368/C368</f>
        <v>0</v>
      </c>
      <c r="P368" s="57">
        <f>(Boosters_IOS!B368*100)/Boosters_IOS!N368</f>
        <v>0</v>
      </c>
      <c r="Q368" s="57">
        <f>Boosters_IOS!B368/(C368+D368)</f>
        <v>0</v>
      </c>
      <c r="R368" s="57">
        <f>Boosters_IOS!N368/B368</f>
        <v>2.55793064965922</v>
      </c>
      <c r="S368" s="54">
        <v>4.41666666666666</v>
      </c>
      <c r="T368" s="54">
        <v>0.916666666666667</v>
      </c>
      <c r="U368" s="58">
        <v>6058.75</v>
      </c>
      <c r="V368" s="54"/>
    </row>
    <row r="369" spans="1:22" s="168" customFormat="1" ht="22.500000" customHeight="1">
      <c r="A369" s="34">
        <v>367</v>
      </c>
      <c r="B369" s="49">
        <v>12</v>
      </c>
      <c r="C369" s="49">
        <v>11</v>
      </c>
      <c r="D369" s="49">
        <v>10</v>
      </c>
      <c r="E369" s="49">
        <v>4</v>
      </c>
      <c r="F369" s="50">
        <f>(C369*100)/B369</f>
        <v>91.6666666666667</v>
      </c>
      <c r="G369" s="156">
        <f>(D369*100)/B369</f>
        <v>83.3333333333333</v>
      </c>
      <c r="H369" s="152">
        <f>((B369-B370)/B369)*100</f>
        <v>0</v>
      </c>
      <c r="I369" s="52">
        <f>((B369-C369)/B369)*100</f>
        <v>8.33333333333333</v>
      </c>
      <c r="J369" s="52">
        <f>((C369-B370)/C369)*100</f>
        <v>-9.09090909090909</v>
      </c>
      <c r="K369" s="155"/>
      <c r="L369" s="54">
        <v>1.36363636363636</v>
      </c>
      <c r="M369" s="135" t="s">
        <v>28</v>
      </c>
      <c r="N369" s="54">
        <v>4.49</v>
      </c>
      <c r="O369" s="56">
        <f>N369/C369</f>
        <v>0.408181818181818</v>
      </c>
      <c r="P369" s="57">
        <f>(Boosters_IOS!B369*100)/Boosters_IOS!N369</f>
        <v>31.4333763789734</v>
      </c>
      <c r="Q369" s="57">
        <f>Boosters_IOS!B369/(C369+D369)</f>
        <v>0.399580598489861</v>
      </c>
      <c r="R369" s="57">
        <f>Boosters_IOS!N369/B369</f>
        <v>2.22459731632588</v>
      </c>
      <c r="S369" s="54">
        <v>7.81818181818181</v>
      </c>
      <c r="T369" s="54">
        <v>0.909090909090909</v>
      </c>
      <c r="U369" s="58">
        <v>536.363636363636</v>
      </c>
      <c r="V369" s="54"/>
    </row>
    <row r="370" spans="1:22" s="168" customFormat="1" ht="22.500000" customHeight="1">
      <c r="A370" s="34">
        <v>368</v>
      </c>
      <c r="B370" s="49">
        <v>12</v>
      </c>
      <c r="C370" s="49">
        <v>12</v>
      </c>
      <c r="D370" s="49">
        <v>12</v>
      </c>
      <c r="E370" s="49">
        <v>3</v>
      </c>
      <c r="F370" s="50">
        <f>(C370*100)/B370</f>
        <v>100</v>
      </c>
      <c r="G370" s="156">
        <f>(D370*100)/B370</f>
        <v>100</v>
      </c>
      <c r="H370" s="152">
        <f>((B370-B371)/B370)*100</f>
        <v>0</v>
      </c>
      <c r="I370" s="52">
        <f>((B370-C370)/B370)*100</f>
        <v>0</v>
      </c>
      <c r="J370" s="52">
        <f>((C370-B371)/C370)*100</f>
        <v>0</v>
      </c>
      <c r="K370" s="155"/>
      <c r="L370" s="54">
        <v>1.25</v>
      </c>
      <c r="M370" s="138" t="s">
        <v>29</v>
      </c>
      <c r="N370" s="54">
        <v>0</v>
      </c>
      <c r="O370" s="56">
        <f>N370/C370</f>
        <v>0</v>
      </c>
      <c r="P370" s="57">
        <f>(Boosters_IOS!B370*100)/Boosters_IOS!N370</f>
        <v>62.0189364511057</v>
      </c>
      <c r="Q370" s="57">
        <f>Boosters_IOS!B370/(C370+D370)</f>
        <v>0.845998967817646</v>
      </c>
      <c r="R370" s="57">
        <f>Boosters_IOS!N370/B370</f>
        <v>2.72819566483412</v>
      </c>
      <c r="S370" s="54">
        <v>4.41666666666666</v>
      </c>
      <c r="T370" s="54">
        <v>0.916666666666667</v>
      </c>
      <c r="U370" s="58">
        <v>6104.16666666667</v>
      </c>
      <c r="V370" s="54"/>
    </row>
    <row r="371" spans="1:22" s="168" customFormat="1" ht="22.500000" customHeight="1">
      <c r="A371" s="34">
        <v>369</v>
      </c>
      <c r="B371" s="49">
        <v>12</v>
      </c>
      <c r="C371" s="49">
        <v>10</v>
      </c>
      <c r="D371" s="49">
        <v>12</v>
      </c>
      <c r="E371" s="49">
        <v>4</v>
      </c>
      <c r="F371" s="50">
        <f>(C371*100)/B371</f>
        <v>83.3333333333333</v>
      </c>
      <c r="G371" s="156">
        <f>(D371*100)/B371</f>
        <v>100</v>
      </c>
      <c r="H371" s="152">
        <f>((B371-B372)/B371)*100</f>
        <v>8.33333333333333</v>
      </c>
      <c r="I371" s="52">
        <f>((B371-C371)/B371)*100</f>
        <v>16.6666666666667</v>
      </c>
      <c r="J371" s="52">
        <f>((C371-B372)/C371)*100</f>
        <v>-10</v>
      </c>
      <c r="K371" s="155"/>
      <c r="L371" s="54">
        <v>1.3</v>
      </c>
      <c r="M371" s="137" t="s">
        <v>29</v>
      </c>
      <c r="N371" s="54">
        <v>0</v>
      </c>
      <c r="O371" s="56">
        <f>N371/C371</f>
        <v>0</v>
      </c>
      <c r="P371" s="57">
        <f>(Boosters_IOS!B371*100)/Boosters_IOS!N371</f>
        <v>22.7689019419552</v>
      </c>
      <c r="Q371" s="57">
        <f>Boosters_IOS!B371/(C371+D371)</f>
        <v>0.393272164264172</v>
      </c>
      <c r="R371" s="57">
        <f>Boosters_IOS!N371/B371</f>
        <v>3.16659525196118</v>
      </c>
      <c r="S371" s="54">
        <v>2.9</v>
      </c>
      <c r="T371" s="54">
        <v>1</v>
      </c>
      <c r="U371" s="58">
        <v>6911</v>
      </c>
      <c r="V371" s="54"/>
    </row>
    <row r="372" spans="1:22" s="168" customFormat="1" ht="22.500000" customHeight="1">
      <c r="A372" s="34">
        <v>370</v>
      </c>
      <c r="B372" s="49">
        <v>11</v>
      </c>
      <c r="C372" s="49">
        <v>11</v>
      </c>
      <c r="D372" s="49">
        <v>11</v>
      </c>
      <c r="E372" s="49">
        <v>1</v>
      </c>
      <c r="F372" s="50">
        <f>(C372*100)/B372</f>
        <v>100</v>
      </c>
      <c r="G372" s="156">
        <f>(D372*100)/B372</f>
        <v>100</v>
      </c>
      <c r="H372" s="152">
        <f>((B372-B373)/B372)*100</f>
        <v>0</v>
      </c>
      <c r="I372" s="52">
        <f>((B372-C372)/B372)*100</f>
        <v>0</v>
      </c>
      <c r="J372" s="52">
        <f>((C372-B373)/C372)*100</f>
        <v>0</v>
      </c>
      <c r="K372" s="155"/>
      <c r="L372" s="54">
        <v>1.18181818181818</v>
      </c>
      <c r="M372" s="138" t="s">
        <v>29</v>
      </c>
      <c r="N372" s="54">
        <v>0</v>
      </c>
      <c r="O372" s="56">
        <f>N372/C372</f>
        <v>0</v>
      </c>
      <c r="P372" s="57">
        <f>(Boosters_IOS!B372*100)/Boosters_IOS!N372</f>
        <v>15.4452085306508</v>
      </c>
      <c r="Q372" s="57">
        <f>Boosters_IOS!B372/(C372+D372)</f>
        <v>0.233199887398289</v>
      </c>
      <c r="R372" s="57">
        <f>Boosters_IOS!N372/B372</f>
        <v>3.01970526245091</v>
      </c>
      <c r="S372" s="54">
        <v>8.36363636363636</v>
      </c>
      <c r="T372" s="54">
        <v>0.909090909090909</v>
      </c>
      <c r="U372" s="58">
        <v>6120</v>
      </c>
      <c r="V372" s="54"/>
    </row>
    <row r="373" spans="1:22" s="168" customFormat="1" ht="22.500000" customHeight="1">
      <c r="A373" s="34">
        <v>371</v>
      </c>
      <c r="B373" s="49">
        <v>11</v>
      </c>
      <c r="C373" s="49">
        <v>11</v>
      </c>
      <c r="D373" s="49">
        <v>5</v>
      </c>
      <c r="E373" s="49">
        <v>0</v>
      </c>
      <c r="F373" s="50">
        <f>(C373*100)/B373</f>
        <v>100</v>
      </c>
      <c r="G373" s="156">
        <f>(D373*100)/B373</f>
        <v>45.4545454545455</v>
      </c>
      <c r="H373" s="152">
        <f>((B373-B374)/B373)*100</f>
        <v>0</v>
      </c>
      <c r="I373" s="52">
        <f>((B373-C373)/B373)*100</f>
        <v>0</v>
      </c>
      <c r="J373" s="52">
        <f>((C373-B374)/C373)*100</f>
        <v>0</v>
      </c>
      <c r="K373" s="155"/>
      <c r="L373" s="54">
        <v>1</v>
      </c>
      <c r="M373" s="135" t="s">
        <v>28</v>
      </c>
      <c r="N373" s="54">
        <v>0</v>
      </c>
      <c r="O373" s="56">
        <f>N373/C373</f>
        <v>0</v>
      </c>
      <c r="P373" s="57">
        <f>(Boosters_IOS!B373*100)/Boosters_IOS!N373</f>
        <v>10.8747705869206</v>
      </c>
      <c r="Q373" s="57">
        <f>Boosters_IOS!B373/(C373+D373)</f>
        <v>0.125</v>
      </c>
      <c r="R373" s="57">
        <f>Boosters_IOS!N373/B373</f>
        <v>1.67192659711701</v>
      </c>
      <c r="S373" s="54">
        <v>4.54545454545454</v>
      </c>
      <c r="T373" s="54">
        <v>0.727272727272727</v>
      </c>
      <c r="U373" s="58">
        <v>6246.36363636364</v>
      </c>
      <c r="V373" s="54"/>
    </row>
    <row r="374" spans="1:22" s="168" customFormat="1" ht="22.500000" customHeight="1">
      <c r="A374" s="34">
        <v>372</v>
      </c>
      <c r="B374" s="49">
        <v>11</v>
      </c>
      <c r="C374" s="49">
        <v>11</v>
      </c>
      <c r="D374" s="49">
        <v>7</v>
      </c>
      <c r="E374" s="49">
        <v>2</v>
      </c>
      <c r="F374" s="50">
        <f>(C374*100)/B374</f>
        <v>100</v>
      </c>
      <c r="G374" s="156">
        <f>(D374*100)/B374</f>
        <v>63.6363636363636</v>
      </c>
      <c r="H374" s="152">
        <f>((B374-B375)/B374)*100</f>
        <v>0</v>
      </c>
      <c r="I374" s="52">
        <f>((B374-C374)/B374)*100</f>
        <v>0</v>
      </c>
      <c r="J374" s="52">
        <f>((C374-B375)/C374)*100</f>
        <v>0</v>
      </c>
      <c r="K374" s="155"/>
      <c r="L374" s="54">
        <v>1.18181818181818</v>
      </c>
      <c r="M374" s="136" t="s">
        <v>28</v>
      </c>
      <c r="N374" s="54">
        <v>0</v>
      </c>
      <c r="O374" s="56">
        <f>N374/C374</f>
        <v>0</v>
      </c>
      <c r="P374" s="57">
        <f>(Boosters_IOS!B374*100)/Boosters_IOS!N374</f>
        <v>6.79816731119755</v>
      </c>
      <c r="Q374" s="57">
        <f>Boosters_IOS!B374/(C374+D374)</f>
        <v>0.166666666666667</v>
      </c>
      <c r="R374" s="57">
        <f>Boosters_IOS!N374/B374</f>
        <v>4.01177641329968</v>
      </c>
      <c r="S374" s="54">
        <v>6.36363636363636</v>
      </c>
      <c r="T374" s="54">
        <v>0.818181818181818</v>
      </c>
      <c r="U374" s="58">
        <v>6179.09090909091</v>
      </c>
      <c r="V374" s="54"/>
    </row>
    <row r="375" spans="1:22" s="168" customFormat="1" ht="22.500000" customHeight="1">
      <c r="A375" s="34">
        <v>373</v>
      </c>
      <c r="B375" s="49">
        <v>11</v>
      </c>
      <c r="C375" s="49">
        <v>11</v>
      </c>
      <c r="D375" s="49">
        <v>11</v>
      </c>
      <c r="E375" s="49">
        <v>3</v>
      </c>
      <c r="F375" s="50">
        <f>(C375*100)/B375</f>
        <v>100</v>
      </c>
      <c r="G375" s="156">
        <f>(D375*100)/B375</f>
        <v>100</v>
      </c>
      <c r="H375" s="152">
        <f>((B375-B376)/B375)*100</f>
        <v>9.09090909090909</v>
      </c>
      <c r="I375" s="52">
        <f>((B375-C375)/B375)*100</f>
        <v>0</v>
      </c>
      <c r="J375" s="52">
        <f>((C375-B376)/C375)*100</f>
        <v>9.09090909090909</v>
      </c>
      <c r="K375" s="155"/>
      <c r="L375" s="54">
        <v>1.18181818181818</v>
      </c>
      <c r="M375" s="135" t="s">
        <v>28</v>
      </c>
      <c r="N375" s="54">
        <v>6.49</v>
      </c>
      <c r="O375" s="56">
        <f>N375/C375</f>
        <v>0.59</v>
      </c>
      <c r="P375" s="57">
        <f>(Boosters_IOS!B375*100)/Boosters_IOS!N375</f>
        <v>0</v>
      </c>
      <c r="Q375" s="57">
        <f>Boosters_IOS!B375/(C375+D375)</f>
        <v>0</v>
      </c>
      <c r="R375" s="57">
        <f>Boosters_IOS!N375/B375</f>
        <v>6.16588257656429</v>
      </c>
      <c r="S375" s="54">
        <v>12.9090909090909</v>
      </c>
      <c r="T375" s="54">
        <v>0.909090909090909</v>
      </c>
      <c r="U375" s="58">
        <v>6289.54545454546</v>
      </c>
      <c r="V375" s="54"/>
    </row>
    <row r="376" spans="1:22" s="168" customFormat="1" ht="22.500000" customHeight="1">
      <c r="A376" s="34">
        <v>374</v>
      </c>
      <c r="B376" s="49">
        <v>10</v>
      </c>
      <c r="C376" s="49">
        <v>9</v>
      </c>
      <c r="D376" s="49">
        <v>8</v>
      </c>
      <c r="E376" s="49">
        <v>0</v>
      </c>
      <c r="F376" s="50">
        <f>(C376*100)/B376</f>
        <v>90</v>
      </c>
      <c r="G376" s="156">
        <f>(D376*100)/B376</f>
        <v>80</v>
      </c>
      <c r="H376" s="152">
        <f>((B376-B377)/B376)*100</f>
        <v>0</v>
      </c>
      <c r="I376" s="52">
        <f>((B376-C376)/B376)*100</f>
        <v>10</v>
      </c>
      <c r="J376" s="52">
        <f>((C376-B377)/C376)*100</f>
        <v>-11.1111111111111</v>
      </c>
      <c r="K376" s="155"/>
      <c r="L376" s="54">
        <v>1.11111111111111</v>
      </c>
      <c r="M376" s="138" t="s">
        <v>29</v>
      </c>
      <c r="N376" s="54">
        <v>0</v>
      </c>
      <c r="O376" s="56">
        <f>N376/C376</f>
        <v>0</v>
      </c>
      <c r="P376" s="57">
        <f>(Boosters_IOS!B376*100)/Boosters_IOS!N376</f>
        <v>36.3512512861218</v>
      </c>
      <c r="Q376" s="57">
        <f>Boosters_IOS!B376/(C376+D376)</f>
        <v>0.677740593591142</v>
      </c>
      <c r="R376" s="57">
        <f>Boosters_IOS!N376/B376</f>
        <v>3.16951677959106</v>
      </c>
      <c r="S376" s="54">
        <v>4.22222222222222</v>
      </c>
      <c r="T376" s="54">
        <v>0.888888888888889</v>
      </c>
      <c r="U376" s="58">
        <v>6487.22222222222</v>
      </c>
      <c r="V376" s="54"/>
    </row>
    <row r="377" spans="1:22" s="168" customFormat="1" ht="22.500000" customHeight="1">
      <c r="A377" s="34">
        <v>375</v>
      </c>
      <c r="B377" s="49">
        <v>10</v>
      </c>
      <c r="C377" s="49">
        <v>10</v>
      </c>
      <c r="D377" s="49">
        <v>9</v>
      </c>
      <c r="E377" s="49">
        <v>2</v>
      </c>
      <c r="F377" s="50">
        <f>(C377*100)/B377</f>
        <v>100</v>
      </c>
      <c r="G377" s="156">
        <f>(D377*100)/B377</f>
        <v>90</v>
      </c>
      <c r="H377" s="152">
        <f>((B377-B378)/B377)*100</f>
        <v>0</v>
      </c>
      <c r="I377" s="52">
        <f>((B377-C377)/B377)*100</f>
        <v>0</v>
      </c>
      <c r="J377" s="52">
        <f>((C377-B378)/C377)*100</f>
        <v>0</v>
      </c>
      <c r="K377" s="155"/>
      <c r="L377" s="54">
        <v>1.2</v>
      </c>
      <c r="M377" s="135" t="s">
        <v>28</v>
      </c>
      <c r="N377" s="54">
        <v>0</v>
      </c>
      <c r="O377" s="56">
        <f>N377/C377</f>
        <v>0</v>
      </c>
      <c r="P377" s="57">
        <f>(Boosters_IOS!B377*100)/Boosters_IOS!N377</f>
        <v>20.1206078203674</v>
      </c>
      <c r="Q377" s="57">
        <f>Boosters_IOS!B377/(C377+D377)</f>
        <v>0.382147107659195</v>
      </c>
      <c r="R377" s="57">
        <f>Boosters_IOS!N377/B377</f>
        <v>3.60863603641976</v>
      </c>
      <c r="S377" s="54">
        <v>2.5</v>
      </c>
      <c r="T377" s="54">
        <v>0.8</v>
      </c>
      <c r="U377" s="58">
        <v>4971</v>
      </c>
      <c r="V377" s="54"/>
    </row>
    <row r="378" spans="1:22" s="168" customFormat="1" ht="22.500000" customHeight="1">
      <c r="A378" s="34">
        <v>376</v>
      </c>
      <c r="B378" s="49">
        <v>10</v>
      </c>
      <c r="C378" s="49">
        <v>10</v>
      </c>
      <c r="D378" s="49">
        <v>6</v>
      </c>
      <c r="E378" s="49">
        <v>0</v>
      </c>
      <c r="F378" s="50">
        <f>(C378*100)/B378</f>
        <v>100</v>
      </c>
      <c r="G378" s="156">
        <f>(D378*100)/B378</f>
        <v>60</v>
      </c>
      <c r="H378" s="152">
        <f>((B378-B379)/B378)*100</f>
        <v>0</v>
      </c>
      <c r="I378" s="52">
        <f>((B378-C378)/B378)*100</f>
        <v>0</v>
      </c>
      <c r="J378" s="52">
        <f>((C378-B379)/C378)*100</f>
        <v>0</v>
      </c>
      <c r="K378" s="155"/>
      <c r="L378" s="54">
        <v>1</v>
      </c>
      <c r="M378" s="136" t="s">
        <v>28</v>
      </c>
      <c r="N378" s="54">
        <v>0</v>
      </c>
      <c r="O378" s="56">
        <f>N378/C378</f>
        <v>0</v>
      </c>
      <c r="P378" s="57">
        <f>(Boosters_IOS!B378*100)/Boosters_IOS!N378</f>
        <v>0</v>
      </c>
      <c r="Q378" s="57">
        <f>Boosters_IOS!B378/(C378+D378)</f>
        <v>0</v>
      </c>
      <c r="R378" s="57">
        <f>Boosters_IOS!N378/B378</f>
        <v>2.36519876138118</v>
      </c>
      <c r="S378" s="54">
        <v>4.6</v>
      </c>
      <c r="T378" s="54">
        <v>0.7</v>
      </c>
      <c r="U378" s="58">
        <v>4887</v>
      </c>
      <c r="V378" s="54"/>
    </row>
    <row r="379" spans="1:22" s="168" customFormat="1" ht="22.500000" customHeight="1">
      <c r="A379" s="34">
        <v>377</v>
      </c>
      <c r="B379" s="49">
        <v>10</v>
      </c>
      <c r="C379" s="49">
        <v>10</v>
      </c>
      <c r="D379" s="49">
        <v>8</v>
      </c>
      <c r="E379" s="49">
        <v>2</v>
      </c>
      <c r="F379" s="50">
        <f>(C379*100)/B379</f>
        <v>100</v>
      </c>
      <c r="G379" s="156">
        <f>(D379*100)/B379</f>
        <v>80</v>
      </c>
      <c r="H379" s="152">
        <f>((B379-B380)/B379)*100</f>
        <v>0</v>
      </c>
      <c r="I379" s="52">
        <f>((B379-C379)/B379)*100</f>
        <v>0</v>
      </c>
      <c r="J379" s="52">
        <f>((C379-B380)/C379)*100</f>
        <v>0</v>
      </c>
      <c r="K379" s="155"/>
      <c r="L379" s="54">
        <v>1.2</v>
      </c>
      <c r="M379" s="135" t="s">
        <v>28</v>
      </c>
      <c r="N379" s="54">
        <v>0</v>
      </c>
      <c r="O379" s="56">
        <f>N379/C379</f>
        <v>0</v>
      </c>
      <c r="P379" s="57">
        <f>(Boosters_IOS!B379*100)/Boosters_IOS!N379</f>
        <v>37.8432054582127</v>
      </c>
      <c r="Q379" s="57">
        <f>Boosters_IOS!B379/(C379+D379)</f>
        <v>0.466177364904837</v>
      </c>
      <c r="R379" s="57">
        <f>Boosters_IOS!N379/B379</f>
        <v>2.21735777048612</v>
      </c>
      <c r="S379" s="54">
        <v>2.8</v>
      </c>
      <c r="T379" s="54">
        <v>0.9</v>
      </c>
      <c r="U379" s="58">
        <v>4835</v>
      </c>
      <c r="V379" s="54"/>
    </row>
    <row r="380" spans="1:22" s="168" customFormat="1" ht="22.500000" customHeight="1">
      <c r="A380" s="34">
        <v>378</v>
      </c>
      <c r="B380" s="49">
        <v>10</v>
      </c>
      <c r="C380" s="49">
        <v>10</v>
      </c>
      <c r="D380" s="49">
        <v>9</v>
      </c>
      <c r="E380" s="49">
        <v>4</v>
      </c>
      <c r="F380" s="50">
        <f>(C380*100)/B380</f>
        <v>100</v>
      </c>
      <c r="G380" s="156">
        <f>(D380*100)/B380</f>
        <v>90</v>
      </c>
      <c r="H380" s="152">
        <f>((B380-B381)/B380)*100</f>
        <v>0</v>
      </c>
      <c r="I380" s="52">
        <f>((B380-C380)/B380)*100</f>
        <v>0</v>
      </c>
      <c r="J380" s="52">
        <f>((C380-B381)/C380)*100</f>
        <v>0</v>
      </c>
      <c r="K380" s="155"/>
      <c r="L380" s="54">
        <v>1.2</v>
      </c>
      <c r="M380" s="136" t="s">
        <v>28</v>
      </c>
      <c r="N380" s="54">
        <v>0</v>
      </c>
      <c r="O380" s="56">
        <f>N380/C380</f>
        <v>0</v>
      </c>
      <c r="P380" s="57">
        <f>(Boosters_IOS!B380*100)/Boosters_IOS!N380</f>
        <v>69.1993947269849</v>
      </c>
      <c r="Q380" s="57">
        <f>Boosters_IOS!B380/(C380+D380)</f>
        <v>0.771157242832199</v>
      </c>
      <c r="R380" s="57">
        <f>Boosters_IOS!N380/B380</f>
        <v>2.11735777048612</v>
      </c>
      <c r="S380" s="54">
        <v>9.7</v>
      </c>
      <c r="T380" s="54">
        <v>0.9</v>
      </c>
      <c r="U380" s="58">
        <v>4095.5</v>
      </c>
      <c r="V380" s="54"/>
    </row>
    <row r="381" spans="1:22" s="168" customFormat="1" ht="22.500000" customHeight="1">
      <c r="A381" s="34">
        <v>379</v>
      </c>
      <c r="B381" s="49">
        <v>10</v>
      </c>
      <c r="C381" s="49">
        <v>10</v>
      </c>
      <c r="D381" s="49">
        <v>10</v>
      </c>
      <c r="E381" s="49">
        <v>2</v>
      </c>
      <c r="F381" s="50">
        <f>(C381*100)/B381</f>
        <v>100</v>
      </c>
      <c r="G381" s="156">
        <f>(D381*100)/B381</f>
        <v>100</v>
      </c>
      <c r="H381" s="152">
        <f>((B381-B382)/B381)*100</f>
        <v>0</v>
      </c>
      <c r="I381" s="52">
        <f>((B381-C381)/B381)*100</f>
        <v>0</v>
      </c>
      <c r="J381" s="52">
        <f>((C381-B382)/C381)*100</f>
        <v>0</v>
      </c>
      <c r="K381" s="155"/>
      <c r="L381" s="54">
        <v>1.4</v>
      </c>
      <c r="M381" s="137" t="s">
        <v>29</v>
      </c>
      <c r="N381" s="54">
        <v>0</v>
      </c>
      <c r="O381" s="56">
        <f>N381/C381</f>
        <v>0</v>
      </c>
      <c r="P381" s="57">
        <f>(Boosters_IOS!B381*100)/Boosters_IOS!N381</f>
        <v>14.303253295134</v>
      </c>
      <c r="Q381" s="57">
        <f>Boosters_IOS!B381/(C381+D381)</f>
        <v>0.256519876138118</v>
      </c>
      <c r="R381" s="57">
        <f>Boosters_IOS!N381/B381</f>
        <v>3.58687455007718</v>
      </c>
      <c r="S381" s="54">
        <v>5.5</v>
      </c>
      <c r="T381" s="54">
        <v>0.9</v>
      </c>
      <c r="U381" s="58">
        <v>3797.5</v>
      </c>
      <c r="V381" s="54"/>
    </row>
    <row r="382" spans="1:22" s="168" customFormat="1" ht="22.500000" customHeight="1">
      <c r="A382" s="34">
        <v>380</v>
      </c>
      <c r="B382" s="49">
        <v>10</v>
      </c>
      <c r="C382" s="49">
        <v>10</v>
      </c>
      <c r="D382" s="49">
        <v>3</v>
      </c>
      <c r="E382" s="49">
        <v>0</v>
      </c>
      <c r="F382" s="50">
        <f>(C382*100)/B382</f>
        <v>100</v>
      </c>
      <c r="G382" s="156">
        <f>(D382*100)/B382</f>
        <v>30</v>
      </c>
      <c r="H382" s="152">
        <f>((B382-B383)/B382)*100</f>
        <v>0</v>
      </c>
      <c r="I382" s="52">
        <f>((B382-C382)/B382)*100</f>
        <v>0</v>
      </c>
      <c r="J382" s="52">
        <f>((C382-B383)/C382)*100</f>
        <v>0</v>
      </c>
      <c r="K382" s="155"/>
      <c r="L382" s="54">
        <v>1</v>
      </c>
      <c r="M382" s="138" t="s">
        <v>29</v>
      </c>
      <c r="N382" s="54">
        <v>0</v>
      </c>
      <c r="O382" s="56">
        <f>N382/C382</f>
        <v>0</v>
      </c>
      <c r="P382" s="57">
        <f>(Boosters_IOS!B382*100)/Boosters_IOS!N382</f>
        <v>26.610659723221</v>
      </c>
      <c r="Q382" s="57">
        <f>Boosters_IOS!B382/(C382+D382)</f>
        <v>0.317722886366335</v>
      </c>
      <c r="R382" s="57">
        <f>Boosters_IOS!N382/B382</f>
        <v>1.55215900910494</v>
      </c>
      <c r="S382" s="54">
        <v>6.6</v>
      </c>
      <c r="T382" s="54">
        <v>0.7</v>
      </c>
      <c r="U382" s="58">
        <v>3872.5</v>
      </c>
      <c r="V382" s="54"/>
    </row>
    <row r="383" spans="1:22" s="168" customFormat="1" ht="22.500000" customHeight="1">
      <c r="A383" s="34">
        <v>381</v>
      </c>
      <c r="B383" s="49">
        <v>10</v>
      </c>
      <c r="C383" s="49">
        <v>10</v>
      </c>
      <c r="D383" s="49">
        <v>7</v>
      </c>
      <c r="E383" s="49">
        <v>2</v>
      </c>
      <c r="F383" s="50">
        <f>(C383*100)/B383</f>
        <v>100</v>
      </c>
      <c r="G383" s="156">
        <f>(D383*100)/B383</f>
        <v>70</v>
      </c>
      <c r="H383" s="152">
        <f>((B383-B384)/B383)*100</f>
        <v>0</v>
      </c>
      <c r="I383" s="52">
        <f>((B383-C383)/B383)*100</f>
        <v>0</v>
      </c>
      <c r="J383" s="52">
        <f>((C383-B384)/C383)*100</f>
        <v>0</v>
      </c>
      <c r="K383" s="155"/>
      <c r="L383" s="54">
        <v>1.1</v>
      </c>
      <c r="M383" s="135" t="s">
        <v>28</v>
      </c>
      <c r="N383" s="54">
        <v>0</v>
      </c>
      <c r="O383" s="56">
        <f>N383/C383</f>
        <v>0</v>
      </c>
      <c r="P383" s="57">
        <f>(Boosters_IOS!B383*100)/Boosters_IOS!N383</f>
        <v>0</v>
      </c>
      <c r="Q383" s="57">
        <f>Boosters_IOS!B383/(C383+D383)</f>
        <v>0</v>
      </c>
      <c r="R383" s="57">
        <f>Boosters_IOS!N383/B383</f>
        <v>3.10863603641976</v>
      </c>
      <c r="S383" s="54">
        <v>5</v>
      </c>
      <c r="T383" s="54">
        <v>0.9</v>
      </c>
      <c r="U383" s="58">
        <v>3679.5</v>
      </c>
      <c r="V383" s="54"/>
    </row>
    <row r="384" spans="1:22" s="168" customFormat="1" ht="22.500000" customHeight="1">
      <c r="A384" s="34">
        <v>382</v>
      </c>
      <c r="B384" s="49">
        <v>10</v>
      </c>
      <c r="C384" s="49">
        <v>10</v>
      </c>
      <c r="D384" s="49">
        <v>10</v>
      </c>
      <c r="E384" s="49">
        <v>1</v>
      </c>
      <c r="F384" s="50">
        <f>(C384*100)/B384</f>
        <v>100</v>
      </c>
      <c r="G384" s="156">
        <f>(D384*100)/B384</f>
        <v>100</v>
      </c>
      <c r="H384" s="152">
        <f>((B384-B385)/B384)*100</f>
        <v>0</v>
      </c>
      <c r="I384" s="52">
        <f>((B384-C384)/B384)*100</f>
        <v>0</v>
      </c>
      <c r="J384" s="52">
        <f>((C384-B385)/C384)*100</f>
        <v>0</v>
      </c>
      <c r="K384" s="155"/>
      <c r="L384" s="54">
        <v>1.3</v>
      </c>
      <c r="M384" s="136" t="s">
        <v>28</v>
      </c>
      <c r="N384" s="54">
        <v>0</v>
      </c>
      <c r="O384" s="56">
        <f>N384/C384</f>
        <v>0</v>
      </c>
      <c r="P384" s="57">
        <f>(Boosters_IOS!B384*100)/Boosters_IOS!N384</f>
        <v>13.5922860936952</v>
      </c>
      <c r="Q384" s="57">
        <f>Boosters_IOS!B384/(C384+D384)</f>
        <v>0.213039752276236</v>
      </c>
      <c r="R384" s="57">
        <f>Boosters_IOS!N384/B384</f>
        <v>3.13471554097223</v>
      </c>
      <c r="S384" s="54">
        <v>3.2</v>
      </c>
      <c r="T384" s="54">
        <v>0.9</v>
      </c>
      <c r="U384" s="58">
        <v>3408.5</v>
      </c>
      <c r="V384" s="54"/>
    </row>
    <row r="385" spans="1:22" s="168" customFormat="1" ht="22.500000" customHeight="1">
      <c r="A385" s="34">
        <v>383</v>
      </c>
      <c r="B385" s="49">
        <v>10</v>
      </c>
      <c r="C385" s="49">
        <v>10</v>
      </c>
      <c r="D385" s="49">
        <v>3</v>
      </c>
      <c r="E385" s="49">
        <v>0</v>
      </c>
      <c r="F385" s="50">
        <f>(C385*100)/B385</f>
        <v>100</v>
      </c>
      <c r="G385" s="156">
        <f>(D385*100)/B385</f>
        <v>30</v>
      </c>
      <c r="H385" s="152">
        <f>((B385-B386)/B385)*100</f>
        <v>0</v>
      </c>
      <c r="I385" s="52">
        <f>((B385-C385)/B385)*100</f>
        <v>0</v>
      </c>
      <c r="J385" s="52">
        <f>((C385-B386)/C385)*100</f>
        <v>0</v>
      </c>
      <c r="K385" s="155"/>
      <c r="L385" s="54">
        <v>1</v>
      </c>
      <c r="M385" s="135" t="s">
        <v>28</v>
      </c>
      <c r="N385" s="54">
        <v>0</v>
      </c>
      <c r="O385" s="56">
        <f>N385/C385</f>
        <v>0</v>
      </c>
      <c r="P385" s="57">
        <f>(Boosters_IOS!B385*100)/Boosters_IOS!N385</f>
        <v>19.0980461593679</v>
      </c>
      <c r="Q385" s="57">
        <f>Boosters_IOS!B385/(C385+D385)</f>
        <v>0.240799809443258</v>
      </c>
      <c r="R385" s="57">
        <f>Boosters_IOS!N385/B385</f>
        <v>1.63911925682871</v>
      </c>
      <c r="S385" s="54">
        <v>3.2</v>
      </c>
      <c r="T385" s="54">
        <v>0.6</v>
      </c>
      <c r="U385" s="58">
        <v>3267</v>
      </c>
      <c r="V385" s="54"/>
    </row>
    <row r="386" spans="1:22" s="168" customFormat="1" ht="22.500000" customHeight="1">
      <c r="A386" s="34">
        <v>384</v>
      </c>
      <c r="B386" s="49">
        <v>10</v>
      </c>
      <c r="C386" s="49">
        <v>10</v>
      </c>
      <c r="D386" s="49">
        <v>10</v>
      </c>
      <c r="E386" s="49">
        <v>1</v>
      </c>
      <c r="F386" s="50">
        <f>(C386*100)/B386</f>
        <v>100</v>
      </c>
      <c r="G386" s="156">
        <f>(D386*100)/B386</f>
        <v>100</v>
      </c>
      <c r="H386" s="152">
        <f>((B386-B387)/B386)*100</f>
        <v>0</v>
      </c>
      <c r="I386" s="52">
        <f>((B386-C386)/B386)*100</f>
        <v>0</v>
      </c>
      <c r="J386" s="52">
        <f>((C386-B387)/C386)*100</f>
        <v>0</v>
      </c>
      <c r="K386" s="155"/>
      <c r="L386" s="54">
        <v>1.2</v>
      </c>
      <c r="M386" s="140" t="s">
        <v>30</v>
      </c>
      <c r="N386" s="54">
        <v>0</v>
      </c>
      <c r="O386" s="56">
        <f>N386/C386</f>
        <v>0</v>
      </c>
      <c r="P386" s="57">
        <f>(Boosters_IOS!B386*100)/Boosters_IOS!N386</f>
        <v>20.8754097026058</v>
      </c>
      <c r="Q386" s="57">
        <f>Boosters_IOS!B386/(C386+D386)</f>
        <v>0.269559628414354</v>
      </c>
      <c r="R386" s="57">
        <f>Boosters_IOS!N386/B386</f>
        <v>2.5825565318673</v>
      </c>
      <c r="S386" s="54">
        <v>3.8</v>
      </c>
      <c r="T386" s="54">
        <v>0.9</v>
      </c>
      <c r="U386" s="58">
        <v>3181</v>
      </c>
      <c r="V386" s="54"/>
    </row>
    <row r="387" spans="1:22" s="168" customFormat="1" ht="22.500000" customHeight="1">
      <c r="A387" s="34">
        <v>385</v>
      </c>
      <c r="B387" s="49">
        <v>10</v>
      </c>
      <c r="C387" s="49">
        <v>10</v>
      </c>
      <c r="D387" s="49">
        <v>9</v>
      </c>
      <c r="E387" s="49">
        <v>4</v>
      </c>
      <c r="F387" s="50">
        <f>(C387*100)/B387</f>
        <v>100</v>
      </c>
      <c r="G387" s="156">
        <f>(D387*100)/B387</f>
        <v>90</v>
      </c>
      <c r="H387" s="152">
        <f>((B387-B388)/B387)*100</f>
        <v>0</v>
      </c>
      <c r="I387" s="52">
        <f>((B387-C387)/B387)*100</f>
        <v>0</v>
      </c>
      <c r="J387" s="52">
        <f>((C387-B388)/C387)*100</f>
        <v>0</v>
      </c>
      <c r="K387" s="155"/>
      <c r="L387" s="54">
        <v>1.1</v>
      </c>
      <c r="M387" s="135" t="s">
        <v>28</v>
      </c>
      <c r="N387" s="54">
        <v>0</v>
      </c>
      <c r="O387" s="56">
        <f>N387/C387</f>
        <v>0</v>
      </c>
      <c r="P387" s="57">
        <f>(Boosters_IOS!B387*100)/Boosters_IOS!N387</f>
        <v>12.195307094171</v>
      </c>
      <c r="Q387" s="57">
        <f>Boosters_IOS!B387/(C387+D387)</f>
        <v>0.217389343303282</v>
      </c>
      <c r="R387" s="57">
        <f>Boosters_IOS!N387/B387</f>
        <v>3.38687455007718</v>
      </c>
      <c r="S387" s="54">
        <v>8.3</v>
      </c>
      <c r="T387" s="54">
        <v>0.8</v>
      </c>
      <c r="U387" s="58">
        <v>3085</v>
      </c>
      <c r="V387" s="54"/>
    </row>
    <row r="388" spans="1:22" s="168" customFormat="1" ht="22.500000" customHeight="1">
      <c r="A388" s="34">
        <v>386</v>
      </c>
      <c r="B388" s="49">
        <v>10</v>
      </c>
      <c r="C388" s="49">
        <v>10</v>
      </c>
      <c r="D388" s="49">
        <v>10</v>
      </c>
      <c r="E388" s="49">
        <v>2</v>
      </c>
      <c r="F388" s="50">
        <f>(C388*100)/B388</f>
        <v>100</v>
      </c>
      <c r="G388" s="156">
        <f>(D388*100)/B388</f>
        <v>100</v>
      </c>
      <c r="H388" s="152">
        <f>((B388-B389)/B388)*100</f>
        <v>0</v>
      </c>
      <c r="I388" s="52">
        <f>((B388-C388)/B388)*100</f>
        <v>0</v>
      </c>
      <c r="J388" s="52">
        <f>((C388-B389)/C388)*100</f>
        <v>0</v>
      </c>
      <c r="K388" s="155"/>
      <c r="L388" s="54">
        <v>1.2</v>
      </c>
      <c r="M388" s="136" t="s">
        <v>28</v>
      </c>
      <c r="N388" s="54">
        <v>0</v>
      </c>
      <c r="O388" s="56">
        <f>N388/C388</f>
        <v>0</v>
      </c>
      <c r="P388" s="57">
        <f>(Boosters_IOS!B388*100)/Boosters_IOS!N388</f>
        <v>22.537323808314</v>
      </c>
      <c r="Q388" s="57">
        <f>Boosters_IOS!B388/(C388+D388)</f>
        <v>0.363039752276236</v>
      </c>
      <c r="R388" s="57">
        <f>Boosters_IOS!N388/B388</f>
        <v>3.221675788696</v>
      </c>
      <c r="S388" s="54">
        <v>6.3</v>
      </c>
      <c r="T388" s="54">
        <v>0.8</v>
      </c>
      <c r="U388" s="58">
        <v>2726.5</v>
      </c>
      <c r="V388" s="54"/>
    </row>
    <row r="389" spans="1:22" s="168" customFormat="1" ht="22.500000" customHeight="1">
      <c r="A389" s="34">
        <v>387</v>
      </c>
      <c r="B389" s="49">
        <v>10</v>
      </c>
      <c r="C389" s="49">
        <v>10</v>
      </c>
      <c r="D389" s="49">
        <v>3</v>
      </c>
      <c r="E389" s="49">
        <v>1</v>
      </c>
      <c r="F389" s="50">
        <f>(C389*100)/B389</f>
        <v>100</v>
      </c>
      <c r="G389" s="156">
        <f>(D389*100)/B389</f>
        <v>30</v>
      </c>
      <c r="H389" s="152">
        <f>((B389-B390)/B389)*100</f>
        <v>0</v>
      </c>
      <c r="I389" s="52">
        <f>((B389-C389)/B389)*100</f>
        <v>0</v>
      </c>
      <c r="J389" s="52">
        <f>((C389-B390)/C389)*100</f>
        <v>0</v>
      </c>
      <c r="K389" s="155"/>
      <c r="L389" s="54">
        <v>1.3</v>
      </c>
      <c r="M389" s="135" t="s">
        <v>28</v>
      </c>
      <c r="N389" s="54">
        <v>0</v>
      </c>
      <c r="O389" s="56">
        <f>N389/C389</f>
        <v>0</v>
      </c>
      <c r="P389" s="57">
        <f>(Boosters_IOS!B389*100)/Boosters_IOS!N389</f>
        <v>27.6256118737458</v>
      </c>
      <c r="Q389" s="57">
        <f>Boosters_IOS!B389/(C389+D389)</f>
        <v>0.404676541963439</v>
      </c>
      <c r="R389" s="57">
        <f>Boosters_IOS!N389/B389</f>
        <v>1.90431801820989</v>
      </c>
      <c r="S389" s="54">
        <v>7.2</v>
      </c>
      <c r="T389" s="54">
        <v>0.8</v>
      </c>
      <c r="U389" s="58">
        <v>2581.5</v>
      </c>
      <c r="V389" s="54"/>
    </row>
    <row r="390" spans="1:22" s="168" customFormat="1" ht="22.500000" customHeight="1">
      <c r="A390" s="34">
        <v>388</v>
      </c>
      <c r="B390" s="49">
        <v>10</v>
      </c>
      <c r="C390" s="49">
        <v>9</v>
      </c>
      <c r="D390" s="49">
        <v>10</v>
      </c>
      <c r="E390" s="49">
        <v>4</v>
      </c>
      <c r="F390" s="50">
        <f>(C390*100)/B390</f>
        <v>90</v>
      </c>
      <c r="G390" s="156">
        <f>(D390*100)/B390</f>
        <v>100</v>
      </c>
      <c r="H390" s="152">
        <f>((B390-B391)/B390)*100</f>
        <v>10</v>
      </c>
      <c r="I390" s="52">
        <f>((B390-C390)/B390)*100</f>
        <v>10</v>
      </c>
      <c r="J390" s="52">
        <f>((C390-B391)/C390)*100</f>
        <v>0</v>
      </c>
      <c r="K390" s="155"/>
      <c r="L390" s="54">
        <v>1.66666666666666</v>
      </c>
      <c r="M390" s="136" t="s">
        <v>28</v>
      </c>
      <c r="N390" s="54">
        <v>0</v>
      </c>
      <c r="O390" s="56">
        <f>N390/C390</f>
        <v>0</v>
      </c>
      <c r="P390" s="57">
        <f>(Boosters_IOS!B390*100)/Boosters_IOS!N390</f>
        <v>44.4385177291634</v>
      </c>
      <c r="Q390" s="57">
        <f>Boosters_IOS!B390/(C390+D390)</f>
        <v>1.855786214161</v>
      </c>
      <c r="R390" s="57">
        <f>Boosters_IOS!N390/B390</f>
        <v>7.93454414567908</v>
      </c>
      <c r="S390" s="54">
        <v>6</v>
      </c>
      <c r="T390" s="54">
        <v>1</v>
      </c>
      <c r="U390" s="58">
        <v>2550.55555555556</v>
      </c>
      <c r="V390" s="54"/>
    </row>
    <row r="391" spans="1:22" s="168" customFormat="1" ht="22.500000" customHeight="1">
      <c r="A391" s="34">
        <v>389</v>
      </c>
      <c r="B391" s="49">
        <v>9</v>
      </c>
      <c r="C391" s="49">
        <v>9</v>
      </c>
      <c r="D391" s="49">
        <v>3</v>
      </c>
      <c r="E391" s="49">
        <v>2</v>
      </c>
      <c r="F391" s="50">
        <f>(C391*100)/B391</f>
        <v>100</v>
      </c>
      <c r="G391" s="156">
        <f>(D391*100)/B391</f>
        <v>33.3333333333333</v>
      </c>
      <c r="H391" s="152">
        <f>((B391-B392)/B391)*100</f>
        <v>0</v>
      </c>
      <c r="I391" s="52">
        <f>((B391-C391)/B391)*100</f>
        <v>0</v>
      </c>
      <c r="J391" s="52">
        <f>((C391-B392)/C391)*100</f>
        <v>0</v>
      </c>
      <c r="K391" s="155"/>
      <c r="L391" s="54">
        <v>1</v>
      </c>
      <c r="M391" s="137" t="s">
        <v>29</v>
      </c>
      <c r="N391" s="54">
        <v>0</v>
      </c>
      <c r="O391" s="56">
        <f>N391/C391</f>
        <v>0</v>
      </c>
      <c r="P391" s="57">
        <f>(Boosters_IOS!B391*100)/Boosters_IOS!N391</f>
        <v>16.1404964774627</v>
      </c>
      <c r="Q391" s="57">
        <f>Boosters_IOS!B391/(C391+D391)</f>
        <v>0.166666666666667</v>
      </c>
      <c r="R391" s="57">
        <f>Boosters_IOS!N391/B391</f>
        <v>1.37679917425412</v>
      </c>
      <c r="S391" s="54">
        <v>4.11111111111111</v>
      </c>
      <c r="T391" s="54">
        <v>0.888888888888889</v>
      </c>
      <c r="U391" s="58">
        <v>2556.66666666667</v>
      </c>
      <c r="V391" s="54"/>
    </row>
    <row r="392" spans="1:22" s="168" customFormat="1" ht="22.500000" customHeight="1">
      <c r="A392" s="34">
        <v>390</v>
      </c>
      <c r="B392" s="49">
        <v>9</v>
      </c>
      <c r="C392" s="49">
        <v>9</v>
      </c>
      <c r="D392" s="49">
        <v>9</v>
      </c>
      <c r="E392" s="49">
        <v>2</v>
      </c>
      <c r="F392" s="50">
        <f>(C392*100)/B392</f>
        <v>100</v>
      </c>
      <c r="G392" s="156">
        <f>(D392*100)/B392</f>
        <v>100</v>
      </c>
      <c r="H392" s="152">
        <f>((B392-B393)/B392)*100</f>
        <v>0</v>
      </c>
      <c r="I392" s="52">
        <f>((B392-C392)/B392)*100</f>
        <v>0</v>
      </c>
      <c r="J392" s="52">
        <f>((C392-B393)/C392)*100</f>
        <v>0</v>
      </c>
      <c r="K392" s="155"/>
      <c r="L392" s="54">
        <v>1.33333333333333</v>
      </c>
      <c r="M392" s="136" t="s">
        <v>28</v>
      </c>
      <c r="N392" s="54">
        <v>0</v>
      </c>
      <c r="O392" s="56">
        <f>N392/C392</f>
        <v>0</v>
      </c>
      <c r="P392" s="57">
        <f>(Boosters_IOS!B392*100)/Boosters_IOS!N392</f>
        <v>26.5504581253207</v>
      </c>
      <c r="Q392" s="57">
        <f>Boosters_IOS!B392/(C392+D392)</f>
        <v>0.403377502529151</v>
      </c>
      <c r="R392" s="57">
        <f>Boosters_IOS!N392/B392</f>
        <v>3.03857282330248</v>
      </c>
      <c r="S392" s="54">
        <v>4.22222222222222</v>
      </c>
      <c r="T392" s="54">
        <v>0.888888888888889</v>
      </c>
      <c r="U392" s="58">
        <v>2197.77777777778</v>
      </c>
      <c r="V392" s="54"/>
    </row>
    <row r="393" spans="1:22" s="168" customFormat="1" ht="22.500000" customHeight="1">
      <c r="A393" s="34">
        <v>391</v>
      </c>
      <c r="B393" s="49">
        <v>9</v>
      </c>
      <c r="C393" s="49">
        <v>9</v>
      </c>
      <c r="D393" s="49">
        <v>6</v>
      </c>
      <c r="E393" s="49">
        <v>0</v>
      </c>
      <c r="F393" s="50">
        <f>(C393*100)/B393</f>
        <v>100</v>
      </c>
      <c r="G393" s="156">
        <f>(D393*100)/B393</f>
        <v>66.6666666666667</v>
      </c>
      <c r="H393" s="152">
        <f>((B393-B394)/B393)*100</f>
        <v>0</v>
      </c>
      <c r="I393" s="52">
        <f>((B393-C393)/B393)*100</f>
        <v>0</v>
      </c>
      <c r="J393" s="52">
        <f>((C393-B394)/C393)*100</f>
        <v>0</v>
      </c>
      <c r="K393" s="155"/>
      <c r="L393" s="54">
        <v>1</v>
      </c>
      <c r="M393" s="135" t="s">
        <v>28</v>
      </c>
      <c r="N393" s="54">
        <v>0</v>
      </c>
      <c r="O393" s="56">
        <f>N393/C393</f>
        <v>0</v>
      </c>
      <c r="P393" s="57">
        <f>(Boosters_IOS!B393*100)/Boosters_IOS!N393</f>
        <v>113.471238010131</v>
      </c>
      <c r="Q393" s="57">
        <f>Boosters_IOS!B393/(C393+D393)</f>
        <v>0.634772672736628</v>
      </c>
      <c r="R393" s="57">
        <f>Boosters_IOS!N393/B393</f>
        <v>0.932354729809675</v>
      </c>
      <c r="S393" s="54">
        <v>4.11111111111111</v>
      </c>
      <c r="T393" s="54">
        <v>0.888888888888889</v>
      </c>
      <c r="U393" s="58">
        <v>2202.22222222222</v>
      </c>
      <c r="V393" s="54"/>
    </row>
    <row r="394" spans="1:22" s="168" customFormat="1" ht="22.500000" customHeight="1">
      <c r="A394" s="34">
        <v>392</v>
      </c>
      <c r="B394" s="49">
        <v>9</v>
      </c>
      <c r="C394" s="49">
        <v>9</v>
      </c>
      <c r="D394" s="49">
        <v>10</v>
      </c>
      <c r="E394" s="49">
        <v>2</v>
      </c>
      <c r="F394" s="50">
        <f>(C394*100)/B394</f>
        <v>100</v>
      </c>
      <c r="G394" s="156">
        <f>(D394*100)/B394</f>
        <v>111.111111111111</v>
      </c>
      <c r="H394" s="152">
        <f>((B394-B395)/B394)*100</f>
        <v>0</v>
      </c>
      <c r="I394" s="52">
        <f>((B394-C394)/B394)*100</f>
        <v>0</v>
      </c>
      <c r="J394" s="52">
        <f>((C394-B395)/C394)*100</f>
        <v>0</v>
      </c>
      <c r="K394" s="155"/>
      <c r="L394" s="54">
        <v>1.55555555555555</v>
      </c>
      <c r="M394" s="136" t="s">
        <v>28</v>
      </c>
      <c r="N394" s="54">
        <v>0</v>
      </c>
      <c r="O394" s="56">
        <f>N394/C394</f>
        <v>0</v>
      </c>
      <c r="P394" s="57">
        <f>(Boosters_IOS!B394*100)/Boosters_IOS!N394</f>
        <v>22.2019742203836</v>
      </c>
      <c r="Q394" s="57">
        <f>Boosters_IOS!B394/(C394+D394)</f>
        <v>0.276883949764458</v>
      </c>
      <c r="R394" s="57">
        <f>Boosters_IOS!N394/B394</f>
        <v>2.63279642176784</v>
      </c>
      <c r="S394" s="54">
        <v>3.77777777777777</v>
      </c>
      <c r="T394" s="54">
        <v>1</v>
      </c>
      <c r="U394" s="58">
        <v>1867.77777777778</v>
      </c>
      <c r="V394" s="54"/>
    </row>
    <row r="395" spans="1:22" s="168" customFormat="1" ht="22.500000" customHeight="1">
      <c r="A395" s="34">
        <v>393</v>
      </c>
      <c r="B395" s="49">
        <v>9</v>
      </c>
      <c r="C395" s="49">
        <v>9</v>
      </c>
      <c r="D395" s="49">
        <v>7</v>
      </c>
      <c r="E395" s="49">
        <v>3</v>
      </c>
      <c r="F395" s="50">
        <f>(C395*100)/B395</f>
        <v>100</v>
      </c>
      <c r="G395" s="156">
        <f>(D395*100)/B395</f>
        <v>77.7777777777778</v>
      </c>
      <c r="H395" s="152">
        <f>((B395-B396)/B395)*100</f>
        <v>0</v>
      </c>
      <c r="I395" s="52">
        <f>((B395-C395)/B395)*100</f>
        <v>0</v>
      </c>
      <c r="J395" s="52">
        <f>((C395-B396)/C395)*100</f>
        <v>0</v>
      </c>
      <c r="K395" s="155"/>
      <c r="L395" s="54">
        <v>1.11111111111111</v>
      </c>
      <c r="M395" s="135" t="s">
        <v>28</v>
      </c>
      <c r="N395" s="54">
        <v>0</v>
      </c>
      <c r="O395" s="56">
        <f>N395/C395</f>
        <v>0</v>
      </c>
      <c r="P395" s="57">
        <f>(Boosters_IOS!B395*100)/Boosters_IOS!N395</f>
        <v>82.9725707618907</v>
      </c>
      <c r="Q395" s="57">
        <f>Boosters_IOS!B395/(C395+D395)</f>
        <v>0.728249225863236</v>
      </c>
      <c r="R395" s="57">
        <f>Boosters_IOS!N395/B395</f>
        <v>1.56035335356654</v>
      </c>
      <c r="S395" s="54">
        <v>8.44444444444444</v>
      </c>
      <c r="T395" s="54">
        <v>0.888888888888889</v>
      </c>
      <c r="U395" s="58">
        <v>1816.11111111111</v>
      </c>
      <c r="V395" s="54"/>
    </row>
    <row r="396" spans="1:22" s="168" customFormat="1" ht="22.500000" customHeight="1">
      <c r="A396" s="34">
        <v>394</v>
      </c>
      <c r="B396" s="49">
        <v>9</v>
      </c>
      <c r="C396" s="49">
        <v>10</v>
      </c>
      <c r="D396" s="49">
        <v>10</v>
      </c>
      <c r="E396" s="49">
        <v>1</v>
      </c>
      <c r="F396" s="50">
        <f>(C396*100)/B396</f>
        <v>111.111111111111</v>
      </c>
      <c r="G396" s="156">
        <f>(D396*100)/B396</f>
        <v>111.111111111111</v>
      </c>
      <c r="H396" s="152">
        <f>((B396-B397)/B396)*100</f>
        <v>-11.1111111111111</v>
      </c>
      <c r="I396" s="52">
        <f>((B396-C396)/B396)*100</f>
        <v>-11.1111111111111</v>
      </c>
      <c r="J396" s="52">
        <f>((C396-B397)/C396)*100</f>
        <v>0</v>
      </c>
      <c r="K396" s="155"/>
      <c r="L396" s="54">
        <v>1.4</v>
      </c>
      <c r="M396" s="136" t="s">
        <v>28</v>
      </c>
      <c r="N396" s="54">
        <v>0</v>
      </c>
      <c r="O396" s="56">
        <f>N396/C396</f>
        <v>0</v>
      </c>
      <c r="P396" s="57">
        <f>(Boosters_IOS!B396*100)/Boosters_IOS!N396</f>
        <v>82.3131988172073</v>
      </c>
      <c r="Q396" s="57">
        <f>Boosters_IOS!B396/(C396+D396)</f>
        <v>0.263039752276236</v>
      </c>
      <c r="R396" s="57">
        <f>Boosters_IOS!N396/B396</f>
        <v>0.710132507587452</v>
      </c>
      <c r="S396" s="54">
        <v>6</v>
      </c>
      <c r="T396" s="54">
        <v>1</v>
      </c>
      <c r="U396" s="58">
        <v>1479</v>
      </c>
      <c r="V396" s="54"/>
    </row>
    <row r="397" spans="1:22" s="168" customFormat="1" ht="22.500000" customHeight="1">
      <c r="A397" s="34">
        <v>395</v>
      </c>
      <c r="B397" s="49">
        <v>10</v>
      </c>
      <c r="C397" s="49">
        <v>10</v>
      </c>
      <c r="D397" s="49">
        <v>11</v>
      </c>
      <c r="E397" s="49">
        <v>1</v>
      </c>
      <c r="F397" s="50">
        <f>(C397*100)/B397</f>
        <v>100</v>
      </c>
      <c r="G397" s="156">
        <f>(D397*100)/B397</f>
        <v>110</v>
      </c>
      <c r="H397" s="152">
        <f>((B397-B398)/B397)*100</f>
        <v>0</v>
      </c>
      <c r="I397" s="52">
        <f>((B397-C397)/B397)*100</f>
        <v>0</v>
      </c>
      <c r="J397" s="52">
        <f>((C397-B398)/C397)*100</f>
        <v>0</v>
      </c>
      <c r="K397" s="155"/>
      <c r="L397" s="54">
        <v>1.3</v>
      </c>
      <c r="M397" s="135" t="s">
        <v>28</v>
      </c>
      <c r="N397" s="54">
        <v>0</v>
      </c>
      <c r="O397" s="56">
        <f>N397/C397</f>
        <v>0</v>
      </c>
      <c r="P397" s="57">
        <f>(Boosters_IOS!B397*100)/Boosters_IOS!N397</f>
        <v>31.1054375349674</v>
      </c>
      <c r="Q397" s="57">
        <f>Boosters_IOS!B397/(C397+D397)</f>
        <v>0.250514049786891</v>
      </c>
      <c r="R397" s="57">
        <f>Boosters_IOS!N397/B397</f>
        <v>1.69127826593365</v>
      </c>
      <c r="S397" s="54">
        <v>4.7</v>
      </c>
      <c r="T397" s="54">
        <v>1</v>
      </c>
      <c r="U397" s="58">
        <v>1090</v>
      </c>
      <c r="V397" s="54"/>
    </row>
    <row r="398" spans="1:22" s="168" customFormat="1" ht="22.500000" customHeight="1">
      <c r="A398" s="34">
        <v>396</v>
      </c>
      <c r="B398" s="49">
        <v>10</v>
      </c>
      <c r="C398" s="49">
        <v>10</v>
      </c>
      <c r="D398" s="49">
        <v>11</v>
      </c>
      <c r="E398" s="49">
        <v>4</v>
      </c>
      <c r="F398" s="50">
        <f>(C398*100)/B398</f>
        <v>100</v>
      </c>
      <c r="G398" s="156">
        <f>(D398*100)/B398</f>
        <v>110</v>
      </c>
      <c r="H398" s="152">
        <f>((B398-B399)/B398)*100</f>
        <v>0</v>
      </c>
      <c r="I398" s="52">
        <f>((B398-C398)/B398)*100</f>
        <v>0</v>
      </c>
      <c r="J398" s="52">
        <f>((C398-B399)/C398)*100</f>
        <v>0</v>
      </c>
      <c r="K398" s="155"/>
      <c r="L398" s="54">
        <v>2.3</v>
      </c>
      <c r="M398" s="136" t="s">
        <v>28</v>
      </c>
      <c r="N398" s="54">
        <v>22.98</v>
      </c>
      <c r="O398" s="56">
        <f>N398/C398</f>
        <v>2.298</v>
      </c>
      <c r="P398" s="57">
        <f>(Boosters_IOS!B398*100)/Boosters_IOS!N398</f>
        <v>14.7313886758044</v>
      </c>
      <c r="Q398" s="57">
        <f>Boosters_IOS!B398/(C398+D398)</f>
        <v>0.459618457800561</v>
      </c>
      <c r="R398" s="57">
        <f>Boosters_IOS!N398/B398</f>
        <v>6.55198761381178</v>
      </c>
      <c r="S398" s="54">
        <v>3.4</v>
      </c>
      <c r="T398" s="54">
        <v>0.9</v>
      </c>
      <c r="U398" s="58">
        <v>3726</v>
      </c>
      <c r="V398" s="54"/>
    </row>
    <row r="399" spans="1:22" s="168" customFormat="1" ht="22.500000" customHeight="1">
      <c r="A399" s="34">
        <v>397</v>
      </c>
      <c r="B399" s="49">
        <v>10</v>
      </c>
      <c r="C399" s="49">
        <v>10</v>
      </c>
      <c r="D399" s="49">
        <v>1</v>
      </c>
      <c r="E399" s="49">
        <v>1</v>
      </c>
      <c r="F399" s="50">
        <f>(C399*100)/B399</f>
        <v>100</v>
      </c>
      <c r="G399" s="156">
        <f>(D399*100)/B399</f>
        <v>10</v>
      </c>
      <c r="H399" s="152">
        <f>((B399-B400)/B399)*100</f>
        <v>0</v>
      </c>
      <c r="I399" s="52">
        <f>((B399-C399)/B399)*100</f>
        <v>0</v>
      </c>
      <c r="J399" s="52">
        <f>((C399-B400)/C399)*100</f>
        <v>0</v>
      </c>
      <c r="K399" s="155"/>
      <c r="L399" s="54">
        <v>1</v>
      </c>
      <c r="M399" s="135" t="s">
        <v>28</v>
      </c>
      <c r="N399" s="54">
        <v>0</v>
      </c>
      <c r="O399" s="56">
        <f>N399/C399</f>
        <v>0</v>
      </c>
      <c r="P399" s="57">
        <f>(Boosters_IOS!B399*100)/Boosters_IOS!N399</f>
        <v>10.9524256474811</v>
      </c>
      <c r="Q399" s="57">
        <f>Boosters_IOS!B399/(C399+D399)</f>
        <v>0.0909090909090909</v>
      </c>
      <c r="R399" s="57">
        <f>Boosters_IOS!N399/B399</f>
        <v>0.913039752276235</v>
      </c>
      <c r="S399" s="54">
        <v>9.6</v>
      </c>
      <c r="T399" s="54">
        <v>0.8</v>
      </c>
      <c r="U399" s="58">
        <v>3792</v>
      </c>
      <c r="V399" s="54"/>
    </row>
    <row r="400" spans="1:22" s="168" customFormat="1" ht="22.500000" customHeight="1">
      <c r="A400" s="34">
        <v>398</v>
      </c>
      <c r="B400" s="49">
        <v>10</v>
      </c>
      <c r="C400" s="49">
        <v>10</v>
      </c>
      <c r="D400" s="49">
        <v>0</v>
      </c>
      <c r="E400" s="49">
        <v>0</v>
      </c>
      <c r="F400" s="50">
        <f>(C400*100)/B400</f>
        <v>100</v>
      </c>
      <c r="G400" s="156">
        <f>(D400*100)/B400</f>
        <v>0</v>
      </c>
      <c r="H400" s="152">
        <f>((B400-B401)/B400)*100</f>
        <v>0</v>
      </c>
      <c r="I400" s="52">
        <f>((B400-C400)/B400)*100</f>
        <v>0</v>
      </c>
      <c r="J400" s="52">
        <f>((C400-B401)/C400)*100</f>
        <v>0</v>
      </c>
      <c r="K400" s="155"/>
      <c r="L400" s="54">
        <v>1</v>
      </c>
      <c r="M400" s="136" t="s">
        <v>28</v>
      </c>
      <c r="N400" s="54">
        <v>0</v>
      </c>
      <c r="O400" s="56">
        <f>N400/C400</f>
        <v>0</v>
      </c>
      <c r="P400" s="57">
        <f>(Boosters_IOS!B400*100)/Boosters_IOS!N400</f>
        <v>10</v>
      </c>
      <c r="Q400" s="57">
        <f>Boosters_IOS!B400/(C400+D400)</f>
        <v>0.1</v>
      </c>
      <c r="R400" s="57">
        <f>Boosters_IOS!N400/B400</f>
        <v>1</v>
      </c>
      <c r="S400" s="54">
        <v>5.5</v>
      </c>
      <c r="T400" s="54">
        <v>0.7</v>
      </c>
      <c r="U400" s="58">
        <v>3768</v>
      </c>
      <c r="V400" s="54"/>
    </row>
    <row r="401" spans="1:22" s="168" customFormat="1" ht="22.500000" customHeight="1">
      <c r="A401" s="34">
        <v>399</v>
      </c>
      <c r="B401" s="49">
        <v>10</v>
      </c>
      <c r="C401" s="49">
        <v>10</v>
      </c>
      <c r="D401" s="49">
        <v>11</v>
      </c>
      <c r="E401" s="49">
        <v>1</v>
      </c>
      <c r="F401" s="50">
        <f>(C401*100)/B401</f>
        <v>100</v>
      </c>
      <c r="G401" s="156">
        <f>(D401*100)/B401</f>
        <v>110</v>
      </c>
      <c r="H401" s="152">
        <f>((B401-B402)/B401)*100</f>
        <v>0</v>
      </c>
      <c r="I401" s="52">
        <f>((B401-C401)/B401)*100</f>
        <v>0</v>
      </c>
      <c r="J401" s="52">
        <f>((C401-B402)/C401)*100</f>
        <v>0</v>
      </c>
      <c r="K401" s="155"/>
      <c r="L401" s="54">
        <v>1.2</v>
      </c>
      <c r="M401" s="135" t="s">
        <v>28</v>
      </c>
      <c r="N401" s="54">
        <v>0</v>
      </c>
      <c r="O401" s="56">
        <f>N401/C401</f>
        <v>0</v>
      </c>
      <c r="P401" s="57">
        <f>(Boosters_IOS!B401*100)/Boosters_IOS!N401</f>
        <v>45.666710468687</v>
      </c>
      <c r="Q401" s="57">
        <f>Boosters_IOS!B401/(C401+D401)</f>
        <v>0.567275364730309</v>
      </c>
      <c r="R401" s="57">
        <f>Boosters_IOS!N401/B401</f>
        <v>2.60863603641977</v>
      </c>
      <c r="S401" s="54">
        <v>4</v>
      </c>
      <c r="T401" s="54">
        <v>1</v>
      </c>
      <c r="U401" s="58">
        <v>3262</v>
      </c>
      <c r="V401" s="54"/>
    </row>
    <row r="402" spans="1:22" s="168" customFormat="1" ht="22.500000" customHeight="1">
      <c r="A402" s="34">
        <v>400</v>
      </c>
      <c r="B402" s="49">
        <v>10</v>
      </c>
      <c r="C402" s="49">
        <v>10</v>
      </c>
      <c r="D402" s="49">
        <v>11</v>
      </c>
      <c r="E402" s="49">
        <v>2</v>
      </c>
      <c r="F402" s="50">
        <f>(C402*100)/B402</f>
        <v>100</v>
      </c>
      <c r="G402" s="156">
        <f>(D402*100)/B402</f>
        <v>110</v>
      </c>
      <c r="H402" s="152">
        <f>((B402-B403)/B402)*100</f>
        <v>100</v>
      </c>
      <c r="I402" s="52">
        <f>((B402-C402)/B402)*100</f>
        <v>0</v>
      </c>
      <c r="J402" s="52">
        <f>((C402-B403)/C402)*100</f>
        <v>100</v>
      </c>
      <c r="K402" s="155"/>
      <c r="L402" s="54">
        <v>1.2</v>
      </c>
      <c r="M402" s="136" t="s">
        <v>28</v>
      </c>
      <c r="N402" s="54">
        <v>0</v>
      </c>
      <c r="O402" s="56">
        <f>N402/C402</f>
        <v>0</v>
      </c>
      <c r="P402" s="57">
        <f>(Boosters_IOS!B402*100)/Boosters_IOS!N402</f>
        <v>25.5379335242622</v>
      </c>
      <c r="Q402" s="57">
        <f>Boosters_IOS!B402/(C402+D402)</f>
        <v>0.196685596322017</v>
      </c>
      <c r="R402" s="57">
        <f>Boosters_IOS!N402/B402</f>
        <v>1.61735777048612</v>
      </c>
      <c r="S402" s="54">
        <v>8.3</v>
      </c>
      <c r="T402" s="54">
        <v>1</v>
      </c>
      <c r="U402" s="58">
        <v>3081</v>
      </c>
      <c r="V402" s="54"/>
    </row>
    <row r="403" spans="1:22" s="168" customFormat="1" ht="22.500000" customHeight="1">
      <c r="A403" s="34">
        <v>401</v>
      </c>
      <c r="B403" s="34"/>
      <c r="C403" s="34"/>
      <c r="D403" s="34"/>
      <c r="E403" s="34"/>
      <c r="F403" s="85"/>
      <c r="G403" s="159"/>
      <c r="H403" s="155"/>
      <c r="I403" s="86"/>
      <c r="J403" s="86"/>
      <c r="K403" s="155"/>
      <c r="L403" s="85"/>
      <c r="M403" s="135" t="s">
        <v>28</v>
      </c>
      <c r="N403" s="88"/>
      <c r="O403" s="141"/>
      <c r="P403" s="57"/>
      <c r="Q403" s="88"/>
      <c r="R403" s="88"/>
      <c r="S403" s="88"/>
      <c r="T403" s="54"/>
      <c r="U403" s="54"/>
      <c r="V403" s="88"/>
    </row>
    <row r="404" spans="1:22" s="168" customFormat="1" ht="22.500000" customHeight="1">
      <c r="A404" s="34">
        <v>402</v>
      </c>
      <c r="B404" s="34"/>
      <c r="C404" s="34"/>
      <c r="D404" s="34"/>
      <c r="E404" s="34"/>
      <c r="F404" s="85"/>
      <c r="G404" s="159"/>
      <c r="H404" s="155"/>
      <c r="I404" s="86"/>
      <c r="J404" s="86"/>
      <c r="K404" s="155"/>
      <c r="L404" s="85"/>
      <c r="M404" s="136" t="s">
        <v>28</v>
      </c>
      <c r="N404" s="88"/>
      <c r="O404" s="141"/>
      <c r="P404" s="57"/>
      <c r="Q404" s="88"/>
      <c r="R404" s="88"/>
      <c r="S404" s="88"/>
      <c r="T404" s="54"/>
      <c r="U404" s="54"/>
      <c r="V404" s="88"/>
    </row>
    <row r="405" spans="1:22" s="168" customFormat="1" ht="22.500000" customHeight="1">
      <c r="A405" s="34">
        <v>403</v>
      </c>
      <c r="B405" s="34"/>
      <c r="C405" s="34"/>
      <c r="D405" s="34"/>
      <c r="E405" s="34"/>
      <c r="F405" s="85"/>
      <c r="G405" s="159"/>
      <c r="H405" s="155"/>
      <c r="I405" s="86"/>
      <c r="J405" s="86"/>
      <c r="K405" s="155"/>
      <c r="L405" s="85"/>
      <c r="M405" s="139" t="s">
        <v>30</v>
      </c>
      <c r="N405" s="88"/>
      <c r="O405" s="141"/>
      <c r="P405" s="31"/>
      <c r="Q405" s="88"/>
      <c r="R405" s="88"/>
      <c r="S405" s="88"/>
      <c r="T405" s="54"/>
      <c r="U405" s="54"/>
      <c r="V405" s="88"/>
    </row>
    <row r="406" spans="1:22" s="168" customFormat="1" ht="22.500000" customHeight="1">
      <c r="A406" s="34">
        <v>404</v>
      </c>
      <c r="B406" s="34"/>
      <c r="C406" s="34"/>
      <c r="D406" s="34"/>
      <c r="E406" s="34"/>
      <c r="F406" s="85"/>
      <c r="G406" s="159"/>
      <c r="H406" s="155"/>
      <c r="I406" s="86"/>
      <c r="J406" s="86"/>
      <c r="K406" s="155"/>
      <c r="L406" s="85"/>
      <c r="M406" s="136" t="s">
        <v>28</v>
      </c>
      <c r="N406" s="88"/>
      <c r="O406" s="141"/>
      <c r="P406" s="31"/>
      <c r="Q406" s="88"/>
      <c r="R406" s="88"/>
      <c r="S406" s="88"/>
      <c r="T406" s="54"/>
      <c r="U406" s="54"/>
      <c r="V406" s="88"/>
    </row>
    <row r="407" spans="1:22" s="168" customFormat="1" ht="22.500000" customHeight="1">
      <c r="A407" s="34">
        <v>405</v>
      </c>
      <c r="B407" s="34"/>
      <c r="C407" s="34"/>
      <c r="D407" s="34"/>
      <c r="E407" s="34"/>
      <c r="F407" s="85"/>
      <c r="G407" s="159"/>
      <c r="H407" s="155"/>
      <c r="I407" s="86"/>
      <c r="J407" s="86"/>
      <c r="K407" s="155"/>
      <c r="L407" s="85"/>
      <c r="M407" s="135" t="s">
        <v>28</v>
      </c>
      <c r="N407" s="88"/>
      <c r="O407" s="141"/>
      <c r="P407" s="31"/>
      <c r="Q407" s="88"/>
      <c r="R407" s="88"/>
      <c r="S407" s="88"/>
      <c r="T407" s="54"/>
      <c r="U407" s="54"/>
      <c r="V407" s="88"/>
    </row>
    <row r="408" spans="1:22" s="168" customFormat="1" ht="22.500000" customHeight="1">
      <c r="A408" s="34">
        <v>406</v>
      </c>
      <c r="B408" s="34"/>
      <c r="C408" s="34"/>
      <c r="D408" s="34"/>
      <c r="E408" s="34"/>
      <c r="F408" s="85"/>
      <c r="G408" s="159"/>
      <c r="H408" s="155"/>
      <c r="I408" s="86"/>
      <c r="J408" s="86"/>
      <c r="K408" s="155"/>
      <c r="L408" s="85"/>
      <c r="M408" s="138" t="s">
        <v>29</v>
      </c>
      <c r="N408" s="88"/>
      <c r="O408" s="141"/>
      <c r="P408" s="31"/>
      <c r="Q408" s="88"/>
      <c r="R408" s="88"/>
      <c r="S408" s="88"/>
      <c r="T408" s="54"/>
      <c r="U408" s="54"/>
      <c r="V408" s="88"/>
    </row>
    <row r="409" spans="1:22" s="168" customFormat="1" ht="22.500000" customHeight="1">
      <c r="A409" s="34">
        <v>407</v>
      </c>
      <c r="B409" s="34"/>
      <c r="C409" s="34"/>
      <c r="D409" s="34"/>
      <c r="E409" s="34"/>
      <c r="F409" s="85"/>
      <c r="G409" s="159"/>
      <c r="H409" s="155"/>
      <c r="I409" s="86"/>
      <c r="J409" s="86"/>
      <c r="K409" s="155"/>
      <c r="L409" s="85"/>
      <c r="M409" s="137" t="s">
        <v>29</v>
      </c>
      <c r="N409" s="88"/>
      <c r="O409" s="141"/>
      <c r="P409" s="31"/>
      <c r="Q409" s="88"/>
      <c r="R409" s="88"/>
      <c r="S409" s="88"/>
      <c r="T409" s="54"/>
      <c r="U409" s="54"/>
      <c r="V409" s="88"/>
    </row>
    <row r="410" spans="1:22" s="168" customFormat="1" ht="22.500000" customHeight="1">
      <c r="A410" s="34">
        <v>408</v>
      </c>
      <c r="B410" s="34"/>
      <c r="C410" s="34"/>
      <c r="D410" s="34"/>
      <c r="E410" s="34"/>
      <c r="F410" s="85"/>
      <c r="G410" s="159"/>
      <c r="H410" s="155"/>
      <c r="I410" s="86"/>
      <c r="J410" s="86"/>
      <c r="K410" s="155"/>
      <c r="L410" s="85"/>
      <c r="M410" s="136" t="s">
        <v>28</v>
      </c>
      <c r="N410" s="88"/>
      <c r="O410" s="141"/>
      <c r="P410" s="31"/>
      <c r="Q410" s="88"/>
      <c r="R410" s="88"/>
      <c r="S410" s="88"/>
      <c r="T410" s="54"/>
      <c r="U410" s="54"/>
      <c r="V410" s="88"/>
    </row>
    <row r="411" spans="1:22" s="168" customFormat="1" ht="22.500000" customHeight="1">
      <c r="A411" s="34">
        <v>409</v>
      </c>
      <c r="B411" s="34"/>
      <c r="C411" s="34"/>
      <c r="D411" s="34"/>
      <c r="E411" s="34"/>
      <c r="F411" s="85"/>
      <c r="G411" s="159"/>
      <c r="H411" s="155"/>
      <c r="I411" s="86"/>
      <c r="J411" s="86"/>
      <c r="K411" s="155"/>
      <c r="L411" s="85"/>
      <c r="M411" s="139" t="s">
        <v>30</v>
      </c>
      <c r="N411" s="88"/>
      <c r="O411" s="141"/>
      <c r="P411" s="31"/>
      <c r="Q411" s="88"/>
      <c r="R411" s="88"/>
      <c r="S411" s="88"/>
      <c r="T411" s="54"/>
      <c r="U411" s="54"/>
      <c r="V411" s="88"/>
    </row>
    <row r="412" spans="1:22" s="168" customFormat="1" ht="22.500000" customHeight="1">
      <c r="A412" s="34">
        <v>410</v>
      </c>
      <c r="B412" s="34"/>
      <c r="C412" s="34"/>
      <c r="D412" s="34"/>
      <c r="E412" s="34"/>
      <c r="F412" s="85"/>
      <c r="G412" s="159"/>
      <c r="H412" s="155"/>
      <c r="I412" s="86"/>
      <c r="J412" s="86"/>
      <c r="K412" s="155"/>
      <c r="L412" s="85"/>
      <c r="M412" s="136" t="s">
        <v>28</v>
      </c>
      <c r="N412" s="88"/>
      <c r="O412" s="141"/>
      <c r="P412" s="31"/>
      <c r="Q412" s="88"/>
      <c r="R412" s="88"/>
      <c r="S412" s="88"/>
      <c r="T412" s="54"/>
      <c r="U412" s="54"/>
      <c r="V412" s="88"/>
    </row>
    <row r="413" spans="1:22" s="168" customFormat="1" ht="22.500000" customHeight="1">
      <c r="A413" s="34">
        <v>411</v>
      </c>
      <c r="B413" s="34"/>
      <c r="C413" s="34"/>
      <c r="D413" s="34"/>
      <c r="E413" s="34"/>
      <c r="F413" s="85"/>
      <c r="G413" s="159"/>
      <c r="H413" s="155"/>
      <c r="I413" s="86"/>
      <c r="J413" s="86"/>
      <c r="K413" s="155"/>
      <c r="L413" s="85"/>
      <c r="M413" s="137" t="s">
        <v>29</v>
      </c>
      <c r="N413" s="88"/>
      <c r="O413" s="141"/>
      <c r="P413" s="31"/>
      <c r="Q413" s="88"/>
      <c r="R413" s="88"/>
      <c r="S413" s="88"/>
      <c r="T413" s="54"/>
      <c r="U413" s="54"/>
      <c r="V413" s="88"/>
    </row>
    <row r="414" spans="1:22" s="168" customFormat="1" ht="22.500000" customHeight="1">
      <c r="A414" s="34">
        <v>412</v>
      </c>
      <c r="B414" s="34"/>
      <c r="C414" s="34"/>
      <c r="D414" s="34"/>
      <c r="E414" s="34"/>
      <c r="F414" s="85"/>
      <c r="G414" s="159"/>
      <c r="H414" s="155"/>
      <c r="I414" s="86"/>
      <c r="J414" s="86"/>
      <c r="K414" s="155"/>
      <c r="L414" s="85"/>
      <c r="M414" s="140" t="s">
        <v>30</v>
      </c>
      <c r="N414" s="88"/>
      <c r="O414" s="141"/>
      <c r="P414" s="31"/>
      <c r="Q414" s="88"/>
      <c r="R414" s="88"/>
      <c r="S414" s="88"/>
      <c r="T414" s="54"/>
      <c r="U414" s="54"/>
      <c r="V414" s="88"/>
    </row>
    <row r="415" spans="1:22" s="168" customFormat="1" ht="22.500000" customHeight="1">
      <c r="A415" s="34">
        <v>413</v>
      </c>
      <c r="B415" s="34"/>
      <c r="C415" s="34"/>
      <c r="D415" s="34"/>
      <c r="E415" s="34"/>
      <c r="F415" s="85"/>
      <c r="G415" s="159"/>
      <c r="H415" s="155"/>
      <c r="I415" s="86"/>
      <c r="J415" s="86"/>
      <c r="K415" s="155"/>
      <c r="L415" s="85"/>
      <c r="M415" s="135" t="s">
        <v>28</v>
      </c>
      <c r="N415" s="88"/>
      <c r="O415" s="141"/>
      <c r="P415" s="31"/>
      <c r="Q415" s="88"/>
      <c r="R415" s="88"/>
      <c r="S415" s="88"/>
      <c r="T415" s="54"/>
      <c r="U415" s="54"/>
      <c r="V415" s="88"/>
    </row>
    <row r="416" spans="1:22" s="168" customFormat="1" ht="22.500000" customHeight="1">
      <c r="A416" s="34">
        <v>414</v>
      </c>
      <c r="B416" s="34"/>
      <c r="C416" s="34"/>
      <c r="D416" s="34"/>
      <c r="E416" s="34"/>
      <c r="F416" s="85"/>
      <c r="G416" s="159"/>
      <c r="H416" s="155"/>
      <c r="I416" s="86"/>
      <c r="J416" s="86"/>
      <c r="K416" s="155"/>
      <c r="L416" s="85"/>
      <c r="M416" s="136" t="s">
        <v>28</v>
      </c>
      <c r="N416" s="88"/>
      <c r="O416" s="141"/>
      <c r="P416" s="31"/>
      <c r="Q416" s="88"/>
      <c r="R416" s="88"/>
      <c r="S416" s="88"/>
      <c r="T416" s="54"/>
      <c r="U416" s="54"/>
      <c r="V416" s="88"/>
    </row>
    <row r="417" spans="1:22" s="168" customFormat="1" ht="22.500000" customHeight="1">
      <c r="A417" s="34">
        <v>415</v>
      </c>
      <c r="B417" s="34"/>
      <c r="C417" s="34"/>
      <c r="D417" s="34"/>
      <c r="E417" s="34"/>
      <c r="F417" s="85"/>
      <c r="G417" s="159"/>
      <c r="H417" s="155"/>
      <c r="I417" s="86"/>
      <c r="J417" s="86"/>
      <c r="K417" s="155"/>
      <c r="L417" s="85"/>
      <c r="M417" s="135" t="s">
        <v>28</v>
      </c>
      <c r="N417" s="88"/>
      <c r="O417" s="141"/>
      <c r="P417" s="31"/>
      <c r="Q417" s="88"/>
      <c r="R417" s="88"/>
      <c r="S417" s="88"/>
      <c r="T417" s="54"/>
      <c r="U417" s="54"/>
      <c r="V417" s="88"/>
    </row>
    <row r="418" spans="1:22" s="168" customFormat="1" ht="22.500000" customHeight="1">
      <c r="A418" s="34">
        <v>416</v>
      </c>
      <c r="B418" s="34"/>
      <c r="C418" s="34"/>
      <c r="D418" s="34"/>
      <c r="E418" s="34"/>
      <c r="F418" s="85"/>
      <c r="G418" s="159"/>
      <c r="H418" s="155"/>
      <c r="I418" s="86"/>
      <c r="J418" s="86"/>
      <c r="K418" s="155"/>
      <c r="L418" s="85"/>
      <c r="M418" s="138" t="s">
        <v>29</v>
      </c>
      <c r="N418" s="88"/>
      <c r="O418" s="141"/>
      <c r="P418" s="31"/>
      <c r="Q418" s="88"/>
      <c r="R418" s="88"/>
      <c r="S418" s="88"/>
      <c r="T418" s="54"/>
      <c r="U418" s="54"/>
      <c r="V418" s="88"/>
    </row>
    <row r="419" spans="1:22" s="168" customFormat="1" ht="22.500000" customHeight="1">
      <c r="A419" s="34">
        <v>417</v>
      </c>
      <c r="B419" s="34"/>
      <c r="C419" s="34"/>
      <c r="D419" s="34"/>
      <c r="E419" s="34"/>
      <c r="F419" s="85"/>
      <c r="G419" s="159"/>
      <c r="H419" s="155"/>
      <c r="I419" s="86"/>
      <c r="J419" s="86"/>
      <c r="K419" s="155"/>
      <c r="L419" s="85"/>
      <c r="M419" s="139" t="s">
        <v>30</v>
      </c>
      <c r="N419" s="88"/>
      <c r="O419" s="141"/>
      <c r="P419" s="31"/>
      <c r="Q419" s="88"/>
      <c r="R419" s="88"/>
      <c r="S419" s="88"/>
      <c r="T419" s="54"/>
      <c r="U419" s="54"/>
      <c r="V419" s="88"/>
    </row>
    <row r="420" spans="1:22" s="168" customFormat="1" ht="22.500000" customHeight="1">
      <c r="A420" s="34">
        <v>418</v>
      </c>
      <c r="B420" s="34"/>
      <c r="C420" s="34"/>
      <c r="D420" s="34"/>
      <c r="E420" s="34"/>
      <c r="F420" s="85"/>
      <c r="G420" s="159"/>
      <c r="H420" s="155"/>
      <c r="I420" s="86"/>
      <c r="J420" s="86"/>
      <c r="K420" s="155"/>
      <c r="L420" s="85"/>
      <c r="M420" s="136" t="s">
        <v>28</v>
      </c>
      <c r="N420" s="88"/>
      <c r="O420" s="141"/>
      <c r="P420" s="31"/>
      <c r="Q420" s="88"/>
      <c r="R420" s="88"/>
      <c r="S420" s="88"/>
      <c r="T420" s="54"/>
      <c r="U420" s="54"/>
      <c r="V420" s="88"/>
    </row>
    <row r="421" spans="1:22" s="168" customFormat="1" ht="22.500000" customHeight="1">
      <c r="A421" s="34">
        <v>419</v>
      </c>
      <c r="B421" s="34"/>
      <c r="C421" s="34"/>
      <c r="D421" s="34"/>
      <c r="E421" s="34"/>
      <c r="F421" s="85"/>
      <c r="G421" s="159"/>
      <c r="H421" s="155"/>
      <c r="I421" s="86"/>
      <c r="J421" s="86"/>
      <c r="K421" s="155"/>
      <c r="L421" s="85"/>
      <c r="M421" s="135" t="s">
        <v>28</v>
      </c>
      <c r="N421" s="88"/>
      <c r="O421" s="141"/>
      <c r="P421" s="31"/>
      <c r="Q421" s="88"/>
      <c r="R421" s="88"/>
      <c r="S421" s="88"/>
      <c r="T421" s="54"/>
      <c r="U421" s="54"/>
      <c r="V421" s="88"/>
    </row>
    <row r="422" spans="1:22" s="168" customFormat="1" ht="22.500000" customHeight="1">
      <c r="A422" s="34">
        <v>420</v>
      </c>
      <c r="B422" s="34"/>
      <c r="C422" s="34"/>
      <c r="D422" s="34"/>
      <c r="E422" s="34"/>
      <c r="F422" s="85"/>
      <c r="G422" s="159"/>
      <c r="H422" s="155"/>
      <c r="I422" s="86"/>
      <c r="J422" s="86"/>
      <c r="K422" s="155"/>
      <c r="L422" s="85"/>
      <c r="M422" s="136" t="s">
        <v>28</v>
      </c>
      <c r="N422" s="88"/>
      <c r="O422" s="141"/>
      <c r="P422" s="31"/>
      <c r="Q422" s="88"/>
      <c r="R422" s="88"/>
      <c r="S422" s="88"/>
      <c r="T422" s="54"/>
      <c r="U422" s="54"/>
      <c r="V422" s="88"/>
    </row>
    <row r="423" spans="1:22" s="168" customFormat="1" ht="22.500000" customHeight="1">
      <c r="A423" s="34">
        <v>421</v>
      </c>
      <c r="B423" s="34"/>
      <c r="C423" s="34"/>
      <c r="D423" s="34"/>
      <c r="E423" s="34"/>
      <c r="F423" s="85"/>
      <c r="G423" s="159"/>
      <c r="H423" s="155"/>
      <c r="I423" s="86"/>
      <c r="J423" s="86"/>
      <c r="K423" s="155"/>
      <c r="L423" s="85"/>
      <c r="M423" s="137" t="s">
        <v>29</v>
      </c>
      <c r="N423" s="88"/>
      <c r="O423" s="141"/>
      <c r="P423" s="31"/>
      <c r="Q423" s="88"/>
      <c r="R423" s="88"/>
      <c r="S423" s="88"/>
      <c r="T423" s="54"/>
      <c r="U423" s="54"/>
      <c r="V423" s="88"/>
    </row>
    <row r="424" spans="1:22" s="168" customFormat="1" ht="22.500000" customHeight="1">
      <c r="A424" s="34">
        <v>422</v>
      </c>
      <c r="B424" s="34"/>
      <c r="C424" s="34"/>
      <c r="D424" s="34"/>
      <c r="E424" s="34"/>
      <c r="F424" s="85"/>
      <c r="G424" s="159"/>
      <c r="H424" s="155"/>
      <c r="I424" s="86"/>
      <c r="J424" s="86"/>
      <c r="K424" s="155"/>
      <c r="L424" s="85"/>
      <c r="M424" s="140" t="s">
        <v>30</v>
      </c>
      <c r="N424" s="88"/>
      <c r="O424" s="141"/>
      <c r="P424" s="31"/>
      <c r="Q424" s="88"/>
      <c r="R424" s="88"/>
      <c r="S424" s="88"/>
      <c r="T424" s="54"/>
      <c r="U424" s="54"/>
      <c r="V424" s="88"/>
    </row>
    <row r="425" spans="1:22" s="168" customFormat="1" ht="22.500000" customHeight="1">
      <c r="A425" s="34">
        <v>423</v>
      </c>
      <c r="B425" s="34"/>
      <c r="C425" s="34"/>
      <c r="D425" s="34"/>
      <c r="E425" s="34"/>
      <c r="F425" s="85"/>
      <c r="G425" s="159"/>
      <c r="H425" s="155"/>
      <c r="I425" s="86"/>
      <c r="J425" s="86"/>
      <c r="K425" s="155"/>
      <c r="L425" s="85"/>
      <c r="M425" s="135" t="s">
        <v>28</v>
      </c>
      <c r="N425" s="88"/>
      <c r="O425" s="141"/>
      <c r="P425" s="31"/>
      <c r="Q425" s="88"/>
      <c r="R425" s="88"/>
      <c r="S425" s="88"/>
      <c r="T425" s="54"/>
      <c r="U425" s="54"/>
      <c r="V425" s="88"/>
    </row>
    <row r="426" spans="1:22" s="168" customFormat="1" ht="22.500000" customHeight="1">
      <c r="A426" s="34">
        <v>424</v>
      </c>
      <c r="B426" s="34"/>
      <c r="C426" s="34"/>
      <c r="D426" s="34"/>
      <c r="E426" s="34"/>
      <c r="F426" s="85"/>
      <c r="G426" s="159"/>
      <c r="H426" s="155"/>
      <c r="I426" s="86"/>
      <c r="J426" s="86"/>
      <c r="K426" s="155"/>
      <c r="L426" s="85"/>
      <c r="M426" s="136" t="s">
        <v>28</v>
      </c>
      <c r="N426" s="88"/>
      <c r="O426" s="141"/>
      <c r="P426" s="31"/>
      <c r="Q426" s="88"/>
      <c r="R426" s="88"/>
      <c r="S426" s="88"/>
      <c r="T426" s="54"/>
      <c r="U426" s="54"/>
      <c r="V426" s="88"/>
    </row>
    <row r="427" spans="1:22" s="168" customFormat="1" ht="22.500000" customHeight="1">
      <c r="A427" s="34">
        <v>425</v>
      </c>
      <c r="B427" s="34"/>
      <c r="C427" s="34"/>
      <c r="D427" s="34"/>
      <c r="E427" s="34"/>
      <c r="F427" s="85"/>
      <c r="G427" s="159"/>
      <c r="H427" s="155"/>
      <c r="I427" s="86"/>
      <c r="J427" s="86"/>
      <c r="K427" s="155"/>
      <c r="L427" s="85"/>
      <c r="M427" s="135" t="s">
        <v>28</v>
      </c>
      <c r="N427" s="88"/>
      <c r="O427" s="141"/>
      <c r="P427" s="31"/>
      <c r="Q427" s="88"/>
      <c r="R427" s="88"/>
      <c r="S427" s="88"/>
      <c r="T427" s="54"/>
      <c r="U427" s="54"/>
      <c r="V427" s="88"/>
    </row>
    <row r="428" spans="1:22" s="168" customFormat="1" ht="22.500000" customHeight="1">
      <c r="A428" s="34">
        <v>426</v>
      </c>
      <c r="B428" s="34"/>
      <c r="C428" s="34"/>
      <c r="D428" s="34"/>
      <c r="E428" s="34"/>
      <c r="F428" s="85"/>
      <c r="G428" s="159"/>
      <c r="H428" s="155"/>
      <c r="I428" s="86"/>
      <c r="J428" s="86"/>
      <c r="K428" s="155"/>
      <c r="L428" s="85"/>
      <c r="M428" s="138" t="s">
        <v>29</v>
      </c>
      <c r="N428" s="88"/>
      <c r="O428" s="141"/>
      <c r="P428" s="31"/>
      <c r="Q428" s="88"/>
      <c r="R428" s="88"/>
      <c r="S428" s="88"/>
      <c r="T428" s="54"/>
      <c r="U428" s="54"/>
      <c r="V428" s="88"/>
    </row>
    <row r="429" spans="1:22" s="168" customFormat="1" ht="22.500000" customHeight="1">
      <c r="A429" s="34">
        <v>427</v>
      </c>
      <c r="B429" s="34"/>
      <c r="C429" s="34"/>
      <c r="D429" s="34"/>
      <c r="E429" s="34"/>
      <c r="F429" s="85"/>
      <c r="G429" s="159"/>
      <c r="H429" s="155"/>
      <c r="I429" s="86"/>
      <c r="J429" s="86"/>
      <c r="K429" s="155"/>
      <c r="L429" s="85"/>
      <c r="M429" s="139" t="s">
        <v>30</v>
      </c>
      <c r="N429" s="88"/>
      <c r="O429" s="141"/>
      <c r="P429" s="31"/>
      <c r="Q429" s="88"/>
      <c r="R429" s="88"/>
      <c r="S429" s="88"/>
      <c r="T429" s="54"/>
      <c r="U429" s="54"/>
      <c r="V429" s="88"/>
    </row>
    <row r="430" spans="1:22" s="168" customFormat="1" ht="22.500000" customHeight="1">
      <c r="A430" s="34">
        <v>428</v>
      </c>
      <c r="B430" s="34"/>
      <c r="C430" s="34"/>
      <c r="D430" s="34"/>
      <c r="E430" s="34"/>
      <c r="F430" s="85"/>
      <c r="G430" s="159"/>
      <c r="H430" s="155"/>
      <c r="I430" s="86"/>
      <c r="J430" s="86"/>
      <c r="K430" s="155"/>
      <c r="L430" s="85"/>
      <c r="M430" s="136" t="s">
        <v>28</v>
      </c>
      <c r="N430" s="88"/>
      <c r="O430" s="141"/>
      <c r="P430" s="31"/>
      <c r="Q430" s="88"/>
      <c r="R430" s="88"/>
      <c r="S430" s="88"/>
      <c r="T430" s="54"/>
      <c r="U430" s="54"/>
      <c r="V430" s="88"/>
    </row>
    <row r="431" spans="1:22" s="168" customFormat="1" ht="22.500000" customHeight="1">
      <c r="A431" s="34">
        <v>429</v>
      </c>
      <c r="B431" s="34"/>
      <c r="C431" s="34"/>
      <c r="D431" s="34"/>
      <c r="E431" s="34"/>
      <c r="F431" s="85"/>
      <c r="G431" s="159"/>
      <c r="H431" s="155"/>
      <c r="I431" s="86"/>
      <c r="J431" s="86"/>
      <c r="K431" s="155"/>
      <c r="L431" s="85"/>
      <c r="M431" s="135" t="s">
        <v>28</v>
      </c>
      <c r="N431" s="88"/>
      <c r="O431" s="141"/>
      <c r="P431" s="31"/>
      <c r="Q431" s="88"/>
      <c r="R431" s="88"/>
      <c r="S431" s="88"/>
      <c r="T431" s="54"/>
      <c r="U431" s="54"/>
      <c r="V431" s="88"/>
    </row>
    <row r="432" spans="1:22" s="168" customFormat="1" ht="22.500000" customHeight="1">
      <c r="A432" s="34">
        <v>430</v>
      </c>
      <c r="B432" s="34"/>
      <c r="C432" s="34"/>
      <c r="D432" s="34"/>
      <c r="E432" s="34"/>
      <c r="F432" s="85"/>
      <c r="G432" s="159"/>
      <c r="H432" s="155"/>
      <c r="I432" s="86"/>
      <c r="J432" s="86"/>
      <c r="K432" s="155"/>
      <c r="L432" s="85"/>
      <c r="M432" s="136" t="s">
        <v>28</v>
      </c>
      <c r="N432" s="88"/>
      <c r="O432" s="141"/>
      <c r="P432" s="31"/>
      <c r="Q432" s="88"/>
      <c r="R432" s="88"/>
      <c r="S432" s="88"/>
      <c r="T432" s="54"/>
      <c r="U432" s="54"/>
      <c r="V432" s="88"/>
    </row>
    <row r="433" spans="1:22" s="168" customFormat="1" ht="22.500000" customHeight="1">
      <c r="A433" s="34">
        <v>431</v>
      </c>
      <c r="B433" s="34"/>
      <c r="C433" s="34"/>
      <c r="D433" s="34"/>
      <c r="E433" s="34"/>
      <c r="F433" s="85"/>
      <c r="G433" s="159"/>
      <c r="H433" s="155"/>
      <c r="I433" s="86"/>
      <c r="J433" s="86"/>
      <c r="K433" s="155"/>
      <c r="L433" s="85"/>
      <c r="M433" s="137" t="s">
        <v>29</v>
      </c>
      <c r="N433" s="88"/>
      <c r="O433" s="141"/>
      <c r="P433" s="31"/>
      <c r="Q433" s="88"/>
      <c r="R433" s="88"/>
      <c r="S433" s="88"/>
      <c r="T433" s="54"/>
      <c r="U433" s="54"/>
      <c r="V433" s="88"/>
    </row>
    <row r="434" spans="1:22" s="168" customFormat="1" ht="22.500000" customHeight="1">
      <c r="A434" s="34">
        <v>432</v>
      </c>
      <c r="B434" s="34"/>
      <c r="C434" s="34"/>
      <c r="D434" s="34"/>
      <c r="E434" s="34"/>
      <c r="F434" s="85"/>
      <c r="G434" s="159"/>
      <c r="H434" s="155"/>
      <c r="I434" s="86"/>
      <c r="J434" s="86"/>
      <c r="K434" s="155"/>
      <c r="L434" s="85"/>
      <c r="M434" s="138" t="s">
        <v>29</v>
      </c>
      <c r="N434" s="88"/>
      <c r="O434" s="141"/>
      <c r="P434" s="31"/>
      <c r="Q434" s="88"/>
      <c r="R434" s="88"/>
      <c r="S434" s="88"/>
      <c r="T434" s="54"/>
      <c r="U434" s="54"/>
      <c r="V434" s="88"/>
    </row>
    <row r="435" spans="1:22" s="168" customFormat="1" ht="22.500000" customHeight="1">
      <c r="A435" s="34">
        <v>433</v>
      </c>
      <c r="B435" s="34"/>
      <c r="C435" s="34"/>
      <c r="D435" s="34"/>
      <c r="E435" s="34"/>
      <c r="F435" s="85"/>
      <c r="G435" s="159"/>
      <c r="H435" s="155"/>
      <c r="I435" s="86"/>
      <c r="J435" s="86"/>
      <c r="K435" s="155"/>
      <c r="L435" s="85"/>
      <c r="M435" s="135" t="s">
        <v>28</v>
      </c>
      <c r="N435" s="88"/>
      <c r="O435" s="141"/>
      <c r="P435" s="31"/>
      <c r="Q435" s="88"/>
      <c r="R435" s="88"/>
      <c r="S435" s="88"/>
      <c r="T435" s="54"/>
      <c r="U435" s="54"/>
      <c r="V435" s="88"/>
    </row>
    <row r="436" spans="1:22" s="168" customFormat="1" ht="22.500000" customHeight="1">
      <c r="A436" s="34">
        <v>434</v>
      </c>
      <c r="B436" s="34"/>
      <c r="C436" s="34"/>
      <c r="D436" s="34"/>
      <c r="E436" s="34"/>
      <c r="F436" s="85"/>
      <c r="G436" s="159"/>
      <c r="H436" s="155"/>
      <c r="I436" s="86"/>
      <c r="J436" s="86"/>
      <c r="K436" s="155"/>
      <c r="L436" s="85"/>
      <c r="M436" s="136" t="s">
        <v>28</v>
      </c>
      <c r="N436" s="88"/>
      <c r="O436" s="141"/>
      <c r="P436" s="31"/>
      <c r="Q436" s="88"/>
      <c r="R436" s="88"/>
      <c r="S436" s="88"/>
      <c r="T436" s="54"/>
      <c r="U436" s="54"/>
      <c r="V436" s="88"/>
    </row>
    <row r="437" spans="1:22" s="168" customFormat="1" ht="22.500000" customHeight="1">
      <c r="A437" s="34">
        <v>435</v>
      </c>
      <c r="B437" s="34"/>
      <c r="C437" s="34"/>
      <c r="D437" s="34"/>
      <c r="E437" s="34"/>
      <c r="F437" s="85"/>
      <c r="G437" s="159"/>
      <c r="H437" s="155"/>
      <c r="I437" s="86"/>
      <c r="J437" s="86"/>
      <c r="K437" s="155"/>
      <c r="L437" s="85"/>
      <c r="M437" s="135" t="s">
        <v>28</v>
      </c>
      <c r="N437" s="88"/>
      <c r="O437" s="141"/>
      <c r="P437" s="31"/>
      <c r="Q437" s="88"/>
      <c r="R437" s="88"/>
      <c r="S437" s="88"/>
      <c r="T437" s="54"/>
      <c r="U437" s="54"/>
      <c r="V437" s="88"/>
    </row>
    <row r="438" spans="1:22" s="168" customFormat="1" ht="22.500000" customHeight="1">
      <c r="A438" s="34">
        <v>436</v>
      </c>
      <c r="B438" s="34"/>
      <c r="C438" s="34"/>
      <c r="D438" s="34"/>
      <c r="E438" s="34"/>
      <c r="F438" s="85"/>
      <c r="G438" s="159"/>
      <c r="H438" s="155"/>
      <c r="I438" s="86"/>
      <c r="J438" s="86"/>
      <c r="K438" s="155"/>
      <c r="L438" s="85"/>
      <c r="M438" s="136" t="s">
        <v>28</v>
      </c>
      <c r="N438" s="88"/>
      <c r="O438" s="141"/>
      <c r="P438" s="31"/>
      <c r="Q438" s="88"/>
      <c r="R438" s="88"/>
      <c r="S438" s="88"/>
      <c r="T438" s="54"/>
      <c r="U438" s="54"/>
      <c r="V438" s="88"/>
    </row>
    <row r="439" spans="1:22" s="168" customFormat="1" ht="22.500000" customHeight="1">
      <c r="A439" s="34">
        <v>437</v>
      </c>
      <c r="B439" s="34"/>
      <c r="C439" s="34"/>
      <c r="D439" s="34"/>
      <c r="E439" s="34"/>
      <c r="F439" s="85"/>
      <c r="G439" s="159"/>
      <c r="H439" s="155"/>
      <c r="I439" s="86"/>
      <c r="J439" s="86"/>
      <c r="K439" s="155"/>
      <c r="L439" s="85"/>
      <c r="M439" s="135" t="s">
        <v>28</v>
      </c>
      <c r="N439" s="88"/>
      <c r="O439" s="141"/>
      <c r="P439" s="31"/>
      <c r="Q439" s="88"/>
      <c r="R439" s="88"/>
      <c r="S439" s="88"/>
      <c r="T439" s="54"/>
      <c r="U439" s="54"/>
      <c r="V439" s="88"/>
    </row>
    <row r="440" spans="1:22" s="168" customFormat="1" ht="22.500000" customHeight="1">
      <c r="A440" s="34">
        <v>438</v>
      </c>
      <c r="B440" s="34"/>
      <c r="C440" s="34"/>
      <c r="D440" s="34"/>
      <c r="E440" s="34"/>
      <c r="F440" s="85"/>
      <c r="G440" s="159"/>
      <c r="H440" s="155"/>
      <c r="I440" s="86"/>
      <c r="J440" s="86"/>
      <c r="K440" s="155"/>
      <c r="L440" s="85"/>
      <c r="M440" s="136" t="s">
        <v>28</v>
      </c>
      <c r="N440" s="88"/>
      <c r="O440" s="141"/>
      <c r="P440" s="31"/>
      <c r="Q440" s="88"/>
      <c r="R440" s="88"/>
      <c r="S440" s="88"/>
      <c r="T440" s="54"/>
      <c r="U440" s="54"/>
      <c r="V440" s="88"/>
    </row>
    <row r="441" spans="1:22" s="168" customFormat="1" ht="22.500000" customHeight="1">
      <c r="A441" s="34">
        <v>439</v>
      </c>
      <c r="B441" s="34"/>
      <c r="C441" s="34"/>
      <c r="D441" s="34"/>
      <c r="E441" s="34"/>
      <c r="F441" s="85"/>
      <c r="G441" s="159"/>
      <c r="H441" s="155"/>
      <c r="I441" s="86"/>
      <c r="J441" s="86"/>
      <c r="K441" s="155"/>
      <c r="L441" s="85"/>
      <c r="M441" s="135" t="s">
        <v>28</v>
      </c>
      <c r="N441" s="88"/>
      <c r="O441" s="141"/>
      <c r="P441" s="31"/>
      <c r="Q441" s="88"/>
      <c r="R441" s="88"/>
      <c r="S441" s="88"/>
      <c r="T441" s="54"/>
      <c r="U441" s="54"/>
      <c r="V441" s="88"/>
    </row>
    <row r="442" spans="1:22" s="168" customFormat="1" ht="22.500000" customHeight="1">
      <c r="A442" s="34">
        <v>440</v>
      </c>
      <c r="B442" s="34"/>
      <c r="C442" s="34"/>
      <c r="D442" s="34"/>
      <c r="E442" s="34"/>
      <c r="F442" s="85"/>
      <c r="G442" s="159"/>
      <c r="H442" s="155"/>
      <c r="I442" s="86"/>
      <c r="J442" s="86"/>
      <c r="K442" s="155"/>
      <c r="L442" s="85"/>
      <c r="M442" s="136" t="s">
        <v>28</v>
      </c>
      <c r="N442" s="88"/>
      <c r="O442" s="141"/>
      <c r="P442" s="31"/>
      <c r="Q442" s="88"/>
      <c r="R442" s="88"/>
      <c r="S442" s="88"/>
      <c r="T442" s="54"/>
      <c r="U442" s="54"/>
      <c r="V442" s="88"/>
    </row>
    <row r="443" spans="1:22" s="168" customFormat="1" ht="22.500000" customHeight="1">
      <c r="A443" s="34">
        <v>441</v>
      </c>
      <c r="B443" s="34"/>
      <c r="C443" s="34"/>
      <c r="D443" s="34"/>
      <c r="E443" s="34"/>
      <c r="F443" s="85"/>
      <c r="G443" s="159"/>
      <c r="H443" s="155"/>
      <c r="I443" s="86"/>
      <c r="J443" s="86"/>
      <c r="K443" s="155"/>
      <c r="L443" s="85"/>
      <c r="M443" s="137" t="s">
        <v>29</v>
      </c>
      <c r="N443" s="88"/>
      <c r="O443" s="141"/>
      <c r="P443" s="31"/>
      <c r="Q443" s="88"/>
      <c r="R443" s="88"/>
      <c r="S443" s="88"/>
      <c r="T443" s="54"/>
      <c r="U443" s="54"/>
      <c r="V443" s="88"/>
    </row>
    <row r="444" spans="1:22" s="168" customFormat="1" ht="22.500000" customHeight="1">
      <c r="A444" s="34">
        <v>442</v>
      </c>
      <c r="B444" s="34"/>
      <c r="C444" s="34"/>
      <c r="D444" s="34"/>
      <c r="E444" s="34"/>
      <c r="F444" s="85"/>
      <c r="G444" s="159"/>
      <c r="H444" s="155"/>
      <c r="I444" s="86"/>
      <c r="J444" s="86"/>
      <c r="K444" s="155"/>
      <c r="L444" s="85"/>
      <c r="M444" s="140" t="s">
        <v>30</v>
      </c>
      <c r="N444" s="88"/>
      <c r="O444" s="141"/>
      <c r="P444" s="31"/>
      <c r="Q444" s="88"/>
      <c r="R444" s="88"/>
      <c r="S444" s="88"/>
      <c r="T444" s="54"/>
      <c r="U444" s="54"/>
      <c r="V444" s="88"/>
    </row>
    <row r="445" spans="1:22" s="168" customFormat="1" ht="22.500000" customHeight="1">
      <c r="A445" s="34">
        <v>443</v>
      </c>
      <c r="B445" s="34"/>
      <c r="C445" s="34"/>
      <c r="D445" s="34"/>
      <c r="E445" s="34"/>
      <c r="F445" s="85"/>
      <c r="G445" s="159"/>
      <c r="H445" s="155"/>
      <c r="I445" s="86"/>
      <c r="J445" s="86"/>
      <c r="K445" s="155"/>
      <c r="L445" s="85"/>
      <c r="M445" s="135" t="s">
        <v>28</v>
      </c>
      <c r="N445" s="88"/>
      <c r="O445" s="141"/>
      <c r="P445" s="31"/>
      <c r="Q445" s="88"/>
      <c r="R445" s="88"/>
      <c r="S445" s="88"/>
      <c r="T445" s="54"/>
      <c r="U445" s="54"/>
      <c r="V445" s="88"/>
    </row>
    <row r="446" spans="1:22" s="168" customFormat="1" ht="22.500000" customHeight="1">
      <c r="A446" s="34">
        <v>444</v>
      </c>
      <c r="B446" s="34"/>
      <c r="C446" s="34"/>
      <c r="D446" s="34"/>
      <c r="E446" s="34"/>
      <c r="F446" s="85"/>
      <c r="G446" s="159"/>
      <c r="H446" s="155"/>
      <c r="I446" s="86"/>
      <c r="J446" s="86"/>
      <c r="K446" s="155"/>
      <c r="L446" s="85"/>
      <c r="M446" s="136" t="s">
        <v>28</v>
      </c>
      <c r="N446" s="88"/>
      <c r="O446" s="141"/>
      <c r="P446" s="31"/>
      <c r="Q446" s="88"/>
      <c r="R446" s="88"/>
      <c r="S446" s="88"/>
      <c r="T446" s="54"/>
      <c r="U446" s="54"/>
      <c r="V446" s="88"/>
    </row>
    <row r="447" spans="1:22" s="168" customFormat="1" ht="22.500000" customHeight="1">
      <c r="A447" s="34">
        <v>445</v>
      </c>
      <c r="B447" s="34"/>
      <c r="C447" s="34"/>
      <c r="D447" s="34"/>
      <c r="E447" s="34"/>
      <c r="F447" s="85"/>
      <c r="G447" s="159"/>
      <c r="H447" s="155"/>
      <c r="I447" s="86"/>
      <c r="J447" s="86"/>
      <c r="K447" s="155"/>
      <c r="L447" s="85"/>
      <c r="M447" s="135" t="s">
        <v>28</v>
      </c>
      <c r="N447" s="88"/>
      <c r="O447" s="141"/>
      <c r="P447" s="31"/>
      <c r="Q447" s="88"/>
      <c r="R447" s="88"/>
      <c r="S447" s="88"/>
      <c r="T447" s="54"/>
      <c r="U447" s="54"/>
      <c r="V447" s="88"/>
    </row>
    <row r="448" spans="1:22" s="168" customFormat="1" ht="22.500000" customHeight="1">
      <c r="A448" s="34">
        <v>446</v>
      </c>
      <c r="B448" s="34"/>
      <c r="C448" s="34"/>
      <c r="D448" s="34"/>
      <c r="E448" s="34"/>
      <c r="F448" s="85"/>
      <c r="G448" s="159"/>
      <c r="H448" s="155"/>
      <c r="I448" s="86"/>
      <c r="J448" s="86"/>
      <c r="K448" s="155"/>
      <c r="L448" s="85"/>
      <c r="M448" s="138" t="s">
        <v>29</v>
      </c>
      <c r="N448" s="88"/>
      <c r="O448" s="141"/>
      <c r="P448" s="31"/>
      <c r="Q448" s="88"/>
      <c r="R448" s="88"/>
      <c r="S448" s="88"/>
      <c r="T448" s="54"/>
      <c r="U448" s="54"/>
      <c r="V448" s="88"/>
    </row>
    <row r="449" spans="1:22" s="168" customFormat="1" ht="22.500000" customHeight="1">
      <c r="A449" s="34">
        <v>447</v>
      </c>
      <c r="B449" s="34"/>
      <c r="C449" s="34"/>
      <c r="D449" s="34"/>
      <c r="E449" s="34"/>
      <c r="F449" s="85"/>
      <c r="G449" s="159"/>
      <c r="H449" s="155"/>
      <c r="I449" s="86"/>
      <c r="J449" s="86"/>
      <c r="K449" s="155"/>
      <c r="L449" s="85"/>
      <c r="M449" s="137" t="s">
        <v>29</v>
      </c>
      <c r="N449" s="88"/>
      <c r="O449" s="141"/>
      <c r="P449" s="31"/>
      <c r="Q449" s="88"/>
      <c r="R449" s="88"/>
      <c r="S449" s="88"/>
      <c r="T449" s="54"/>
      <c r="U449" s="54"/>
      <c r="V449" s="88"/>
    </row>
    <row r="450" spans="1:22" s="168" customFormat="1" ht="22.500000" customHeight="1">
      <c r="A450" s="34">
        <v>448</v>
      </c>
      <c r="B450" s="34"/>
      <c r="C450" s="34"/>
      <c r="D450" s="34"/>
      <c r="E450" s="34"/>
      <c r="F450" s="85"/>
      <c r="G450" s="159"/>
      <c r="H450" s="155"/>
      <c r="I450" s="86"/>
      <c r="J450" s="86"/>
      <c r="K450" s="155"/>
      <c r="L450" s="85"/>
      <c r="M450" s="136" t="s">
        <v>28</v>
      </c>
      <c r="N450" s="88"/>
      <c r="O450" s="141"/>
      <c r="P450" s="31"/>
      <c r="Q450" s="88"/>
      <c r="R450" s="88"/>
      <c r="S450" s="88"/>
      <c r="T450" s="54"/>
      <c r="U450" s="54"/>
      <c r="V450" s="88"/>
    </row>
    <row r="451" spans="1:22" s="168" customFormat="1" ht="22.500000" customHeight="1">
      <c r="A451" s="34">
        <v>449</v>
      </c>
      <c r="B451" s="34"/>
      <c r="C451" s="34"/>
      <c r="D451" s="34"/>
      <c r="E451" s="34"/>
      <c r="F451" s="85"/>
      <c r="G451" s="159"/>
      <c r="H451" s="155"/>
      <c r="I451" s="86"/>
      <c r="J451" s="86"/>
      <c r="K451" s="155"/>
      <c r="L451" s="85"/>
      <c r="M451" s="135" t="s">
        <v>28</v>
      </c>
      <c r="N451" s="88"/>
      <c r="O451" s="141"/>
      <c r="P451" s="31"/>
      <c r="Q451" s="88"/>
      <c r="R451" s="88"/>
      <c r="S451" s="88"/>
      <c r="T451" s="54"/>
      <c r="U451" s="54"/>
      <c r="V451" s="88"/>
    </row>
    <row r="452" spans="1:22" s="168" customFormat="1" ht="22.500000" customHeight="1">
      <c r="A452" s="34">
        <v>450</v>
      </c>
      <c r="B452" s="34"/>
      <c r="C452" s="34"/>
      <c r="D452" s="34"/>
      <c r="E452" s="34"/>
      <c r="F452" s="85"/>
      <c r="G452" s="159"/>
      <c r="H452" s="155"/>
      <c r="I452" s="86"/>
      <c r="J452" s="86"/>
      <c r="K452" s="155"/>
      <c r="L452" s="85"/>
      <c r="M452" s="136" t="s">
        <v>28</v>
      </c>
      <c r="N452" s="88"/>
      <c r="O452" s="141"/>
      <c r="P452" s="31"/>
      <c r="Q452" s="88"/>
      <c r="R452" s="88"/>
      <c r="S452" s="88"/>
      <c r="T452" s="54"/>
      <c r="U452" s="54"/>
      <c r="V452" s="88"/>
    </row>
    <row r="453" spans="1:22" s="168" customFormat="1" ht="22.500000" customHeight="1">
      <c r="A453" s="34">
        <v>451</v>
      </c>
      <c r="B453" s="34"/>
      <c r="C453" s="34"/>
      <c r="D453" s="34"/>
      <c r="E453" s="34"/>
      <c r="F453" s="85"/>
      <c r="G453" s="159"/>
      <c r="H453" s="155"/>
      <c r="I453" s="86"/>
      <c r="J453" s="86"/>
      <c r="K453" s="155"/>
      <c r="L453" s="85"/>
      <c r="M453" s="135" t="s">
        <v>28</v>
      </c>
      <c r="N453" s="88"/>
      <c r="O453" s="141"/>
      <c r="P453" s="31"/>
      <c r="Q453" s="88"/>
      <c r="R453" s="88"/>
      <c r="S453" s="88"/>
      <c r="T453" s="54"/>
      <c r="U453" s="54"/>
      <c r="V453" s="88"/>
    </row>
    <row r="454" spans="1:22" s="168" customFormat="1" ht="22.500000" customHeight="1">
      <c r="A454" s="34">
        <v>452</v>
      </c>
      <c r="B454" s="34"/>
      <c r="C454" s="34"/>
      <c r="D454" s="34"/>
      <c r="E454" s="34"/>
      <c r="F454" s="85"/>
      <c r="G454" s="159"/>
      <c r="H454" s="155"/>
      <c r="I454" s="86"/>
      <c r="J454" s="86"/>
      <c r="K454" s="155"/>
      <c r="L454" s="85"/>
      <c r="M454" s="136" t="s">
        <v>28</v>
      </c>
      <c r="N454" s="88"/>
      <c r="O454" s="141"/>
      <c r="P454" s="31"/>
      <c r="Q454" s="88"/>
      <c r="R454" s="88"/>
      <c r="S454" s="88"/>
      <c r="T454" s="54"/>
      <c r="U454" s="54"/>
      <c r="V454" s="88"/>
    </row>
    <row r="455" spans="1:22" s="168" customFormat="1" ht="22.500000" customHeight="1">
      <c r="A455" s="34">
        <v>453</v>
      </c>
      <c r="B455" s="34"/>
      <c r="C455" s="34"/>
      <c r="D455" s="34"/>
      <c r="E455" s="34"/>
      <c r="F455" s="85"/>
      <c r="G455" s="159"/>
      <c r="H455" s="155"/>
      <c r="I455" s="86"/>
      <c r="J455" s="86"/>
      <c r="K455" s="155"/>
      <c r="L455" s="85"/>
      <c r="M455" s="135" t="s">
        <v>28</v>
      </c>
      <c r="N455" s="88"/>
      <c r="O455" s="141"/>
      <c r="P455" s="31"/>
      <c r="Q455" s="88"/>
      <c r="R455" s="88"/>
      <c r="S455" s="88"/>
      <c r="T455" s="54"/>
      <c r="U455" s="54"/>
      <c r="V455" s="88"/>
    </row>
    <row r="456" spans="1:22" s="168" customFormat="1" ht="22.500000" customHeight="1">
      <c r="A456" s="34">
        <v>454</v>
      </c>
      <c r="B456" s="34"/>
      <c r="C456" s="34"/>
      <c r="D456" s="34"/>
      <c r="E456" s="34"/>
      <c r="F456" s="85"/>
      <c r="G456" s="159"/>
      <c r="H456" s="155"/>
      <c r="I456" s="86"/>
      <c r="J456" s="86"/>
      <c r="K456" s="155"/>
      <c r="L456" s="85"/>
      <c r="M456" s="136" t="s">
        <v>28</v>
      </c>
      <c r="N456" s="88"/>
      <c r="O456" s="141"/>
      <c r="P456" s="31"/>
      <c r="Q456" s="88"/>
      <c r="R456" s="88"/>
      <c r="S456" s="88"/>
      <c r="T456" s="54"/>
      <c r="U456" s="54"/>
      <c r="V456" s="88"/>
    </row>
    <row r="457" spans="1:22" s="168" customFormat="1" ht="22.500000" customHeight="1">
      <c r="A457" s="34">
        <v>455</v>
      </c>
      <c r="B457" s="34"/>
      <c r="C457" s="34"/>
      <c r="D457" s="34"/>
      <c r="E457" s="34"/>
      <c r="F457" s="85"/>
      <c r="G457" s="159"/>
      <c r="H457" s="155"/>
      <c r="I457" s="86"/>
      <c r="J457" s="86"/>
      <c r="K457" s="155"/>
      <c r="L457" s="85"/>
      <c r="M457" s="135" t="s">
        <v>28</v>
      </c>
      <c r="N457" s="88"/>
      <c r="O457" s="141"/>
      <c r="P457" s="31"/>
      <c r="Q457" s="88"/>
      <c r="R457" s="88"/>
      <c r="S457" s="88"/>
      <c r="T457" s="54"/>
      <c r="U457" s="54"/>
      <c r="V457" s="88"/>
    </row>
    <row r="458" spans="1:22" s="168" customFormat="1" ht="22.500000" customHeight="1">
      <c r="A458" s="34">
        <v>456</v>
      </c>
      <c r="B458" s="34"/>
      <c r="C458" s="34"/>
      <c r="D458" s="34"/>
      <c r="E458" s="34"/>
      <c r="F458" s="85"/>
      <c r="G458" s="159"/>
      <c r="H458" s="155"/>
      <c r="I458" s="86"/>
      <c r="J458" s="86"/>
      <c r="K458" s="155"/>
      <c r="L458" s="85"/>
      <c r="M458" s="138" t="s">
        <v>29</v>
      </c>
      <c r="N458" s="88"/>
      <c r="O458" s="141"/>
      <c r="P458" s="31"/>
      <c r="Q458" s="88"/>
      <c r="R458" s="88"/>
      <c r="S458" s="88"/>
      <c r="T458" s="54"/>
      <c r="U458" s="54"/>
      <c r="V458" s="88"/>
    </row>
    <row r="459" spans="1:22" s="168" customFormat="1" ht="22.500000" customHeight="1">
      <c r="A459" s="34">
        <v>457</v>
      </c>
      <c r="B459" s="34"/>
      <c r="C459" s="34"/>
      <c r="D459" s="34"/>
      <c r="E459" s="34"/>
      <c r="F459" s="85"/>
      <c r="G459" s="159"/>
      <c r="H459" s="155"/>
      <c r="I459" s="86"/>
      <c r="J459" s="86"/>
      <c r="K459" s="155"/>
      <c r="L459" s="85"/>
      <c r="M459" s="139" t="s">
        <v>30</v>
      </c>
      <c r="N459" s="88"/>
      <c r="O459" s="141"/>
      <c r="P459" s="31"/>
      <c r="Q459" s="88"/>
      <c r="R459" s="88"/>
      <c r="S459" s="88"/>
      <c r="T459" s="54"/>
      <c r="U459" s="54"/>
      <c r="V459" s="88"/>
    </row>
    <row r="460" spans="1:22" s="168" customFormat="1" ht="22.500000" customHeight="1">
      <c r="A460" s="34">
        <v>458</v>
      </c>
      <c r="B460" s="34"/>
      <c r="C460" s="34"/>
      <c r="D460" s="34"/>
      <c r="E460" s="34"/>
      <c r="F460" s="85"/>
      <c r="G460" s="159"/>
      <c r="H460" s="155"/>
      <c r="I460" s="86"/>
      <c r="J460" s="86"/>
      <c r="K460" s="155"/>
      <c r="L460" s="85"/>
      <c r="M460" s="138" t="s">
        <v>29</v>
      </c>
      <c r="N460" s="88"/>
      <c r="O460" s="141"/>
      <c r="P460" s="31"/>
      <c r="Q460" s="88"/>
      <c r="R460" s="88"/>
      <c r="S460" s="88"/>
      <c r="T460" s="54"/>
      <c r="U460" s="54"/>
      <c r="V460" s="88"/>
    </row>
    <row r="461" spans="1:22" s="168" customFormat="1" ht="22.500000" customHeight="1">
      <c r="A461" s="34">
        <v>459</v>
      </c>
      <c r="B461" s="34"/>
      <c r="C461" s="34"/>
      <c r="D461" s="34"/>
      <c r="E461" s="34"/>
      <c r="F461" s="85"/>
      <c r="G461" s="159"/>
      <c r="H461" s="155"/>
      <c r="I461" s="86"/>
      <c r="J461" s="86"/>
      <c r="K461" s="155"/>
      <c r="L461" s="85"/>
      <c r="M461" s="139" t="s">
        <v>30</v>
      </c>
      <c r="N461" s="88"/>
      <c r="O461" s="141"/>
      <c r="P461" s="31"/>
      <c r="Q461" s="88"/>
      <c r="R461" s="88"/>
      <c r="S461" s="88"/>
      <c r="T461" s="54"/>
      <c r="U461" s="54"/>
      <c r="V461" s="88"/>
    </row>
    <row r="462" spans="1:22" s="168" customFormat="1" ht="22.500000" customHeight="1">
      <c r="A462" s="34">
        <v>460</v>
      </c>
      <c r="B462" s="34"/>
      <c r="C462" s="34"/>
      <c r="D462" s="34"/>
      <c r="E462" s="34"/>
      <c r="F462" s="85"/>
      <c r="G462" s="159"/>
      <c r="H462" s="155"/>
      <c r="I462" s="86"/>
      <c r="J462" s="86"/>
      <c r="K462" s="155"/>
      <c r="L462" s="85"/>
      <c r="M462" s="136" t="s">
        <v>28</v>
      </c>
      <c r="N462" s="88"/>
      <c r="O462" s="141"/>
      <c r="P462" s="31"/>
      <c r="Q462" s="88"/>
      <c r="R462" s="88"/>
      <c r="S462" s="88"/>
      <c r="T462" s="54"/>
      <c r="U462" s="54"/>
      <c r="V462" s="88"/>
    </row>
    <row r="463" spans="1:22" s="168" customFormat="1" ht="22.500000" customHeight="1">
      <c r="A463" s="34">
        <v>461</v>
      </c>
      <c r="B463" s="34"/>
      <c r="C463" s="34"/>
      <c r="D463" s="34"/>
      <c r="E463" s="34"/>
      <c r="F463" s="85"/>
      <c r="G463" s="159"/>
      <c r="H463" s="155"/>
      <c r="I463" s="86"/>
      <c r="J463" s="86"/>
      <c r="K463" s="155"/>
      <c r="L463" s="85"/>
      <c r="M463" s="135" t="s">
        <v>28</v>
      </c>
      <c r="N463" s="88"/>
      <c r="O463" s="141"/>
      <c r="P463" s="31"/>
      <c r="Q463" s="88"/>
      <c r="R463" s="88"/>
      <c r="S463" s="88"/>
      <c r="T463" s="54"/>
      <c r="U463" s="54"/>
      <c r="V463" s="88"/>
    </row>
    <row r="464" spans="1:22" s="168" customFormat="1" ht="22.500000" customHeight="1">
      <c r="A464" s="34">
        <v>462</v>
      </c>
      <c r="B464" s="34"/>
      <c r="C464" s="34"/>
      <c r="D464" s="34"/>
      <c r="E464" s="34"/>
      <c r="F464" s="85"/>
      <c r="G464" s="159"/>
      <c r="H464" s="155"/>
      <c r="I464" s="86"/>
      <c r="J464" s="86"/>
      <c r="K464" s="155"/>
      <c r="L464" s="85"/>
      <c r="M464" s="136" t="s">
        <v>28</v>
      </c>
      <c r="N464" s="88"/>
      <c r="O464" s="141"/>
      <c r="P464" s="31"/>
      <c r="Q464" s="88"/>
      <c r="R464" s="88"/>
      <c r="S464" s="88"/>
      <c r="T464" s="54"/>
      <c r="U464" s="54"/>
      <c r="V464" s="88"/>
    </row>
    <row r="465" spans="1:22" s="168" customFormat="1" ht="22.500000" customHeight="1">
      <c r="A465" s="34">
        <v>463</v>
      </c>
      <c r="B465" s="34"/>
      <c r="C465" s="34"/>
      <c r="D465" s="34"/>
      <c r="E465" s="34"/>
      <c r="F465" s="85"/>
      <c r="G465" s="159"/>
      <c r="H465" s="155"/>
      <c r="I465" s="86"/>
      <c r="J465" s="86"/>
      <c r="K465" s="155"/>
      <c r="L465" s="85"/>
      <c r="M465" s="135" t="s">
        <v>28</v>
      </c>
      <c r="N465" s="88"/>
      <c r="O465" s="141"/>
      <c r="P465" s="31"/>
      <c r="Q465" s="88"/>
      <c r="R465" s="88"/>
      <c r="S465" s="88"/>
      <c r="T465" s="54"/>
      <c r="U465" s="54"/>
      <c r="V465" s="88"/>
    </row>
    <row r="466" spans="1:22" s="168" customFormat="1" ht="22.500000" customHeight="1">
      <c r="A466" s="34">
        <v>464</v>
      </c>
      <c r="B466" s="34"/>
      <c r="C466" s="34"/>
      <c r="D466" s="34"/>
      <c r="E466" s="34"/>
      <c r="F466" s="85"/>
      <c r="G466" s="159"/>
      <c r="H466" s="155"/>
      <c r="I466" s="86"/>
      <c r="J466" s="86"/>
      <c r="K466" s="155"/>
      <c r="L466" s="85"/>
      <c r="M466" s="138" t="s">
        <v>29</v>
      </c>
      <c r="N466" s="88"/>
      <c r="O466" s="141"/>
      <c r="P466" s="31"/>
      <c r="Q466" s="88"/>
      <c r="R466" s="88"/>
      <c r="S466" s="88"/>
      <c r="T466" s="54"/>
      <c r="U466" s="54"/>
      <c r="V466" s="88"/>
    </row>
    <row r="467" spans="1:22" s="168" customFormat="1" ht="22.500000" customHeight="1">
      <c r="A467" s="34">
        <v>465</v>
      </c>
      <c r="B467" s="34"/>
      <c r="C467" s="34"/>
      <c r="D467" s="34"/>
      <c r="E467" s="34"/>
      <c r="F467" s="85"/>
      <c r="G467" s="159"/>
      <c r="H467" s="155"/>
      <c r="I467" s="86"/>
      <c r="J467" s="86"/>
      <c r="K467" s="155"/>
      <c r="L467" s="85"/>
      <c r="M467" s="139" t="s">
        <v>30</v>
      </c>
      <c r="N467" s="88"/>
      <c r="O467" s="141"/>
      <c r="P467" s="31"/>
      <c r="Q467" s="88"/>
      <c r="R467" s="88"/>
      <c r="S467" s="88"/>
      <c r="T467" s="54"/>
      <c r="U467" s="54"/>
      <c r="V467" s="88"/>
    </row>
    <row r="468" spans="1:22" s="168" customFormat="1" ht="22.500000" customHeight="1">
      <c r="A468" s="34">
        <v>466</v>
      </c>
      <c r="B468" s="34"/>
      <c r="C468" s="34"/>
      <c r="D468" s="34"/>
      <c r="E468" s="34"/>
      <c r="F468" s="85"/>
      <c r="G468" s="159"/>
      <c r="H468" s="155"/>
      <c r="I468" s="86"/>
      <c r="J468" s="86"/>
      <c r="K468" s="155"/>
      <c r="L468" s="85"/>
      <c r="M468" s="136" t="s">
        <v>28</v>
      </c>
      <c r="N468" s="88"/>
      <c r="O468" s="141"/>
      <c r="P468" s="31"/>
      <c r="Q468" s="88"/>
      <c r="R468" s="88"/>
      <c r="S468" s="88"/>
      <c r="T468" s="54"/>
      <c r="U468" s="54"/>
      <c r="V468" s="88"/>
    </row>
    <row r="469" spans="1:22" s="168" customFormat="1" ht="22.500000" customHeight="1">
      <c r="A469" s="34">
        <v>467</v>
      </c>
      <c r="B469" s="34"/>
      <c r="C469" s="34"/>
      <c r="D469" s="34"/>
      <c r="E469" s="34"/>
      <c r="F469" s="85"/>
      <c r="G469" s="159"/>
      <c r="H469" s="155"/>
      <c r="I469" s="86"/>
      <c r="J469" s="86"/>
      <c r="K469" s="155"/>
      <c r="L469" s="85"/>
      <c r="M469" s="135" t="s">
        <v>28</v>
      </c>
      <c r="N469" s="88"/>
      <c r="O469" s="141"/>
      <c r="P469" s="31"/>
      <c r="Q469" s="88"/>
      <c r="R469" s="88"/>
      <c r="S469" s="88"/>
      <c r="T469" s="54"/>
      <c r="U469" s="54"/>
      <c r="V469" s="88"/>
    </row>
    <row r="470" spans="1:22" s="168" customFormat="1" ht="22.500000" customHeight="1">
      <c r="A470" s="34">
        <v>468</v>
      </c>
      <c r="B470" s="34"/>
      <c r="C470" s="34"/>
      <c r="D470" s="34"/>
      <c r="E470" s="34"/>
      <c r="F470" s="85"/>
      <c r="G470" s="159"/>
      <c r="H470" s="155"/>
      <c r="I470" s="86"/>
      <c r="J470" s="86"/>
      <c r="K470" s="155"/>
      <c r="L470" s="85"/>
      <c r="M470" s="136" t="s">
        <v>28</v>
      </c>
      <c r="N470" s="88"/>
      <c r="O470" s="141"/>
      <c r="P470" s="31"/>
      <c r="Q470" s="88"/>
      <c r="R470" s="88"/>
      <c r="S470" s="88"/>
      <c r="T470" s="54"/>
      <c r="U470" s="54"/>
      <c r="V470" s="88"/>
    </row>
    <row r="471" spans="1:22" s="168" customFormat="1" ht="22.500000" customHeight="1">
      <c r="A471" s="34">
        <v>469</v>
      </c>
      <c r="B471" s="34"/>
      <c r="C471" s="34"/>
      <c r="D471" s="34"/>
      <c r="E471" s="34"/>
      <c r="F471" s="85"/>
      <c r="G471" s="159"/>
      <c r="H471" s="155"/>
      <c r="I471" s="86"/>
      <c r="J471" s="86"/>
      <c r="K471" s="155"/>
      <c r="L471" s="85"/>
      <c r="M471" s="137" t="s">
        <v>29</v>
      </c>
      <c r="N471" s="88"/>
      <c r="O471" s="141"/>
      <c r="P471" s="31"/>
      <c r="Q471" s="88"/>
      <c r="R471" s="88"/>
      <c r="S471" s="88"/>
      <c r="T471" s="54"/>
      <c r="U471" s="54"/>
      <c r="V471" s="88"/>
    </row>
    <row r="472" spans="1:22" s="168" customFormat="1" ht="22.500000" customHeight="1">
      <c r="A472" s="34">
        <v>470</v>
      </c>
      <c r="B472" s="34"/>
      <c r="C472" s="34"/>
      <c r="D472" s="34"/>
      <c r="E472" s="34"/>
      <c r="F472" s="85"/>
      <c r="G472" s="159"/>
      <c r="H472" s="155"/>
      <c r="I472" s="86"/>
      <c r="J472" s="86"/>
      <c r="K472" s="155"/>
      <c r="L472" s="85"/>
      <c r="M472" s="140" t="s">
        <v>30</v>
      </c>
      <c r="N472" s="88"/>
      <c r="O472" s="141"/>
      <c r="P472" s="31"/>
      <c r="Q472" s="88"/>
      <c r="R472" s="88"/>
      <c r="S472" s="88"/>
      <c r="T472" s="54"/>
      <c r="U472" s="54"/>
      <c r="V472" s="88"/>
    </row>
    <row r="473" spans="1:22" s="168" customFormat="1" ht="22.500000" customHeight="1">
      <c r="A473" s="34">
        <v>471</v>
      </c>
      <c r="B473" s="34"/>
      <c r="C473" s="34"/>
      <c r="D473" s="34"/>
      <c r="E473" s="34"/>
      <c r="F473" s="85"/>
      <c r="G473" s="159"/>
      <c r="H473" s="155"/>
      <c r="I473" s="86"/>
      <c r="J473" s="86"/>
      <c r="K473" s="155"/>
      <c r="L473" s="85"/>
      <c r="M473" s="135" t="s">
        <v>28</v>
      </c>
      <c r="N473" s="88"/>
      <c r="O473" s="141"/>
      <c r="P473" s="31"/>
      <c r="Q473" s="88"/>
      <c r="R473" s="88"/>
      <c r="S473" s="88"/>
      <c r="T473" s="54"/>
      <c r="U473" s="54"/>
      <c r="V473" s="88"/>
    </row>
    <row r="474" spans="1:22" s="168" customFormat="1" ht="22.500000" customHeight="1">
      <c r="A474" s="34">
        <v>472</v>
      </c>
      <c r="B474" s="34"/>
      <c r="C474" s="34"/>
      <c r="D474" s="34"/>
      <c r="E474" s="34"/>
      <c r="F474" s="85"/>
      <c r="G474" s="159"/>
      <c r="H474" s="155"/>
      <c r="I474" s="86"/>
      <c r="J474" s="86"/>
      <c r="K474" s="155"/>
      <c r="L474" s="85"/>
      <c r="M474" s="136" t="s">
        <v>28</v>
      </c>
      <c r="N474" s="88"/>
      <c r="O474" s="141"/>
      <c r="P474" s="31"/>
      <c r="Q474" s="88"/>
      <c r="R474" s="88"/>
      <c r="S474" s="88"/>
      <c r="T474" s="54"/>
      <c r="U474" s="54"/>
      <c r="V474" s="88"/>
    </row>
    <row r="475" spans="1:22" s="168" customFormat="1" ht="22.500000" customHeight="1">
      <c r="A475" s="34">
        <v>473</v>
      </c>
      <c r="B475" s="34"/>
      <c r="C475" s="34"/>
      <c r="D475" s="34"/>
      <c r="E475" s="34"/>
      <c r="F475" s="85"/>
      <c r="G475" s="159"/>
      <c r="H475" s="155"/>
      <c r="I475" s="86"/>
      <c r="J475" s="86"/>
      <c r="K475" s="155"/>
      <c r="L475" s="85"/>
      <c r="M475" s="135" t="s">
        <v>28</v>
      </c>
      <c r="N475" s="88"/>
      <c r="O475" s="141"/>
      <c r="P475" s="31"/>
      <c r="Q475" s="88"/>
      <c r="R475" s="88"/>
      <c r="S475" s="88"/>
      <c r="T475" s="54"/>
      <c r="U475" s="54"/>
      <c r="V475" s="88"/>
    </row>
    <row r="476" spans="1:22" s="168" customFormat="1" ht="22.500000" customHeight="1">
      <c r="A476" s="34">
        <v>474</v>
      </c>
      <c r="B476" s="34"/>
      <c r="C476" s="34"/>
      <c r="D476" s="34"/>
      <c r="E476" s="34"/>
      <c r="F476" s="85"/>
      <c r="G476" s="159"/>
      <c r="H476" s="155"/>
      <c r="I476" s="86"/>
      <c r="J476" s="86"/>
      <c r="K476" s="155"/>
      <c r="L476" s="85"/>
      <c r="M476" s="138" t="s">
        <v>29</v>
      </c>
      <c r="N476" s="88"/>
      <c r="O476" s="141"/>
      <c r="P476" s="31"/>
      <c r="Q476" s="88"/>
      <c r="R476" s="88"/>
      <c r="S476" s="88"/>
      <c r="T476" s="54"/>
      <c r="U476" s="54"/>
      <c r="V476" s="88"/>
    </row>
    <row r="477" spans="1:22" s="168" customFormat="1" ht="22.500000" customHeight="1">
      <c r="A477" s="34">
        <v>475</v>
      </c>
      <c r="B477" s="34"/>
      <c r="C477" s="34"/>
      <c r="D477" s="34"/>
      <c r="E477" s="34"/>
      <c r="F477" s="85"/>
      <c r="G477" s="159"/>
      <c r="H477" s="155"/>
      <c r="I477" s="86"/>
      <c r="J477" s="86"/>
      <c r="K477" s="155"/>
      <c r="L477" s="85"/>
      <c r="M477" s="139" t="s">
        <v>30</v>
      </c>
      <c r="N477" s="88"/>
      <c r="O477" s="141"/>
      <c r="P477" s="31"/>
      <c r="Q477" s="88"/>
      <c r="R477" s="88"/>
      <c r="S477" s="88"/>
      <c r="T477" s="54"/>
      <c r="U477" s="54"/>
      <c r="V477" s="88"/>
    </row>
    <row r="478" spans="1:22" s="168" customFormat="1" ht="22.500000" customHeight="1">
      <c r="A478" s="34">
        <v>476</v>
      </c>
      <c r="B478" s="34"/>
      <c r="C478" s="34"/>
      <c r="D478" s="34"/>
      <c r="E478" s="34"/>
      <c r="F478" s="85"/>
      <c r="G478" s="159"/>
      <c r="H478" s="155"/>
      <c r="I478" s="86"/>
      <c r="J478" s="86"/>
      <c r="K478" s="155"/>
      <c r="L478" s="85"/>
      <c r="M478" s="136" t="s">
        <v>28</v>
      </c>
      <c r="N478" s="88"/>
      <c r="O478" s="141"/>
      <c r="P478" s="31"/>
      <c r="Q478" s="88"/>
      <c r="R478" s="88"/>
      <c r="S478" s="88"/>
      <c r="T478" s="54"/>
      <c r="U478" s="54"/>
      <c r="V478" s="88"/>
    </row>
    <row r="479" spans="1:22" s="168" customFormat="1" ht="22.500000" customHeight="1">
      <c r="A479" s="34">
        <v>477</v>
      </c>
      <c r="B479" s="34"/>
      <c r="C479" s="34"/>
      <c r="D479" s="34"/>
      <c r="E479" s="34"/>
      <c r="F479" s="85"/>
      <c r="G479" s="159"/>
      <c r="H479" s="155"/>
      <c r="I479" s="86"/>
      <c r="J479" s="86"/>
      <c r="K479" s="155"/>
      <c r="L479" s="85"/>
      <c r="M479" s="135" t="s">
        <v>28</v>
      </c>
      <c r="N479" s="88"/>
      <c r="O479" s="141"/>
      <c r="P479" s="31"/>
      <c r="Q479" s="88"/>
      <c r="R479" s="88"/>
      <c r="S479" s="88"/>
      <c r="T479" s="54"/>
      <c r="U479" s="54"/>
      <c r="V479" s="88"/>
    </row>
    <row r="480" spans="1:22" s="168" customFormat="1" ht="22.500000" customHeight="1">
      <c r="A480" s="34">
        <v>478</v>
      </c>
      <c r="B480" s="34"/>
      <c r="C480" s="34"/>
      <c r="D480" s="34"/>
      <c r="E480" s="34"/>
      <c r="F480" s="85"/>
      <c r="G480" s="159"/>
      <c r="H480" s="155"/>
      <c r="I480" s="86"/>
      <c r="J480" s="86"/>
      <c r="K480" s="155"/>
      <c r="L480" s="85"/>
      <c r="M480" s="136" t="s">
        <v>28</v>
      </c>
      <c r="N480" s="88"/>
      <c r="O480" s="141"/>
      <c r="P480" s="31"/>
      <c r="Q480" s="88"/>
      <c r="R480" s="88"/>
      <c r="S480" s="88"/>
      <c r="T480" s="54"/>
      <c r="U480" s="54"/>
      <c r="V480" s="88"/>
    </row>
    <row r="481" spans="1:22" s="168" customFormat="1" ht="22.500000" customHeight="1">
      <c r="A481" s="34">
        <v>479</v>
      </c>
      <c r="B481" s="34"/>
      <c r="C481" s="34"/>
      <c r="D481" s="34"/>
      <c r="E481" s="34"/>
      <c r="F481" s="85"/>
      <c r="G481" s="159"/>
      <c r="H481" s="155"/>
      <c r="I481" s="86"/>
      <c r="J481" s="86"/>
      <c r="K481" s="155"/>
      <c r="L481" s="85"/>
      <c r="M481" s="137" t="s">
        <v>29</v>
      </c>
      <c r="N481" s="88"/>
      <c r="O481" s="141"/>
      <c r="P481" s="31"/>
      <c r="Q481" s="88"/>
      <c r="R481" s="88"/>
      <c r="S481" s="88"/>
      <c r="T481" s="54"/>
      <c r="U481" s="54"/>
      <c r="V481" s="88"/>
    </row>
    <row r="482" spans="1:22" s="168" customFormat="1" ht="22.500000" customHeight="1">
      <c r="A482" s="34">
        <v>480</v>
      </c>
      <c r="B482" s="34"/>
      <c r="C482" s="34"/>
      <c r="D482" s="34"/>
      <c r="E482" s="34"/>
      <c r="F482" s="85"/>
      <c r="G482" s="159"/>
      <c r="H482" s="155"/>
      <c r="I482" s="86"/>
      <c r="J482" s="86"/>
      <c r="K482" s="155"/>
      <c r="L482" s="85"/>
      <c r="M482" s="140" t="s">
        <v>30</v>
      </c>
      <c r="N482" s="88"/>
      <c r="O482" s="141"/>
      <c r="P482" s="31"/>
      <c r="Q482" s="88"/>
      <c r="R482" s="88"/>
      <c r="S482" s="88"/>
      <c r="T482" s="54"/>
      <c r="U482" s="54"/>
      <c r="V482" s="88"/>
    </row>
    <row r="483" spans="1:22" s="168" customFormat="1" ht="22.500000" customHeight="1">
      <c r="A483" s="34">
        <v>481</v>
      </c>
      <c r="B483" s="34"/>
      <c r="C483" s="34"/>
      <c r="D483" s="34"/>
      <c r="E483" s="34"/>
      <c r="F483" s="85"/>
      <c r="G483" s="159"/>
      <c r="H483" s="155"/>
      <c r="I483" s="86"/>
      <c r="J483" s="86"/>
      <c r="K483" s="155"/>
      <c r="L483" s="85"/>
      <c r="M483" s="135" t="s">
        <v>28</v>
      </c>
      <c r="N483" s="88"/>
      <c r="O483" s="141"/>
      <c r="P483" s="31"/>
      <c r="Q483" s="88"/>
      <c r="R483" s="88"/>
      <c r="S483" s="88"/>
      <c r="T483" s="54"/>
      <c r="U483" s="54"/>
      <c r="V483" s="88"/>
    </row>
    <row r="484" spans="1:22" s="168" customFormat="1" ht="22.500000" customHeight="1">
      <c r="A484" s="34">
        <v>482</v>
      </c>
      <c r="B484" s="34"/>
      <c r="C484" s="34"/>
      <c r="D484" s="34"/>
      <c r="E484" s="34"/>
      <c r="F484" s="85"/>
      <c r="G484" s="159"/>
      <c r="H484" s="155"/>
      <c r="I484" s="86"/>
      <c r="J484" s="86"/>
      <c r="K484" s="155"/>
      <c r="L484" s="85"/>
      <c r="M484" s="136" t="s">
        <v>28</v>
      </c>
      <c r="N484" s="88"/>
      <c r="O484" s="141"/>
      <c r="P484" s="31"/>
      <c r="Q484" s="88"/>
      <c r="R484" s="88"/>
      <c r="S484" s="88"/>
      <c r="T484" s="54"/>
      <c r="U484" s="54"/>
      <c r="V484" s="88"/>
    </row>
    <row r="485" spans="1:22" s="168" customFormat="1" ht="22.500000" customHeight="1">
      <c r="A485" s="34">
        <v>483</v>
      </c>
      <c r="B485" s="34"/>
      <c r="C485" s="34"/>
      <c r="D485" s="34"/>
      <c r="E485" s="34"/>
      <c r="F485" s="85"/>
      <c r="G485" s="159"/>
      <c r="H485" s="155"/>
      <c r="I485" s="86"/>
      <c r="J485" s="86"/>
      <c r="K485" s="155"/>
      <c r="L485" s="85"/>
      <c r="M485" s="135" t="s">
        <v>28</v>
      </c>
      <c r="N485" s="88"/>
      <c r="O485" s="141"/>
      <c r="P485" s="31"/>
      <c r="Q485" s="88"/>
      <c r="R485" s="88"/>
      <c r="S485" s="88"/>
      <c r="T485" s="54"/>
      <c r="U485" s="54"/>
      <c r="V485" s="88"/>
    </row>
    <row r="486" spans="1:22" s="168" customFormat="1" ht="22.500000" customHeight="1">
      <c r="A486" s="34">
        <v>484</v>
      </c>
      <c r="B486" s="34"/>
      <c r="C486" s="34"/>
      <c r="D486" s="34"/>
      <c r="E486" s="34"/>
      <c r="F486" s="85"/>
      <c r="G486" s="159"/>
      <c r="H486" s="155"/>
      <c r="I486" s="86"/>
      <c r="J486" s="86"/>
      <c r="K486" s="155"/>
      <c r="L486" s="85"/>
      <c r="M486" s="138" t="s">
        <v>29</v>
      </c>
      <c r="N486" s="88"/>
      <c r="O486" s="141"/>
      <c r="P486" s="31"/>
      <c r="Q486" s="88"/>
      <c r="R486" s="88"/>
      <c r="S486" s="88"/>
      <c r="T486" s="54"/>
      <c r="U486" s="54"/>
      <c r="V486" s="88"/>
    </row>
    <row r="487" spans="1:22" s="168" customFormat="1" ht="22.500000" customHeight="1">
      <c r="A487" s="34">
        <v>485</v>
      </c>
      <c r="B487" s="34"/>
      <c r="C487" s="34"/>
      <c r="D487" s="34"/>
      <c r="E487" s="34"/>
      <c r="F487" s="85"/>
      <c r="G487" s="159"/>
      <c r="H487" s="155"/>
      <c r="I487" s="86"/>
      <c r="J487" s="86"/>
      <c r="K487" s="155"/>
      <c r="L487" s="85"/>
      <c r="M487" s="139" t="s">
        <v>30</v>
      </c>
      <c r="N487" s="88"/>
      <c r="O487" s="141"/>
      <c r="P487" s="31"/>
      <c r="Q487" s="88"/>
      <c r="R487" s="88"/>
      <c r="S487" s="88"/>
      <c r="T487" s="54"/>
      <c r="U487" s="54"/>
      <c r="V487" s="88"/>
    </row>
    <row r="488" spans="1:22" s="168" customFormat="1" ht="22.500000" customHeight="1">
      <c r="A488" s="34">
        <v>486</v>
      </c>
      <c r="B488" s="34"/>
      <c r="C488" s="34"/>
      <c r="D488" s="34"/>
      <c r="E488" s="34"/>
      <c r="F488" s="85"/>
      <c r="G488" s="159"/>
      <c r="H488" s="155"/>
      <c r="I488" s="86"/>
      <c r="J488" s="86"/>
      <c r="K488" s="155"/>
      <c r="L488" s="85"/>
      <c r="M488" s="136" t="s">
        <v>28</v>
      </c>
      <c r="N488" s="88"/>
      <c r="O488" s="141"/>
      <c r="P488" s="31"/>
      <c r="Q488" s="88"/>
      <c r="R488" s="88"/>
      <c r="S488" s="88"/>
      <c r="T488" s="54"/>
      <c r="U488" s="54"/>
      <c r="V488" s="88"/>
    </row>
    <row r="489" spans="1:22" s="168" customFormat="1" ht="22.500000" customHeight="1">
      <c r="A489" s="34">
        <v>487</v>
      </c>
      <c r="B489" s="34"/>
      <c r="C489" s="34"/>
      <c r="D489" s="34"/>
      <c r="E489" s="34"/>
      <c r="F489" s="85"/>
      <c r="G489" s="159"/>
      <c r="H489" s="155"/>
      <c r="I489" s="86"/>
      <c r="J489" s="86"/>
      <c r="K489" s="155"/>
      <c r="L489" s="85"/>
      <c r="M489" s="135" t="s">
        <v>28</v>
      </c>
      <c r="N489" s="88"/>
      <c r="O489" s="141"/>
      <c r="P489" s="31"/>
      <c r="Q489" s="88"/>
      <c r="R489" s="88"/>
      <c r="S489" s="88"/>
      <c r="T489" s="54"/>
      <c r="U489" s="54"/>
      <c r="V489" s="88"/>
    </row>
    <row r="490" spans="1:22" s="168" customFormat="1" ht="22.500000" customHeight="1">
      <c r="A490" s="34">
        <v>488</v>
      </c>
      <c r="B490" s="34"/>
      <c r="C490" s="34"/>
      <c r="D490" s="34"/>
      <c r="E490" s="34"/>
      <c r="F490" s="85"/>
      <c r="G490" s="159"/>
      <c r="H490" s="155"/>
      <c r="I490" s="86"/>
      <c r="J490" s="86"/>
      <c r="K490" s="155"/>
      <c r="L490" s="85"/>
      <c r="M490" s="136" t="s">
        <v>28</v>
      </c>
      <c r="N490" s="88"/>
      <c r="O490" s="141"/>
      <c r="P490" s="31"/>
      <c r="Q490" s="88"/>
      <c r="R490" s="88"/>
      <c r="S490" s="88"/>
      <c r="T490" s="54"/>
      <c r="U490" s="54"/>
      <c r="V490" s="88"/>
    </row>
    <row r="491" spans="1:22" s="168" customFormat="1" ht="22.500000" customHeight="1">
      <c r="A491" s="34">
        <v>489</v>
      </c>
      <c r="B491" s="34"/>
      <c r="C491" s="34"/>
      <c r="D491" s="34"/>
      <c r="E491" s="34"/>
      <c r="F491" s="85"/>
      <c r="G491" s="159"/>
      <c r="H491" s="155"/>
      <c r="I491" s="86"/>
      <c r="J491" s="86"/>
      <c r="K491" s="155"/>
      <c r="L491" s="85"/>
      <c r="M491" s="137" t="s">
        <v>29</v>
      </c>
      <c r="N491" s="88"/>
      <c r="O491" s="141"/>
      <c r="P491" s="31"/>
      <c r="Q491" s="88"/>
      <c r="R491" s="88"/>
      <c r="S491" s="88"/>
      <c r="T491" s="54"/>
      <c r="U491" s="54"/>
      <c r="V491" s="88"/>
    </row>
    <row r="492" spans="1:22" s="168" customFormat="1" ht="22.500000" customHeight="1">
      <c r="A492" s="34">
        <v>490</v>
      </c>
      <c r="B492" s="34"/>
      <c r="C492" s="34"/>
      <c r="D492" s="34"/>
      <c r="E492" s="34"/>
      <c r="F492" s="85"/>
      <c r="G492" s="159"/>
      <c r="H492" s="155"/>
      <c r="I492" s="86"/>
      <c r="J492" s="86"/>
      <c r="K492" s="155"/>
      <c r="L492" s="85"/>
      <c r="M492" s="140" t="s">
        <v>30</v>
      </c>
      <c r="N492" s="88"/>
      <c r="O492" s="141"/>
      <c r="P492" s="31"/>
      <c r="Q492" s="88"/>
      <c r="R492" s="88"/>
      <c r="S492" s="88"/>
      <c r="T492" s="54"/>
      <c r="U492" s="54"/>
      <c r="V492" s="88"/>
    </row>
    <row r="493" spans="1:22" s="168" customFormat="1" ht="22.500000" customHeight="1">
      <c r="A493" s="34">
        <v>491</v>
      </c>
      <c r="B493" s="34"/>
      <c r="C493" s="34"/>
      <c r="D493" s="34"/>
      <c r="E493" s="34"/>
      <c r="F493" s="85"/>
      <c r="G493" s="159"/>
      <c r="H493" s="155"/>
      <c r="I493" s="86"/>
      <c r="J493" s="86"/>
      <c r="K493" s="155"/>
      <c r="L493" s="85"/>
      <c r="M493" s="135" t="s">
        <v>28</v>
      </c>
      <c r="N493" s="88"/>
      <c r="O493" s="141"/>
      <c r="P493" s="31"/>
      <c r="Q493" s="88"/>
      <c r="R493" s="88"/>
      <c r="S493" s="88"/>
      <c r="T493" s="54"/>
      <c r="U493" s="54"/>
      <c r="V493" s="88"/>
    </row>
    <row r="494" spans="1:22" s="168" customFormat="1" ht="22.500000" customHeight="1">
      <c r="A494" s="34">
        <v>492</v>
      </c>
      <c r="B494" s="34"/>
      <c r="C494" s="34"/>
      <c r="D494" s="34"/>
      <c r="E494" s="34"/>
      <c r="F494" s="85"/>
      <c r="G494" s="159"/>
      <c r="H494" s="155"/>
      <c r="I494" s="86"/>
      <c r="J494" s="86"/>
      <c r="K494" s="155"/>
      <c r="L494" s="85"/>
      <c r="M494" s="136" t="s">
        <v>28</v>
      </c>
      <c r="N494" s="88"/>
      <c r="O494" s="141"/>
      <c r="P494" s="31"/>
      <c r="Q494" s="88"/>
      <c r="R494" s="88"/>
      <c r="S494" s="88"/>
      <c r="T494" s="54"/>
      <c r="U494" s="54"/>
      <c r="V494" s="88"/>
    </row>
    <row r="495" spans="1:22" s="168" customFormat="1" ht="22.500000" customHeight="1">
      <c r="A495" s="34">
        <v>493</v>
      </c>
      <c r="B495" s="34"/>
      <c r="C495" s="34"/>
      <c r="D495" s="34"/>
      <c r="E495" s="34"/>
      <c r="F495" s="85"/>
      <c r="G495" s="159"/>
      <c r="H495" s="155"/>
      <c r="I495" s="86"/>
      <c r="J495" s="86"/>
      <c r="K495" s="155"/>
      <c r="L495" s="85"/>
      <c r="M495" s="135" t="s">
        <v>28</v>
      </c>
      <c r="N495" s="88"/>
      <c r="O495" s="141"/>
      <c r="P495" s="31"/>
      <c r="Q495" s="88"/>
      <c r="R495" s="88"/>
      <c r="S495" s="88"/>
      <c r="T495" s="54"/>
      <c r="U495" s="54"/>
      <c r="V495" s="88"/>
    </row>
    <row r="496" spans="1:22" s="168" customFormat="1" ht="22.500000" customHeight="1">
      <c r="A496" s="34">
        <v>494</v>
      </c>
      <c r="B496" s="34"/>
      <c r="C496" s="34"/>
      <c r="D496" s="34"/>
      <c r="E496" s="34"/>
      <c r="F496" s="85"/>
      <c r="G496" s="159"/>
      <c r="H496" s="155"/>
      <c r="I496" s="86"/>
      <c r="J496" s="86"/>
      <c r="K496" s="155"/>
      <c r="L496" s="85"/>
      <c r="M496" s="138" t="s">
        <v>29</v>
      </c>
      <c r="N496" s="88"/>
      <c r="O496" s="141"/>
      <c r="P496" s="31"/>
      <c r="Q496" s="88"/>
      <c r="R496" s="88"/>
      <c r="S496" s="88"/>
      <c r="T496" s="54"/>
      <c r="U496" s="54"/>
      <c r="V496" s="88"/>
    </row>
    <row r="497" spans="1:22" s="168" customFormat="1" ht="22.500000" customHeight="1">
      <c r="A497" s="34">
        <v>495</v>
      </c>
      <c r="B497" s="34"/>
      <c r="C497" s="34"/>
      <c r="D497" s="34"/>
      <c r="E497" s="34"/>
      <c r="F497" s="85"/>
      <c r="G497" s="159"/>
      <c r="H497" s="155"/>
      <c r="I497" s="86"/>
      <c r="J497" s="86"/>
      <c r="K497" s="155"/>
      <c r="L497" s="85"/>
      <c r="M497" s="139" t="s">
        <v>30</v>
      </c>
      <c r="N497" s="88"/>
      <c r="O497" s="141"/>
      <c r="P497" s="31"/>
      <c r="Q497" s="88"/>
      <c r="R497" s="88"/>
      <c r="S497" s="88"/>
      <c r="T497" s="54"/>
      <c r="U497" s="54"/>
      <c r="V497" s="88"/>
    </row>
    <row r="498" spans="1:22" s="168" customFormat="1" ht="22.500000" customHeight="1">
      <c r="A498" s="34">
        <v>496</v>
      </c>
      <c r="B498" s="34"/>
      <c r="C498" s="34"/>
      <c r="D498" s="34"/>
      <c r="E498" s="34"/>
      <c r="F498" s="85"/>
      <c r="G498" s="159"/>
      <c r="H498" s="155"/>
      <c r="I498" s="86"/>
      <c r="J498" s="86"/>
      <c r="K498" s="155"/>
      <c r="L498" s="85"/>
      <c r="M498" s="136" t="s">
        <v>28</v>
      </c>
      <c r="N498" s="88"/>
      <c r="O498" s="141"/>
      <c r="P498" s="31"/>
      <c r="Q498" s="88"/>
      <c r="R498" s="88"/>
      <c r="S498" s="88"/>
      <c r="T498" s="54"/>
      <c r="U498" s="54"/>
      <c r="V498" s="88"/>
    </row>
    <row r="499" spans="1:22" s="168" customFormat="1" ht="22.500000" customHeight="1">
      <c r="A499" s="34">
        <v>497</v>
      </c>
      <c r="B499" s="34"/>
      <c r="C499" s="34"/>
      <c r="D499" s="34"/>
      <c r="E499" s="34"/>
      <c r="F499" s="85"/>
      <c r="G499" s="159"/>
      <c r="H499" s="155"/>
      <c r="I499" s="86"/>
      <c r="J499" s="86"/>
      <c r="K499" s="155"/>
      <c r="L499" s="85"/>
      <c r="M499" s="135" t="s">
        <v>28</v>
      </c>
      <c r="N499" s="88"/>
      <c r="O499" s="141"/>
      <c r="P499" s="31"/>
      <c r="Q499" s="88"/>
      <c r="R499" s="88"/>
      <c r="S499" s="88"/>
      <c r="T499" s="54"/>
      <c r="U499" s="54"/>
      <c r="V499" s="88"/>
    </row>
    <row r="500" spans="1:22" s="168" customFormat="1" ht="22.500000" customHeight="1">
      <c r="A500" s="34">
        <v>498</v>
      </c>
      <c r="B500" s="34"/>
      <c r="C500" s="34"/>
      <c r="D500" s="34"/>
      <c r="E500" s="34"/>
      <c r="F500" s="85"/>
      <c r="G500" s="159"/>
      <c r="H500" s="155"/>
      <c r="I500" s="86"/>
      <c r="J500" s="86"/>
      <c r="K500" s="155"/>
      <c r="L500" s="85"/>
      <c r="M500" s="136" t="s">
        <v>28</v>
      </c>
      <c r="N500" s="88"/>
      <c r="O500" s="141"/>
      <c r="P500" s="31"/>
      <c r="Q500" s="88"/>
      <c r="R500" s="88"/>
      <c r="S500" s="88"/>
      <c r="T500" s="54"/>
      <c r="U500" s="54"/>
      <c r="V500" s="88"/>
    </row>
    <row r="501" spans="1:22" s="168" customFormat="1" ht="22.500000" customHeight="1">
      <c r="A501" s="34">
        <v>499</v>
      </c>
      <c r="B501" s="34"/>
      <c r="C501" s="34"/>
      <c r="D501" s="34"/>
      <c r="E501" s="34"/>
      <c r="F501" s="85"/>
      <c r="G501" s="159"/>
      <c r="H501" s="155"/>
      <c r="I501" s="86"/>
      <c r="J501" s="86"/>
      <c r="K501" s="155"/>
      <c r="L501" s="85"/>
      <c r="M501" s="137" t="s">
        <v>29</v>
      </c>
      <c r="N501" s="88"/>
      <c r="O501" s="141"/>
      <c r="P501" s="31"/>
      <c r="Q501" s="88"/>
      <c r="R501" s="88"/>
      <c r="S501" s="88"/>
      <c r="T501" s="54"/>
      <c r="U501" s="54"/>
      <c r="V501" s="88"/>
    </row>
    <row r="502" spans="1:22" s="168" customFormat="1" ht="22.500000" customHeight="1">
      <c r="A502" s="34">
        <v>500</v>
      </c>
      <c r="B502" s="34"/>
      <c r="C502" s="34"/>
      <c r="D502" s="34"/>
      <c r="E502" s="34"/>
      <c r="F502" s="85"/>
      <c r="G502" s="159"/>
      <c r="H502" s="155"/>
      <c r="I502" s="86"/>
      <c r="J502" s="86"/>
      <c r="K502" s="155"/>
      <c r="L502" s="85"/>
      <c r="M502" s="140" t="s">
        <v>30</v>
      </c>
      <c r="N502" s="88"/>
      <c r="O502" s="141"/>
      <c r="P502" s="31"/>
      <c r="Q502" s="88"/>
      <c r="R502" s="88"/>
      <c r="S502" s="88"/>
      <c r="T502" s="54"/>
      <c r="U502" s="54"/>
      <c r="V502" s="88"/>
    </row>
    <row r="503" spans="1:22" s="168" customFormat="1" ht="22.500000" customHeight="1">
      <c r="A503" s="34">
        <v>501</v>
      </c>
      <c r="B503" s="34"/>
      <c r="C503" s="34"/>
      <c r="D503" s="34"/>
      <c r="E503" s="34"/>
      <c r="F503" s="85"/>
      <c r="G503" s="159"/>
      <c r="H503" s="155"/>
      <c r="I503" s="86"/>
      <c r="J503" s="86"/>
      <c r="K503" s="155"/>
      <c r="L503" s="85"/>
      <c r="M503" s="135" t="s">
        <v>28</v>
      </c>
      <c r="N503" s="88"/>
      <c r="O503" s="141"/>
      <c r="P503" s="31"/>
      <c r="Q503" s="88"/>
      <c r="R503" s="88"/>
      <c r="S503" s="88"/>
      <c r="T503" s="54"/>
      <c r="U503" s="54"/>
      <c r="V503" s="88"/>
    </row>
    <row r="504" spans="1:22" s="168" customFormat="1" ht="22.500000" customHeight="1">
      <c r="A504" s="34">
        <v>502</v>
      </c>
      <c r="B504" s="34"/>
      <c r="C504" s="34"/>
      <c r="D504" s="34"/>
      <c r="E504" s="34"/>
      <c r="F504" s="85"/>
      <c r="G504" s="159"/>
      <c r="H504" s="155"/>
      <c r="I504" s="86"/>
      <c r="J504" s="86"/>
      <c r="K504" s="155"/>
      <c r="L504" s="85"/>
      <c r="M504" s="136" t="s">
        <v>28</v>
      </c>
      <c r="N504" s="88"/>
      <c r="O504" s="141"/>
      <c r="P504" s="31"/>
      <c r="Q504" s="88"/>
      <c r="R504" s="88"/>
      <c r="S504" s="88"/>
      <c r="T504" s="54"/>
      <c r="U504" s="54"/>
      <c r="V504" s="88"/>
    </row>
    <row r="505" spans="1:22" s="168" customFormat="1" ht="22.500000" customHeight="1">
      <c r="A505" s="34">
        <v>503</v>
      </c>
      <c r="B505" s="34"/>
      <c r="C505" s="34"/>
      <c r="D505" s="34"/>
      <c r="E505" s="34"/>
      <c r="F505" s="85"/>
      <c r="G505" s="159"/>
      <c r="H505" s="155"/>
      <c r="I505" s="86"/>
      <c r="J505" s="86"/>
      <c r="K505" s="155"/>
      <c r="L505" s="85"/>
      <c r="M505" s="135" t="s">
        <v>28</v>
      </c>
      <c r="N505" s="88"/>
      <c r="O505" s="141"/>
      <c r="P505" s="31"/>
      <c r="Q505" s="88"/>
      <c r="R505" s="88"/>
      <c r="S505" s="88"/>
      <c r="T505" s="54"/>
      <c r="U505" s="54"/>
      <c r="V505" s="88"/>
    </row>
    <row r="506" spans="1:22" s="168" customFormat="1" ht="22.500000" customHeight="1">
      <c r="A506" s="34">
        <v>504</v>
      </c>
      <c r="B506" s="34"/>
      <c r="C506" s="34"/>
      <c r="D506" s="34"/>
      <c r="E506" s="34"/>
      <c r="F506" s="85"/>
      <c r="G506" s="159"/>
      <c r="H506" s="155"/>
      <c r="I506" s="86"/>
      <c r="J506" s="86"/>
      <c r="K506" s="155"/>
      <c r="L506" s="85"/>
      <c r="M506" s="138" t="s">
        <v>29</v>
      </c>
      <c r="N506" s="88"/>
      <c r="O506" s="141"/>
      <c r="P506" s="31"/>
      <c r="Q506" s="88"/>
      <c r="R506" s="88"/>
      <c r="S506" s="88"/>
      <c r="T506" s="54"/>
      <c r="U506" s="54"/>
      <c r="V506" s="88"/>
    </row>
    <row r="507" spans="1:22" s="168" customFormat="1" ht="22.500000" customHeight="1">
      <c r="A507" s="34">
        <v>505</v>
      </c>
      <c r="B507" s="34"/>
      <c r="C507" s="34"/>
      <c r="D507" s="34"/>
      <c r="E507" s="34"/>
      <c r="F507" s="85"/>
      <c r="G507" s="159"/>
      <c r="H507" s="155"/>
      <c r="I507" s="86"/>
      <c r="J507" s="86"/>
      <c r="K507" s="155"/>
      <c r="L507" s="85"/>
      <c r="M507" s="139" t="s">
        <v>30</v>
      </c>
      <c r="N507" s="88"/>
      <c r="O507" s="141"/>
      <c r="P507" s="31"/>
      <c r="Q507" s="88"/>
      <c r="R507" s="88"/>
      <c r="S507" s="88"/>
      <c r="T507" s="54"/>
      <c r="U507" s="54"/>
      <c r="V507" s="88"/>
    </row>
    <row r="508" spans="1:22" s="168" customFormat="1" ht="22.500000" customHeight="1">
      <c r="A508" s="34">
        <v>506</v>
      </c>
      <c r="B508" s="34"/>
      <c r="C508" s="34"/>
      <c r="D508" s="34"/>
      <c r="E508" s="34"/>
      <c r="F508" s="85"/>
      <c r="G508" s="159"/>
      <c r="H508" s="155"/>
      <c r="I508" s="86"/>
      <c r="J508" s="86"/>
      <c r="K508" s="155"/>
      <c r="L508" s="85"/>
      <c r="M508" s="136" t="s">
        <v>28</v>
      </c>
      <c r="N508" s="88"/>
      <c r="O508" s="141"/>
      <c r="P508" s="31"/>
      <c r="Q508" s="88"/>
      <c r="R508" s="88"/>
      <c r="S508" s="88"/>
      <c r="T508" s="54"/>
      <c r="U508" s="54"/>
      <c r="V508" s="88"/>
    </row>
    <row r="509" spans="1:22" s="168" customFormat="1" ht="22.500000" customHeight="1">
      <c r="A509" s="34">
        <v>507</v>
      </c>
      <c r="B509" s="34"/>
      <c r="C509" s="34"/>
      <c r="D509" s="34"/>
      <c r="E509" s="34"/>
      <c r="F509" s="85"/>
      <c r="G509" s="159"/>
      <c r="H509" s="155"/>
      <c r="I509" s="86"/>
      <c r="J509" s="86"/>
      <c r="K509" s="155"/>
      <c r="L509" s="85"/>
      <c r="M509" s="135" t="s">
        <v>28</v>
      </c>
      <c r="N509" s="88"/>
      <c r="O509" s="141"/>
      <c r="P509" s="31"/>
      <c r="Q509" s="88"/>
      <c r="R509" s="88"/>
      <c r="S509" s="88"/>
      <c r="T509" s="54"/>
      <c r="U509" s="54"/>
      <c r="V509" s="88"/>
    </row>
    <row r="510" spans="1:22" s="168" customFormat="1" ht="22.500000" customHeight="1">
      <c r="A510" s="34">
        <v>508</v>
      </c>
      <c r="B510" s="34"/>
      <c r="C510" s="34"/>
      <c r="D510" s="34"/>
      <c r="E510" s="34"/>
      <c r="F510" s="85"/>
      <c r="G510" s="159"/>
      <c r="H510" s="155"/>
      <c r="I510" s="86"/>
      <c r="J510" s="86"/>
      <c r="K510" s="155"/>
      <c r="L510" s="85"/>
      <c r="M510" s="136" t="s">
        <v>28</v>
      </c>
      <c r="N510" s="88"/>
      <c r="O510" s="141"/>
      <c r="P510" s="31"/>
      <c r="Q510" s="88"/>
      <c r="R510" s="88"/>
      <c r="S510" s="88"/>
      <c r="T510" s="54"/>
      <c r="U510" s="54"/>
      <c r="V510" s="88"/>
    </row>
    <row r="511" spans="1:22" s="168" customFormat="1" ht="22.500000" customHeight="1">
      <c r="A511" s="34">
        <v>509</v>
      </c>
      <c r="B511" s="34"/>
      <c r="C511" s="34"/>
      <c r="D511" s="34"/>
      <c r="E511" s="34"/>
      <c r="F511" s="85"/>
      <c r="G511" s="159"/>
      <c r="H511" s="155"/>
      <c r="I511" s="86"/>
      <c r="J511" s="86"/>
      <c r="K511" s="155"/>
      <c r="L511" s="85"/>
      <c r="M511" s="135" t="s">
        <v>28</v>
      </c>
      <c r="N511" s="88"/>
      <c r="O511" s="141"/>
      <c r="P511" s="31"/>
      <c r="Q511" s="88"/>
      <c r="R511" s="88"/>
      <c r="S511" s="88"/>
      <c r="T511" s="54"/>
      <c r="U511" s="54"/>
      <c r="V511" s="88"/>
    </row>
    <row r="512" spans="1:22" s="168" customFormat="1" ht="22.500000" customHeight="1">
      <c r="A512" s="34">
        <v>510</v>
      </c>
      <c r="B512" s="34"/>
      <c r="C512" s="34"/>
      <c r="D512" s="34"/>
      <c r="E512" s="34"/>
      <c r="F512" s="85"/>
      <c r="G512" s="159"/>
      <c r="H512" s="155"/>
      <c r="I512" s="86"/>
      <c r="J512" s="86"/>
      <c r="K512" s="155"/>
      <c r="L512" s="85"/>
      <c r="M512" s="136" t="s">
        <v>28</v>
      </c>
      <c r="N512" s="88"/>
      <c r="O512" s="141"/>
      <c r="P512" s="31"/>
      <c r="Q512" s="88"/>
      <c r="R512" s="88"/>
      <c r="S512" s="88"/>
      <c r="T512" s="54"/>
      <c r="U512" s="54"/>
      <c r="V512" s="88"/>
    </row>
    <row r="513" spans="1:22" s="168" customFormat="1" ht="22.500000" customHeight="1">
      <c r="A513" s="34">
        <v>511</v>
      </c>
      <c r="B513" s="34"/>
      <c r="C513" s="34"/>
      <c r="D513" s="34"/>
      <c r="E513" s="34"/>
      <c r="F513" s="85"/>
      <c r="G513" s="159"/>
      <c r="H513" s="155"/>
      <c r="I513" s="86"/>
      <c r="J513" s="86"/>
      <c r="K513" s="155"/>
      <c r="L513" s="85"/>
      <c r="M513" s="135" t="s">
        <v>28</v>
      </c>
      <c r="N513" s="88"/>
      <c r="O513" s="141"/>
      <c r="P513" s="31"/>
      <c r="Q513" s="88"/>
      <c r="R513" s="88"/>
      <c r="S513" s="88"/>
      <c r="T513" s="54"/>
      <c r="U513" s="54"/>
      <c r="V513" s="88"/>
    </row>
    <row r="514" spans="1:22" s="168" customFormat="1" ht="22.500000" customHeight="1">
      <c r="A514" s="34">
        <v>512</v>
      </c>
      <c r="B514" s="34"/>
      <c r="C514" s="34"/>
      <c r="D514" s="34"/>
      <c r="E514" s="34"/>
      <c r="F514" s="85"/>
      <c r="G514" s="159"/>
      <c r="H514" s="155"/>
      <c r="I514" s="86"/>
      <c r="J514" s="86"/>
      <c r="K514" s="155"/>
      <c r="L514" s="85"/>
      <c r="M514" s="138" t="s">
        <v>29</v>
      </c>
      <c r="N514" s="88"/>
      <c r="O514" s="141"/>
      <c r="P514" s="31"/>
      <c r="Q514" s="88"/>
      <c r="R514" s="88"/>
      <c r="S514" s="88"/>
      <c r="T514" s="54"/>
      <c r="U514" s="54"/>
      <c r="V514" s="88"/>
    </row>
    <row r="515" spans="1:22" s="168" customFormat="1" ht="22.500000" customHeight="1">
      <c r="A515" s="34">
        <v>513</v>
      </c>
      <c r="B515" s="34"/>
      <c r="C515" s="34"/>
      <c r="D515" s="34"/>
      <c r="E515" s="34"/>
      <c r="F515" s="85"/>
      <c r="G515" s="159"/>
      <c r="H515" s="155"/>
      <c r="I515" s="86"/>
      <c r="J515" s="86"/>
      <c r="K515" s="155"/>
      <c r="L515" s="85"/>
      <c r="M515" s="139" t="s">
        <v>30</v>
      </c>
      <c r="N515" s="88"/>
      <c r="O515" s="141"/>
      <c r="P515" s="31"/>
      <c r="Q515" s="88"/>
      <c r="R515" s="88"/>
      <c r="S515" s="88"/>
      <c r="T515" s="54"/>
      <c r="U515" s="54"/>
      <c r="V515" s="88"/>
    </row>
    <row r="516" spans="1:22" s="168" customFormat="1" ht="22.500000" customHeight="1">
      <c r="A516" s="34">
        <v>514</v>
      </c>
      <c r="B516" s="34"/>
      <c r="C516" s="34"/>
      <c r="D516" s="34"/>
      <c r="E516" s="34"/>
      <c r="F516" s="85"/>
      <c r="G516" s="159"/>
      <c r="H516" s="155"/>
      <c r="I516" s="86"/>
      <c r="J516" s="86"/>
      <c r="K516" s="155"/>
      <c r="L516" s="85"/>
      <c r="M516" s="136" t="s">
        <v>28</v>
      </c>
      <c r="N516" s="88"/>
      <c r="O516" s="141"/>
      <c r="P516" s="31"/>
      <c r="Q516" s="88"/>
      <c r="R516" s="88"/>
      <c r="S516" s="88"/>
      <c r="T516" s="54"/>
      <c r="U516" s="54"/>
      <c r="V516" s="88"/>
    </row>
    <row r="517" spans="1:22" s="168" customFormat="1" ht="22.500000" customHeight="1">
      <c r="A517" s="34">
        <v>515</v>
      </c>
      <c r="B517" s="34"/>
      <c r="C517" s="34"/>
      <c r="D517" s="34"/>
      <c r="E517" s="34"/>
      <c r="F517" s="85"/>
      <c r="G517" s="159"/>
      <c r="H517" s="155"/>
      <c r="I517" s="86"/>
      <c r="J517" s="86"/>
      <c r="K517" s="155"/>
      <c r="L517" s="85"/>
      <c r="M517" s="135" t="s">
        <v>28</v>
      </c>
      <c r="N517" s="88"/>
      <c r="O517" s="141"/>
      <c r="P517" s="31"/>
      <c r="Q517" s="88"/>
      <c r="R517" s="88"/>
      <c r="S517" s="88"/>
      <c r="T517" s="54"/>
      <c r="U517" s="54"/>
      <c r="V517" s="88"/>
    </row>
    <row r="518" spans="1:22" s="168" customFormat="1" ht="22.500000" customHeight="1">
      <c r="A518" s="34">
        <v>516</v>
      </c>
      <c r="B518" s="34"/>
      <c r="C518" s="34"/>
      <c r="D518" s="34"/>
      <c r="E518" s="34"/>
      <c r="F518" s="85"/>
      <c r="G518" s="159"/>
      <c r="H518" s="155"/>
      <c r="I518" s="86"/>
      <c r="J518" s="86"/>
      <c r="K518" s="155"/>
      <c r="L518" s="85"/>
      <c r="M518" s="136" t="s">
        <v>28</v>
      </c>
      <c r="N518" s="88"/>
      <c r="O518" s="141"/>
      <c r="P518" s="31"/>
      <c r="Q518" s="88"/>
      <c r="R518" s="88"/>
      <c r="S518" s="88"/>
      <c r="T518" s="54"/>
      <c r="U518" s="54"/>
      <c r="V518" s="88"/>
    </row>
    <row r="519" spans="1:22" s="168" customFormat="1" ht="22.500000" customHeight="1">
      <c r="A519" s="34">
        <v>517</v>
      </c>
      <c r="B519" s="34"/>
      <c r="C519" s="34"/>
      <c r="D519" s="34"/>
      <c r="E519" s="34"/>
      <c r="F519" s="85"/>
      <c r="G519" s="159"/>
      <c r="H519" s="155"/>
      <c r="I519" s="86"/>
      <c r="J519" s="86"/>
      <c r="K519" s="155"/>
      <c r="L519" s="85"/>
      <c r="M519" s="137" t="s">
        <v>29</v>
      </c>
      <c r="N519" s="88"/>
      <c r="O519" s="141"/>
      <c r="P519" s="31"/>
      <c r="Q519" s="88"/>
      <c r="R519" s="88"/>
      <c r="S519" s="88"/>
      <c r="T519" s="54"/>
      <c r="U519" s="54"/>
      <c r="V519" s="88"/>
    </row>
    <row r="520" spans="1:22" s="168" customFormat="1" ht="22.500000" customHeight="1">
      <c r="A520" s="34">
        <v>518</v>
      </c>
      <c r="B520" s="34"/>
      <c r="C520" s="34"/>
      <c r="D520" s="34"/>
      <c r="E520" s="34"/>
      <c r="F520" s="85"/>
      <c r="G520" s="159"/>
      <c r="H520" s="155"/>
      <c r="I520" s="86"/>
      <c r="J520" s="86"/>
      <c r="K520" s="155"/>
      <c r="L520" s="85"/>
      <c r="M520" s="140" t="s">
        <v>30</v>
      </c>
      <c r="N520" s="88"/>
      <c r="O520" s="141"/>
      <c r="P520" s="31"/>
      <c r="Q520" s="88"/>
      <c r="R520" s="88"/>
      <c r="S520" s="88"/>
      <c r="T520" s="54"/>
      <c r="U520" s="54"/>
      <c r="V520" s="88"/>
    </row>
    <row r="521" spans="1:22" s="168" customFormat="1" ht="22.500000" customHeight="1">
      <c r="A521" s="34">
        <v>519</v>
      </c>
      <c r="B521" s="34"/>
      <c r="C521" s="34"/>
      <c r="D521" s="34"/>
      <c r="E521" s="34"/>
      <c r="F521" s="85"/>
      <c r="G521" s="159"/>
      <c r="H521" s="155"/>
      <c r="I521" s="86"/>
      <c r="J521" s="86"/>
      <c r="K521" s="155"/>
      <c r="L521" s="85"/>
      <c r="M521" s="135" t="s">
        <v>28</v>
      </c>
      <c r="N521" s="88"/>
      <c r="O521" s="141"/>
      <c r="P521" s="31"/>
      <c r="Q521" s="88"/>
      <c r="R521" s="88"/>
      <c r="S521" s="88"/>
      <c r="T521" s="54"/>
      <c r="U521" s="54"/>
      <c r="V521" s="88"/>
    </row>
    <row r="522" spans="1:22" s="168" customFormat="1" ht="22.500000" customHeight="1">
      <c r="A522" s="34">
        <v>520</v>
      </c>
      <c r="B522" s="34"/>
      <c r="C522" s="34"/>
      <c r="D522" s="34"/>
      <c r="E522" s="34"/>
      <c r="F522" s="85"/>
      <c r="G522" s="159"/>
      <c r="H522" s="155"/>
      <c r="I522" s="86"/>
      <c r="J522" s="86"/>
      <c r="K522" s="155"/>
      <c r="L522" s="85"/>
      <c r="M522" s="136" t="s">
        <v>28</v>
      </c>
      <c r="N522" s="88"/>
      <c r="O522" s="141"/>
      <c r="P522" s="31"/>
      <c r="Q522" s="88"/>
      <c r="R522" s="88"/>
      <c r="S522" s="88"/>
      <c r="T522" s="54"/>
      <c r="U522" s="54"/>
      <c r="V522" s="88"/>
    </row>
    <row r="523" spans="1:22" s="168" customFormat="1" ht="22.500000" customHeight="1">
      <c r="A523" s="34">
        <v>521</v>
      </c>
      <c r="B523" s="34"/>
      <c r="C523" s="34"/>
      <c r="D523" s="34"/>
      <c r="E523" s="34"/>
      <c r="F523" s="85"/>
      <c r="G523" s="159"/>
      <c r="H523" s="155"/>
      <c r="I523" s="86"/>
      <c r="J523" s="86"/>
      <c r="K523" s="155"/>
      <c r="L523" s="85"/>
      <c r="M523" s="135" t="s">
        <v>28</v>
      </c>
      <c r="N523" s="88"/>
      <c r="O523" s="141"/>
      <c r="P523" s="31"/>
      <c r="Q523" s="88"/>
      <c r="R523" s="88"/>
      <c r="S523" s="88"/>
      <c r="T523" s="54"/>
      <c r="U523" s="54"/>
      <c r="V523" s="88"/>
    </row>
    <row r="524" spans="1:22" s="168" customFormat="1" ht="22.500000" customHeight="1">
      <c r="A524" s="34">
        <v>522</v>
      </c>
      <c r="B524" s="34"/>
      <c r="C524" s="34"/>
      <c r="D524" s="34"/>
      <c r="E524" s="34"/>
      <c r="F524" s="85"/>
      <c r="G524" s="159"/>
      <c r="H524" s="155"/>
      <c r="I524" s="86"/>
      <c r="J524" s="86"/>
      <c r="K524" s="155"/>
      <c r="L524" s="85"/>
      <c r="M524" s="138" t="s">
        <v>29</v>
      </c>
      <c r="N524" s="88"/>
      <c r="O524" s="141"/>
      <c r="P524" s="31"/>
      <c r="Q524" s="88"/>
      <c r="R524" s="88"/>
      <c r="S524" s="88"/>
      <c r="T524" s="54"/>
      <c r="U524" s="54"/>
      <c r="V524" s="88"/>
    </row>
    <row r="525" spans="1:22" s="168" customFormat="1" ht="22.500000" customHeight="1">
      <c r="A525" s="34">
        <v>523</v>
      </c>
      <c r="B525" s="34"/>
      <c r="C525" s="34"/>
      <c r="D525" s="34"/>
      <c r="E525" s="34"/>
      <c r="F525" s="85"/>
      <c r="G525" s="159"/>
      <c r="H525" s="155"/>
      <c r="I525" s="86"/>
      <c r="J525" s="86"/>
      <c r="K525" s="155"/>
      <c r="L525" s="85"/>
      <c r="M525" s="139" t="s">
        <v>30</v>
      </c>
      <c r="N525" s="88"/>
      <c r="O525" s="141"/>
      <c r="P525" s="31"/>
      <c r="Q525" s="88"/>
      <c r="R525" s="88"/>
      <c r="S525" s="88"/>
      <c r="T525" s="54"/>
      <c r="U525" s="54"/>
      <c r="V525" s="88"/>
    </row>
    <row r="526" spans="1:22" s="168" customFormat="1" ht="22.500000" customHeight="1">
      <c r="A526" s="34">
        <v>524</v>
      </c>
      <c r="B526" s="34"/>
      <c r="C526" s="34"/>
      <c r="D526" s="34"/>
      <c r="E526" s="34"/>
      <c r="F526" s="85"/>
      <c r="G526" s="159"/>
      <c r="H526" s="155"/>
      <c r="I526" s="86"/>
      <c r="J526" s="86"/>
      <c r="K526" s="155"/>
      <c r="L526" s="85"/>
      <c r="M526" s="136" t="s">
        <v>28</v>
      </c>
      <c r="N526" s="88"/>
      <c r="O526" s="141"/>
      <c r="P526" s="31"/>
      <c r="Q526" s="88"/>
      <c r="R526" s="88"/>
      <c r="S526" s="88"/>
      <c r="T526" s="54"/>
      <c r="U526" s="54"/>
      <c r="V526" s="88"/>
    </row>
    <row r="527" spans="1:22" s="168" customFormat="1" ht="22.500000" customHeight="1">
      <c r="A527" s="34">
        <v>525</v>
      </c>
      <c r="B527" s="34"/>
      <c r="C527" s="34"/>
      <c r="D527" s="34"/>
      <c r="E527" s="34"/>
      <c r="F527" s="85"/>
      <c r="G527" s="159"/>
      <c r="H527" s="155"/>
      <c r="I527" s="86"/>
      <c r="J527" s="86"/>
      <c r="K527" s="155"/>
      <c r="L527" s="85"/>
      <c r="M527" s="135" t="s">
        <v>28</v>
      </c>
      <c r="N527" s="88"/>
      <c r="O527" s="141"/>
      <c r="P527" s="31"/>
      <c r="Q527" s="88"/>
      <c r="R527" s="88"/>
      <c r="S527" s="88"/>
      <c r="T527" s="54"/>
      <c r="U527" s="54"/>
      <c r="V527" s="88"/>
    </row>
    <row r="528" spans="1:22" s="168" customFormat="1" ht="22.500000" customHeight="1">
      <c r="A528" s="34">
        <v>526</v>
      </c>
      <c r="B528" s="34"/>
      <c r="C528" s="34"/>
      <c r="D528" s="34"/>
      <c r="E528" s="34"/>
      <c r="F528" s="85"/>
      <c r="G528" s="159"/>
      <c r="H528" s="155"/>
      <c r="I528" s="86"/>
      <c r="J528" s="86"/>
      <c r="K528" s="155"/>
      <c r="L528" s="85"/>
      <c r="M528" s="136" t="s">
        <v>28</v>
      </c>
      <c r="N528" s="88"/>
      <c r="O528" s="141"/>
      <c r="P528" s="31"/>
      <c r="Q528" s="88"/>
      <c r="R528" s="88"/>
      <c r="S528" s="88"/>
      <c r="T528" s="54"/>
      <c r="U528" s="54"/>
      <c r="V528" s="88"/>
    </row>
    <row r="529" spans="1:22" s="168" customFormat="1" ht="22.500000" customHeight="1">
      <c r="A529" s="34">
        <v>527</v>
      </c>
      <c r="B529" s="34"/>
      <c r="C529" s="34"/>
      <c r="D529" s="34"/>
      <c r="E529" s="34"/>
      <c r="F529" s="85"/>
      <c r="G529" s="159"/>
      <c r="H529" s="155"/>
      <c r="I529" s="86"/>
      <c r="J529" s="86"/>
      <c r="K529" s="155"/>
      <c r="L529" s="85"/>
      <c r="M529" s="137" t="s">
        <v>29</v>
      </c>
      <c r="N529" s="88"/>
      <c r="O529" s="141"/>
      <c r="P529" s="31"/>
      <c r="Q529" s="88"/>
      <c r="R529" s="88"/>
      <c r="S529" s="88"/>
      <c r="T529" s="54"/>
      <c r="U529" s="54"/>
      <c r="V529" s="88"/>
    </row>
    <row r="530" spans="1:22" s="168" customFormat="1" ht="22.500000" customHeight="1">
      <c r="A530" s="34">
        <v>528</v>
      </c>
      <c r="B530" s="34"/>
      <c r="C530" s="34"/>
      <c r="D530" s="34"/>
      <c r="E530" s="34"/>
      <c r="F530" s="85"/>
      <c r="G530" s="159"/>
      <c r="H530" s="155"/>
      <c r="I530" s="86"/>
      <c r="J530" s="86"/>
      <c r="K530" s="155"/>
      <c r="L530" s="85"/>
      <c r="M530" s="140" t="s">
        <v>30</v>
      </c>
      <c r="N530" s="88"/>
      <c r="O530" s="141"/>
      <c r="P530" s="31"/>
      <c r="Q530" s="88"/>
      <c r="R530" s="88"/>
      <c r="S530" s="88"/>
      <c r="T530" s="54"/>
      <c r="U530" s="54"/>
      <c r="V530" s="88"/>
    </row>
    <row r="531" spans="1:22" s="168" customFormat="1" ht="22.500000" customHeight="1">
      <c r="A531" s="34">
        <v>529</v>
      </c>
      <c r="B531" s="34"/>
      <c r="C531" s="34"/>
      <c r="D531" s="34"/>
      <c r="E531" s="34"/>
      <c r="F531" s="85"/>
      <c r="G531" s="159"/>
      <c r="H531" s="155"/>
      <c r="I531" s="86"/>
      <c r="J531" s="86"/>
      <c r="K531" s="155"/>
      <c r="L531" s="85"/>
      <c r="M531" s="135" t="s">
        <v>28</v>
      </c>
      <c r="N531" s="88"/>
      <c r="O531" s="141"/>
      <c r="P531" s="31"/>
      <c r="Q531" s="88"/>
      <c r="R531" s="88"/>
      <c r="S531" s="88"/>
      <c r="T531" s="54"/>
      <c r="U531" s="54"/>
      <c r="V531" s="88"/>
    </row>
    <row r="532" spans="1:22" s="168" customFormat="1" ht="22.500000" customHeight="1">
      <c r="A532" s="34">
        <v>530</v>
      </c>
      <c r="B532" s="34"/>
      <c r="C532" s="34"/>
      <c r="D532" s="34"/>
      <c r="E532" s="34"/>
      <c r="F532" s="85"/>
      <c r="G532" s="159"/>
      <c r="H532" s="155"/>
      <c r="I532" s="86"/>
      <c r="J532" s="86"/>
      <c r="K532" s="155"/>
      <c r="L532" s="85"/>
      <c r="M532" s="136" t="s">
        <v>28</v>
      </c>
      <c r="N532" s="88"/>
      <c r="O532" s="141"/>
      <c r="P532" s="31"/>
      <c r="Q532" s="88"/>
      <c r="R532" s="88"/>
      <c r="S532" s="88"/>
      <c r="T532" s="54"/>
      <c r="U532" s="54"/>
      <c r="V532" s="88"/>
    </row>
    <row r="533" spans="1:22" s="168" customFormat="1" ht="22.500000" customHeight="1">
      <c r="A533" s="34">
        <v>531</v>
      </c>
      <c r="B533" s="34"/>
      <c r="C533" s="34"/>
      <c r="D533" s="34"/>
      <c r="E533" s="34"/>
      <c r="F533" s="85"/>
      <c r="G533" s="159"/>
      <c r="H533" s="155"/>
      <c r="I533" s="86"/>
      <c r="J533" s="86"/>
      <c r="K533" s="155"/>
      <c r="L533" s="85"/>
      <c r="M533" s="135" t="s">
        <v>28</v>
      </c>
      <c r="N533" s="88"/>
      <c r="O533" s="141"/>
      <c r="P533" s="31"/>
      <c r="Q533" s="88"/>
      <c r="R533" s="88"/>
      <c r="S533" s="88"/>
      <c r="T533" s="54"/>
      <c r="U533" s="54"/>
      <c r="V533" s="88"/>
    </row>
    <row r="534" spans="1:22" s="168" customFormat="1" ht="22.500000" customHeight="1">
      <c r="A534" s="34">
        <v>532</v>
      </c>
      <c r="B534" s="34"/>
      <c r="C534" s="34"/>
      <c r="D534" s="34"/>
      <c r="E534" s="34"/>
      <c r="F534" s="85"/>
      <c r="G534" s="159"/>
      <c r="H534" s="155"/>
      <c r="I534" s="86"/>
      <c r="J534" s="86"/>
      <c r="K534" s="155"/>
      <c r="L534" s="85"/>
      <c r="M534" s="138" t="s">
        <v>29</v>
      </c>
      <c r="N534" s="88"/>
      <c r="O534" s="141"/>
      <c r="P534" s="31"/>
      <c r="Q534" s="88"/>
      <c r="R534" s="88"/>
      <c r="S534" s="88"/>
      <c r="T534" s="54"/>
      <c r="U534" s="54"/>
      <c r="V534" s="88"/>
    </row>
    <row r="535" spans="1:22" s="168" customFormat="1" ht="22.500000" customHeight="1">
      <c r="A535" s="34">
        <v>533</v>
      </c>
      <c r="B535" s="34"/>
      <c r="C535" s="34"/>
      <c r="D535" s="34"/>
      <c r="E535" s="34"/>
      <c r="F535" s="85"/>
      <c r="G535" s="159"/>
      <c r="H535" s="155"/>
      <c r="I535" s="86"/>
      <c r="J535" s="86"/>
      <c r="K535" s="155"/>
      <c r="L535" s="85"/>
      <c r="M535" s="139" t="s">
        <v>30</v>
      </c>
      <c r="N535" s="88"/>
      <c r="O535" s="141"/>
      <c r="P535" s="31"/>
      <c r="Q535" s="88"/>
      <c r="R535" s="88"/>
      <c r="S535" s="88"/>
      <c r="T535" s="54"/>
      <c r="U535" s="54"/>
      <c r="V535" s="88"/>
    </row>
    <row r="536" spans="1:22" s="168" customFormat="1" ht="22.500000" customHeight="1">
      <c r="A536" s="34">
        <v>534</v>
      </c>
      <c r="B536" s="34"/>
      <c r="C536" s="34"/>
      <c r="D536" s="34"/>
      <c r="E536" s="34"/>
      <c r="F536" s="85"/>
      <c r="G536" s="159"/>
      <c r="H536" s="155"/>
      <c r="I536" s="86"/>
      <c r="J536" s="86"/>
      <c r="K536" s="155"/>
      <c r="L536" s="85"/>
      <c r="M536" s="136" t="s">
        <v>28</v>
      </c>
      <c r="N536" s="88"/>
      <c r="O536" s="141"/>
      <c r="P536" s="31"/>
      <c r="Q536" s="88"/>
      <c r="R536" s="88"/>
      <c r="S536" s="88"/>
      <c r="T536" s="54"/>
      <c r="U536" s="54"/>
      <c r="V536" s="88"/>
    </row>
    <row r="537" spans="1:22" s="168" customFormat="1" ht="22.500000" customHeight="1">
      <c r="A537" s="34">
        <v>535</v>
      </c>
      <c r="B537" s="34"/>
      <c r="C537" s="34"/>
      <c r="D537" s="34"/>
      <c r="E537" s="34"/>
      <c r="F537" s="85"/>
      <c r="G537" s="159"/>
      <c r="H537" s="155"/>
      <c r="I537" s="86"/>
      <c r="J537" s="86"/>
      <c r="K537" s="155"/>
      <c r="L537" s="85"/>
      <c r="M537" s="135" t="s">
        <v>28</v>
      </c>
      <c r="N537" s="88"/>
      <c r="O537" s="141"/>
      <c r="P537" s="31"/>
      <c r="Q537" s="88"/>
      <c r="R537" s="88"/>
      <c r="S537" s="88"/>
      <c r="T537" s="54"/>
      <c r="U537" s="54"/>
      <c r="V537" s="88"/>
    </row>
    <row r="538" spans="1:22" s="168" customFormat="1" ht="22.500000" customHeight="1">
      <c r="A538" s="34">
        <v>536</v>
      </c>
      <c r="B538" s="34"/>
      <c r="C538" s="34"/>
      <c r="D538" s="34"/>
      <c r="E538" s="34"/>
      <c r="F538" s="85"/>
      <c r="G538" s="159"/>
      <c r="H538" s="155"/>
      <c r="I538" s="86"/>
      <c r="J538" s="86"/>
      <c r="K538" s="155"/>
      <c r="L538" s="85"/>
      <c r="M538" s="136" t="s">
        <v>28</v>
      </c>
      <c r="N538" s="88"/>
      <c r="O538" s="141"/>
      <c r="P538" s="31"/>
      <c r="Q538" s="88"/>
      <c r="R538" s="88"/>
      <c r="S538" s="88"/>
      <c r="T538" s="54"/>
      <c r="U538" s="54"/>
      <c r="V538" s="88"/>
    </row>
    <row r="539" spans="1:22" s="168" customFormat="1" ht="22.500000" customHeight="1">
      <c r="A539" s="34">
        <v>537</v>
      </c>
      <c r="B539" s="34"/>
      <c r="C539" s="34"/>
      <c r="D539" s="34"/>
      <c r="E539" s="34"/>
      <c r="F539" s="85"/>
      <c r="G539" s="159"/>
      <c r="H539" s="155"/>
      <c r="I539" s="86"/>
      <c r="J539" s="86"/>
      <c r="K539" s="155"/>
      <c r="L539" s="85"/>
      <c r="M539" s="137" t="s">
        <v>29</v>
      </c>
      <c r="N539" s="88"/>
      <c r="O539" s="141"/>
      <c r="P539" s="31"/>
      <c r="Q539" s="88"/>
      <c r="R539" s="88"/>
      <c r="S539" s="88"/>
      <c r="T539" s="54"/>
      <c r="U539" s="54"/>
      <c r="V539" s="88"/>
    </row>
    <row r="540" spans="1:22" s="168" customFormat="1" ht="22.500000" customHeight="1">
      <c r="A540" s="34">
        <v>538</v>
      </c>
      <c r="B540" s="34"/>
      <c r="C540" s="34"/>
      <c r="D540" s="34"/>
      <c r="E540" s="34"/>
      <c r="F540" s="85"/>
      <c r="G540" s="159"/>
      <c r="H540" s="155"/>
      <c r="I540" s="86"/>
      <c r="J540" s="86"/>
      <c r="K540" s="155"/>
      <c r="L540" s="85"/>
      <c r="M540" s="140" t="s">
        <v>30</v>
      </c>
      <c r="N540" s="88"/>
      <c r="O540" s="141"/>
      <c r="P540" s="31"/>
      <c r="Q540" s="88"/>
      <c r="R540" s="88"/>
      <c r="S540" s="88"/>
      <c r="T540" s="54"/>
      <c r="U540" s="54"/>
      <c r="V540" s="88"/>
    </row>
    <row r="541" spans="1:22" s="168" customFormat="1" ht="22.500000" customHeight="1">
      <c r="A541" s="34">
        <v>539</v>
      </c>
      <c r="B541" s="34"/>
      <c r="C541" s="34"/>
      <c r="D541" s="34"/>
      <c r="E541" s="34"/>
      <c r="F541" s="85"/>
      <c r="G541" s="159"/>
      <c r="H541" s="155"/>
      <c r="I541" s="86"/>
      <c r="J541" s="86"/>
      <c r="K541" s="155"/>
      <c r="L541" s="85"/>
      <c r="M541" s="135" t="s">
        <v>28</v>
      </c>
      <c r="N541" s="88"/>
      <c r="O541" s="141"/>
      <c r="P541" s="31"/>
      <c r="Q541" s="88"/>
      <c r="R541" s="88"/>
      <c r="S541" s="88"/>
      <c r="T541" s="54"/>
      <c r="U541" s="54"/>
      <c r="V541" s="88"/>
    </row>
    <row r="542" spans="1:22" s="168" customFormat="1" ht="22.500000" customHeight="1">
      <c r="A542" s="34">
        <v>540</v>
      </c>
      <c r="B542" s="34"/>
      <c r="C542" s="34"/>
      <c r="D542" s="34"/>
      <c r="E542" s="34"/>
      <c r="F542" s="85"/>
      <c r="G542" s="159"/>
      <c r="H542" s="155"/>
      <c r="I542" s="86"/>
      <c r="J542" s="86"/>
      <c r="K542" s="155"/>
      <c r="L542" s="85"/>
      <c r="M542" s="136" t="s">
        <v>28</v>
      </c>
      <c r="N542" s="88"/>
      <c r="O542" s="141"/>
      <c r="P542" s="31"/>
      <c r="Q542" s="88"/>
      <c r="R542" s="88"/>
      <c r="S542" s="88"/>
      <c r="T542" s="54"/>
      <c r="U542" s="54"/>
      <c r="V542" s="88"/>
    </row>
    <row r="543" spans="1:22" s="168" customFormat="1" ht="22.500000" customHeight="1">
      <c r="A543" s="34">
        <v>541</v>
      </c>
      <c r="B543" s="34"/>
      <c r="C543" s="34"/>
      <c r="D543" s="34"/>
      <c r="E543" s="34"/>
      <c r="F543" s="85"/>
      <c r="G543" s="159"/>
      <c r="H543" s="155"/>
      <c r="I543" s="86"/>
      <c r="J543" s="86"/>
      <c r="K543" s="155"/>
      <c r="L543" s="85"/>
      <c r="M543" s="135" t="s">
        <v>28</v>
      </c>
      <c r="N543" s="88"/>
      <c r="O543" s="141"/>
      <c r="P543" s="31"/>
      <c r="Q543" s="88"/>
      <c r="R543" s="88"/>
      <c r="S543" s="88"/>
      <c r="T543" s="54"/>
      <c r="U543" s="54"/>
      <c r="V543" s="88"/>
    </row>
    <row r="544" spans="1:22" s="168" customFormat="1" ht="22.500000" customHeight="1">
      <c r="A544" s="34">
        <v>542</v>
      </c>
      <c r="B544" s="34"/>
      <c r="C544" s="34"/>
      <c r="D544" s="34"/>
      <c r="E544" s="34"/>
      <c r="F544" s="85"/>
      <c r="G544" s="159"/>
      <c r="H544" s="155"/>
      <c r="I544" s="86"/>
      <c r="J544" s="86"/>
      <c r="K544" s="155"/>
      <c r="L544" s="85"/>
      <c r="M544" s="138" t="s">
        <v>29</v>
      </c>
      <c r="N544" s="88"/>
      <c r="O544" s="141"/>
      <c r="P544" s="31"/>
      <c r="Q544" s="88"/>
      <c r="R544" s="88"/>
      <c r="S544" s="88"/>
      <c r="T544" s="54"/>
      <c r="U544" s="54"/>
      <c r="V544" s="88"/>
    </row>
    <row r="545" spans="1:22" s="168" customFormat="1" ht="22.500000" customHeight="1">
      <c r="A545" s="34">
        <v>543</v>
      </c>
      <c r="B545" s="34"/>
      <c r="C545" s="34"/>
      <c r="D545" s="34"/>
      <c r="E545" s="34"/>
      <c r="F545" s="85"/>
      <c r="G545" s="159"/>
      <c r="H545" s="155"/>
      <c r="I545" s="86"/>
      <c r="J545" s="86"/>
      <c r="K545" s="155"/>
      <c r="L545" s="85"/>
      <c r="M545" s="139" t="s">
        <v>30</v>
      </c>
      <c r="N545" s="88"/>
      <c r="O545" s="141"/>
      <c r="P545" s="31"/>
      <c r="Q545" s="88"/>
      <c r="R545" s="88"/>
      <c r="S545" s="88"/>
      <c r="T545" s="54"/>
      <c r="U545" s="54"/>
      <c r="V545" s="88"/>
    </row>
    <row r="546" spans="1:22" s="168" customFormat="1" ht="22.500000" customHeight="1">
      <c r="A546" s="34">
        <v>544</v>
      </c>
      <c r="B546" s="34"/>
      <c r="C546" s="34"/>
      <c r="D546" s="34"/>
      <c r="E546" s="34"/>
      <c r="F546" s="85"/>
      <c r="G546" s="159"/>
      <c r="H546" s="155"/>
      <c r="I546" s="86"/>
      <c r="J546" s="86"/>
      <c r="K546" s="155"/>
      <c r="L546" s="85"/>
      <c r="M546" s="136" t="s">
        <v>28</v>
      </c>
      <c r="N546" s="88"/>
      <c r="O546" s="141"/>
      <c r="P546" s="31"/>
      <c r="Q546" s="88"/>
      <c r="R546" s="88"/>
      <c r="S546" s="88"/>
      <c r="T546" s="54"/>
      <c r="U546" s="54"/>
      <c r="V546" s="88"/>
    </row>
    <row r="547" spans="1:22" s="168" customFormat="1" ht="22.500000" customHeight="1">
      <c r="A547" s="34">
        <v>545</v>
      </c>
      <c r="B547" s="34"/>
      <c r="C547" s="34"/>
      <c r="D547" s="34"/>
      <c r="E547" s="34"/>
      <c r="F547" s="85"/>
      <c r="G547" s="159"/>
      <c r="H547" s="155"/>
      <c r="I547" s="86"/>
      <c r="J547" s="86"/>
      <c r="K547" s="155"/>
      <c r="L547" s="85"/>
      <c r="M547" s="135" t="s">
        <v>28</v>
      </c>
      <c r="N547" s="88"/>
      <c r="O547" s="141"/>
      <c r="P547" s="31"/>
      <c r="Q547" s="88"/>
      <c r="R547" s="88"/>
      <c r="S547" s="88"/>
      <c r="T547" s="54"/>
      <c r="U547" s="54"/>
      <c r="V547" s="88"/>
    </row>
    <row r="548" spans="1:22" s="168" customFormat="1" ht="22.500000" customHeight="1">
      <c r="A548" s="34">
        <v>546</v>
      </c>
      <c r="B548" s="34"/>
      <c r="C548" s="34"/>
      <c r="D548" s="34"/>
      <c r="E548" s="34"/>
      <c r="F548" s="85"/>
      <c r="G548" s="159"/>
      <c r="H548" s="155"/>
      <c r="I548" s="86"/>
      <c r="J548" s="86"/>
      <c r="K548" s="155"/>
      <c r="L548" s="85"/>
      <c r="M548" s="136" t="s">
        <v>28</v>
      </c>
      <c r="N548" s="88"/>
      <c r="O548" s="141"/>
      <c r="P548" s="31"/>
      <c r="Q548" s="88"/>
      <c r="R548" s="88"/>
      <c r="S548" s="88"/>
      <c r="T548" s="54"/>
      <c r="U548" s="54"/>
      <c r="V548" s="88"/>
    </row>
    <row r="549" spans="1:22" s="168" customFormat="1" ht="22.500000" customHeight="1">
      <c r="A549" s="34">
        <v>547</v>
      </c>
      <c r="B549" s="34"/>
      <c r="C549" s="34"/>
      <c r="D549" s="34"/>
      <c r="E549" s="34"/>
      <c r="F549" s="85"/>
      <c r="G549" s="159"/>
      <c r="H549" s="155"/>
      <c r="I549" s="86"/>
      <c r="J549" s="86"/>
      <c r="K549" s="155"/>
      <c r="L549" s="85"/>
      <c r="M549" s="137" t="s">
        <v>29</v>
      </c>
      <c r="N549" s="88"/>
      <c r="O549" s="141"/>
      <c r="P549" s="31"/>
      <c r="Q549" s="88"/>
      <c r="R549" s="88"/>
      <c r="S549" s="88"/>
      <c r="T549" s="54"/>
      <c r="U549" s="54"/>
      <c r="V549" s="88"/>
    </row>
    <row r="550" spans="1:22" s="168" customFormat="1" ht="22.500000" customHeight="1">
      <c r="A550" s="34">
        <v>548</v>
      </c>
      <c r="B550" s="34"/>
      <c r="C550" s="34"/>
      <c r="D550" s="34"/>
      <c r="E550" s="34"/>
      <c r="F550" s="85"/>
      <c r="G550" s="159"/>
      <c r="H550" s="155"/>
      <c r="I550" s="86"/>
      <c r="J550" s="86"/>
      <c r="K550" s="155"/>
      <c r="L550" s="85"/>
      <c r="M550" s="140" t="s">
        <v>30</v>
      </c>
      <c r="N550" s="88"/>
      <c r="O550" s="141"/>
      <c r="P550" s="31"/>
      <c r="Q550" s="88"/>
      <c r="R550" s="88"/>
      <c r="S550" s="88"/>
      <c r="T550" s="54"/>
      <c r="U550" s="54"/>
      <c r="V550" s="88"/>
    </row>
    <row r="551" spans="1:22" s="168" customFormat="1" ht="22.500000" customHeight="1">
      <c r="A551" s="34">
        <v>549</v>
      </c>
      <c r="B551" s="34"/>
      <c r="C551" s="34"/>
      <c r="D551" s="34"/>
      <c r="E551" s="34"/>
      <c r="F551" s="85"/>
      <c r="G551" s="159"/>
      <c r="H551" s="155"/>
      <c r="I551" s="86"/>
      <c r="J551" s="86"/>
      <c r="K551" s="155"/>
      <c r="L551" s="85"/>
      <c r="M551" s="135" t="s">
        <v>28</v>
      </c>
      <c r="N551" s="88"/>
      <c r="O551" s="141"/>
      <c r="P551" s="31"/>
      <c r="Q551" s="88"/>
      <c r="R551" s="88"/>
      <c r="S551" s="88"/>
      <c r="T551" s="54"/>
      <c r="U551" s="54"/>
      <c r="V551" s="88"/>
    </row>
    <row r="552" spans="1:22" s="168" customFormat="1" ht="22.500000" customHeight="1">
      <c r="A552" s="34">
        <v>550</v>
      </c>
      <c r="B552" s="34"/>
      <c r="C552" s="34"/>
      <c r="D552" s="34"/>
      <c r="E552" s="34"/>
      <c r="F552" s="85"/>
      <c r="G552" s="159"/>
      <c r="H552" s="155"/>
      <c r="I552" s="86"/>
      <c r="J552" s="86"/>
      <c r="K552" s="155"/>
      <c r="L552" s="85"/>
      <c r="M552" s="136" t="s">
        <v>28</v>
      </c>
      <c r="N552" s="88"/>
      <c r="O552" s="141"/>
      <c r="P552" s="31"/>
      <c r="Q552" s="88"/>
      <c r="R552" s="88"/>
      <c r="S552" s="88"/>
      <c r="T552" s="54"/>
      <c r="U552" s="54"/>
      <c r="V552" s="88"/>
    </row>
    <row r="553" spans="1:22" s="168" customFormat="1" ht="22.500000" customHeight="1">
      <c r="A553" s="34">
        <v>551</v>
      </c>
      <c r="B553" s="34"/>
      <c r="C553" s="34"/>
      <c r="D553" s="34"/>
      <c r="E553" s="34"/>
      <c r="F553" s="85"/>
      <c r="G553" s="159"/>
      <c r="H553" s="155"/>
      <c r="I553" s="86"/>
      <c r="J553" s="86"/>
      <c r="K553" s="155"/>
      <c r="L553" s="85"/>
      <c r="M553" s="135" t="s">
        <v>28</v>
      </c>
      <c r="N553" s="88"/>
      <c r="O553" s="141"/>
      <c r="P553" s="31"/>
      <c r="Q553" s="88"/>
      <c r="R553" s="88"/>
      <c r="S553" s="88"/>
      <c r="T553" s="54"/>
      <c r="U553" s="54"/>
      <c r="V553" s="88"/>
    </row>
    <row r="554" spans="1:22" s="168" customFormat="1" ht="22.500000" customHeight="1">
      <c r="A554" s="34">
        <v>552</v>
      </c>
      <c r="B554" s="34"/>
      <c r="C554" s="34"/>
      <c r="D554" s="34"/>
      <c r="E554" s="34"/>
      <c r="F554" s="85"/>
      <c r="G554" s="159"/>
      <c r="H554" s="155"/>
      <c r="I554" s="86"/>
      <c r="J554" s="86"/>
      <c r="K554" s="155"/>
      <c r="L554" s="85"/>
      <c r="M554" s="136" t="s">
        <v>28</v>
      </c>
      <c r="N554" s="88"/>
      <c r="O554" s="141"/>
      <c r="P554" s="31"/>
      <c r="Q554" s="88"/>
      <c r="R554" s="88"/>
      <c r="S554" s="88"/>
      <c r="T554" s="54"/>
      <c r="U554" s="54"/>
      <c r="V554" s="88"/>
    </row>
    <row r="555" spans="1:22" s="168" customFormat="1" ht="22.500000" customHeight="1">
      <c r="A555" s="34">
        <v>553</v>
      </c>
      <c r="B555" s="34"/>
      <c r="C555" s="34"/>
      <c r="D555" s="34"/>
      <c r="E555" s="34"/>
      <c r="F555" s="85"/>
      <c r="G555" s="159"/>
      <c r="H555" s="155"/>
      <c r="I555" s="86"/>
      <c r="J555" s="86"/>
      <c r="K555" s="155"/>
      <c r="L555" s="85"/>
      <c r="M555" s="139" t="s">
        <v>30</v>
      </c>
      <c r="N555" s="88"/>
      <c r="O555" s="141"/>
      <c r="P555" s="31"/>
      <c r="Q555" s="88"/>
      <c r="R555" s="88"/>
      <c r="S555" s="88"/>
      <c r="T555" s="54"/>
      <c r="U555" s="54"/>
      <c r="V555" s="88"/>
    </row>
    <row r="556" spans="1:22" s="168" customFormat="1" ht="22.500000" customHeight="1">
      <c r="A556" s="34">
        <v>554</v>
      </c>
      <c r="B556" s="34"/>
      <c r="C556" s="34"/>
      <c r="D556" s="34"/>
      <c r="E556" s="34"/>
      <c r="F556" s="85"/>
      <c r="G556" s="159"/>
      <c r="H556" s="155"/>
      <c r="I556" s="86"/>
      <c r="J556" s="86"/>
      <c r="K556" s="155"/>
      <c r="L556" s="85"/>
      <c r="M556" s="136" t="s">
        <v>28</v>
      </c>
      <c r="N556" s="88"/>
      <c r="O556" s="141"/>
      <c r="P556" s="31"/>
      <c r="Q556" s="88"/>
      <c r="R556" s="88"/>
      <c r="S556" s="88"/>
      <c r="T556" s="54"/>
      <c r="U556" s="54"/>
      <c r="V556" s="88"/>
    </row>
    <row r="557" spans="1:22" s="168" customFormat="1" ht="22.500000" customHeight="1">
      <c r="A557" s="34">
        <v>555</v>
      </c>
      <c r="B557" s="34"/>
      <c r="C557" s="34"/>
      <c r="D557" s="34"/>
      <c r="E557" s="34"/>
      <c r="F557" s="85"/>
      <c r="G557" s="159"/>
      <c r="H557" s="155"/>
      <c r="I557" s="86"/>
      <c r="J557" s="86"/>
      <c r="K557" s="155"/>
      <c r="L557" s="85"/>
      <c r="M557" s="135" t="s">
        <v>28</v>
      </c>
      <c r="N557" s="88"/>
      <c r="O557" s="141"/>
      <c r="P557" s="31"/>
      <c r="Q557" s="88"/>
      <c r="R557" s="88"/>
      <c r="S557" s="88"/>
      <c r="T557" s="54"/>
      <c r="U557" s="54"/>
      <c r="V557" s="88"/>
    </row>
    <row r="558" spans="1:22" s="168" customFormat="1" ht="22.500000" customHeight="1">
      <c r="A558" s="34">
        <v>556</v>
      </c>
      <c r="B558" s="34"/>
      <c r="C558" s="34"/>
      <c r="D558" s="34"/>
      <c r="E558" s="34"/>
      <c r="F558" s="85"/>
      <c r="G558" s="159"/>
      <c r="H558" s="155"/>
      <c r="I558" s="86"/>
      <c r="J558" s="86"/>
      <c r="K558" s="155"/>
      <c r="L558" s="85"/>
      <c r="M558" s="136" t="s">
        <v>28</v>
      </c>
      <c r="N558" s="88"/>
      <c r="O558" s="141"/>
      <c r="P558" s="31"/>
      <c r="Q558" s="88"/>
      <c r="R558" s="88"/>
      <c r="S558" s="88"/>
      <c r="T558" s="54"/>
      <c r="U558" s="54"/>
      <c r="V558" s="88"/>
    </row>
    <row r="559" spans="1:22" s="168" customFormat="1" ht="22.500000" customHeight="1">
      <c r="A559" s="34">
        <v>557</v>
      </c>
      <c r="B559" s="34"/>
      <c r="C559" s="34"/>
      <c r="D559" s="34"/>
      <c r="E559" s="34"/>
      <c r="F559" s="85"/>
      <c r="G559" s="159"/>
      <c r="H559" s="155"/>
      <c r="I559" s="86"/>
      <c r="J559" s="86"/>
      <c r="K559" s="155"/>
      <c r="L559" s="85"/>
      <c r="M559" s="139" t="s">
        <v>30</v>
      </c>
      <c r="N559" s="88"/>
      <c r="O559" s="141"/>
      <c r="P559" s="31"/>
      <c r="Q559" s="88"/>
      <c r="R559" s="88"/>
      <c r="S559" s="88"/>
      <c r="T559" s="54"/>
      <c r="U559" s="54"/>
      <c r="V559" s="88"/>
    </row>
    <row r="560" spans="1:22" s="168" customFormat="1" ht="22.500000" customHeight="1">
      <c r="A560" s="34">
        <v>558</v>
      </c>
      <c r="B560" s="34"/>
      <c r="C560" s="34"/>
      <c r="D560" s="34"/>
      <c r="E560" s="34"/>
      <c r="F560" s="85"/>
      <c r="G560" s="159"/>
      <c r="H560" s="155"/>
      <c r="I560" s="86"/>
      <c r="J560" s="86"/>
      <c r="K560" s="155"/>
      <c r="L560" s="85"/>
      <c r="M560" s="136" t="s">
        <v>28</v>
      </c>
      <c r="N560" s="88"/>
      <c r="O560" s="141"/>
      <c r="P560" s="31"/>
      <c r="Q560" s="88"/>
      <c r="R560" s="88"/>
      <c r="S560" s="88"/>
      <c r="T560" s="54"/>
      <c r="U560" s="54"/>
      <c r="V560" s="88"/>
    </row>
    <row r="561" spans="1:22" s="168" customFormat="1" ht="22.500000" customHeight="1">
      <c r="A561" s="34">
        <v>559</v>
      </c>
      <c r="B561" s="34"/>
      <c r="C561" s="34"/>
      <c r="D561" s="34"/>
      <c r="E561" s="34"/>
      <c r="F561" s="85"/>
      <c r="G561" s="159"/>
      <c r="H561" s="155"/>
      <c r="I561" s="86"/>
      <c r="J561" s="86"/>
      <c r="K561" s="155"/>
      <c r="L561" s="85"/>
      <c r="M561" s="137" t="s">
        <v>29</v>
      </c>
      <c r="N561" s="88"/>
      <c r="O561" s="141"/>
      <c r="P561" s="31"/>
      <c r="Q561" s="88"/>
      <c r="R561" s="88"/>
      <c r="S561" s="88"/>
      <c r="T561" s="54"/>
      <c r="U561" s="54"/>
      <c r="V561" s="88"/>
    </row>
    <row r="562" spans="1:22" s="168" customFormat="1" ht="22.500000" customHeight="1">
      <c r="A562" s="34">
        <v>560</v>
      </c>
      <c r="B562" s="34"/>
      <c r="C562" s="34"/>
      <c r="D562" s="34"/>
      <c r="E562" s="34"/>
      <c r="F562" s="85"/>
      <c r="G562" s="159"/>
      <c r="H562" s="155"/>
      <c r="I562" s="86"/>
      <c r="J562" s="86"/>
      <c r="K562" s="155"/>
      <c r="L562" s="85"/>
      <c r="M562" s="136" t="s">
        <v>28</v>
      </c>
      <c r="N562" s="88"/>
      <c r="O562" s="141"/>
      <c r="P562" s="31"/>
      <c r="Q562" s="88"/>
      <c r="R562" s="88"/>
      <c r="S562" s="88"/>
      <c r="T562" s="54"/>
      <c r="U562" s="54"/>
      <c r="V562" s="88"/>
    </row>
    <row r="563" spans="1:22" s="168" customFormat="1" ht="22.500000" customHeight="1">
      <c r="A563" s="34">
        <v>561</v>
      </c>
      <c r="B563" s="34"/>
      <c r="C563" s="34"/>
      <c r="D563" s="34"/>
      <c r="E563" s="34"/>
      <c r="F563" s="85"/>
      <c r="G563" s="159"/>
      <c r="H563" s="155"/>
      <c r="I563" s="86"/>
      <c r="J563" s="86"/>
      <c r="K563" s="155"/>
      <c r="L563" s="85"/>
      <c r="M563" s="135" t="s">
        <v>28</v>
      </c>
      <c r="N563" s="88"/>
      <c r="O563" s="141"/>
      <c r="P563" s="31"/>
      <c r="Q563" s="88"/>
      <c r="R563" s="88"/>
      <c r="S563" s="88"/>
      <c r="T563" s="54"/>
      <c r="U563" s="54"/>
      <c r="V563" s="88"/>
    </row>
    <row r="564" spans="1:22" s="168" customFormat="1" ht="22.500000" customHeight="1">
      <c r="A564" s="34">
        <v>562</v>
      </c>
      <c r="B564" s="34"/>
      <c r="C564" s="34"/>
      <c r="D564" s="34"/>
      <c r="E564" s="34"/>
      <c r="F564" s="85"/>
      <c r="G564" s="159"/>
      <c r="H564" s="155"/>
      <c r="I564" s="86"/>
      <c r="J564" s="86"/>
      <c r="K564" s="155"/>
      <c r="L564" s="85"/>
      <c r="M564" s="138" t="s">
        <v>29</v>
      </c>
      <c r="N564" s="88"/>
      <c r="O564" s="141"/>
      <c r="P564" s="31"/>
      <c r="Q564" s="88"/>
      <c r="R564" s="88"/>
      <c r="S564" s="88"/>
      <c r="T564" s="54"/>
      <c r="U564" s="54"/>
      <c r="V564" s="88"/>
    </row>
    <row r="565" spans="1:22" s="168" customFormat="1" ht="22.500000" customHeight="1">
      <c r="A565" s="34">
        <v>563</v>
      </c>
      <c r="B565" s="34"/>
      <c r="C565" s="34"/>
      <c r="D565" s="34"/>
      <c r="E565" s="34"/>
      <c r="F565" s="85"/>
      <c r="G565" s="159"/>
      <c r="H565" s="155"/>
      <c r="I565" s="86"/>
      <c r="J565" s="86"/>
      <c r="K565" s="155"/>
      <c r="L565" s="85"/>
      <c r="M565" s="139" t="s">
        <v>30</v>
      </c>
      <c r="N565" s="88"/>
      <c r="O565" s="141"/>
      <c r="P565" s="31"/>
      <c r="Q565" s="88"/>
      <c r="R565" s="88"/>
      <c r="S565" s="88"/>
      <c r="T565" s="54"/>
      <c r="U565" s="54"/>
      <c r="V565" s="88"/>
    </row>
    <row r="566" spans="1:22" s="168" customFormat="1" ht="22.500000" customHeight="1">
      <c r="A566" s="34">
        <v>564</v>
      </c>
      <c r="B566" s="34"/>
      <c r="C566" s="34"/>
      <c r="D566" s="34"/>
      <c r="E566" s="34"/>
      <c r="F566" s="85"/>
      <c r="G566" s="159"/>
      <c r="H566" s="155"/>
      <c r="I566" s="86"/>
      <c r="J566" s="86"/>
      <c r="K566" s="155"/>
      <c r="L566" s="85"/>
      <c r="M566" s="136" t="s">
        <v>28</v>
      </c>
      <c r="N566" s="88"/>
      <c r="O566" s="141"/>
      <c r="P566" s="31"/>
      <c r="Q566" s="88"/>
      <c r="R566" s="88"/>
      <c r="S566" s="88"/>
      <c r="T566" s="54"/>
      <c r="U566" s="54"/>
      <c r="V566" s="88"/>
    </row>
    <row r="567" spans="1:22" s="168" customFormat="1" ht="22.500000" customHeight="1">
      <c r="A567" s="34">
        <v>565</v>
      </c>
      <c r="B567" s="34"/>
      <c r="C567" s="34"/>
      <c r="D567" s="34"/>
      <c r="E567" s="34"/>
      <c r="F567" s="85"/>
      <c r="G567" s="159"/>
      <c r="H567" s="155"/>
      <c r="I567" s="86"/>
      <c r="J567" s="86"/>
      <c r="K567" s="155"/>
      <c r="L567" s="85"/>
      <c r="M567" s="135" t="s">
        <v>28</v>
      </c>
      <c r="N567" s="88"/>
      <c r="O567" s="141"/>
      <c r="P567" s="31"/>
      <c r="Q567" s="88"/>
      <c r="R567" s="88"/>
      <c r="S567" s="88"/>
      <c r="T567" s="54"/>
      <c r="U567" s="54"/>
      <c r="V567" s="88"/>
    </row>
    <row r="568" spans="1:22" s="168" customFormat="1" ht="22.500000" customHeight="1">
      <c r="A568" s="34">
        <v>566</v>
      </c>
      <c r="B568" s="34"/>
      <c r="C568" s="34"/>
      <c r="D568" s="34"/>
      <c r="E568" s="34"/>
      <c r="F568" s="85"/>
      <c r="G568" s="159"/>
      <c r="H568" s="155"/>
      <c r="I568" s="86"/>
      <c r="J568" s="86"/>
      <c r="K568" s="155"/>
      <c r="L568" s="85"/>
      <c r="M568" s="136" t="s">
        <v>28</v>
      </c>
      <c r="N568" s="88"/>
      <c r="O568" s="141"/>
      <c r="P568" s="31"/>
      <c r="Q568" s="88"/>
      <c r="R568" s="88"/>
      <c r="S568" s="88"/>
      <c r="T568" s="54"/>
      <c r="U568" s="54"/>
      <c r="V568" s="88"/>
    </row>
    <row r="569" spans="1:22" s="168" customFormat="1" ht="22.500000" customHeight="1">
      <c r="A569" s="34">
        <v>567</v>
      </c>
      <c r="B569" s="34"/>
      <c r="C569" s="34"/>
      <c r="D569" s="34"/>
      <c r="E569" s="34"/>
      <c r="F569" s="85"/>
      <c r="G569" s="159"/>
      <c r="H569" s="155"/>
      <c r="I569" s="86"/>
      <c r="J569" s="86"/>
      <c r="K569" s="155"/>
      <c r="L569" s="85"/>
      <c r="M569" s="137" t="s">
        <v>29</v>
      </c>
      <c r="N569" s="88"/>
      <c r="O569" s="141"/>
      <c r="P569" s="31"/>
      <c r="Q569" s="88"/>
      <c r="R569" s="88"/>
      <c r="S569" s="88"/>
      <c r="T569" s="54"/>
      <c r="U569" s="54"/>
      <c r="V569" s="88"/>
    </row>
    <row r="570" spans="1:22" s="168" customFormat="1" ht="22.500000" customHeight="1">
      <c r="A570" s="34">
        <v>568</v>
      </c>
      <c r="B570" s="34"/>
      <c r="C570" s="34"/>
      <c r="D570" s="34"/>
      <c r="E570" s="34"/>
      <c r="F570" s="85"/>
      <c r="G570" s="159"/>
      <c r="H570" s="155"/>
      <c r="I570" s="86"/>
      <c r="J570" s="86"/>
      <c r="K570" s="155"/>
      <c r="L570" s="85"/>
      <c r="M570" s="140" t="s">
        <v>30</v>
      </c>
      <c r="N570" s="88"/>
      <c r="O570" s="141"/>
      <c r="P570" s="31"/>
      <c r="Q570" s="88"/>
      <c r="R570" s="88"/>
      <c r="S570" s="88"/>
      <c r="T570" s="54"/>
      <c r="U570" s="54"/>
      <c r="V570" s="88"/>
    </row>
    <row r="571" spans="1:22" s="168" customFormat="1" ht="22.500000" customHeight="1">
      <c r="A571" s="34">
        <v>569</v>
      </c>
      <c r="B571" s="34"/>
      <c r="C571" s="34"/>
      <c r="D571" s="34"/>
      <c r="E571" s="34"/>
      <c r="F571" s="85"/>
      <c r="G571" s="159"/>
      <c r="H571" s="155"/>
      <c r="I571" s="86"/>
      <c r="J571" s="86"/>
      <c r="K571" s="155"/>
      <c r="L571" s="85"/>
      <c r="M571" s="135" t="s">
        <v>28</v>
      </c>
      <c r="N571" s="88"/>
      <c r="O571" s="141"/>
      <c r="P571" s="31"/>
      <c r="Q571" s="88"/>
      <c r="R571" s="88"/>
      <c r="S571" s="88"/>
      <c r="T571" s="54"/>
      <c r="U571" s="54"/>
      <c r="V571" s="88"/>
    </row>
    <row r="572" spans="1:22" s="168" customFormat="1" ht="22.500000" customHeight="1">
      <c r="A572" s="34">
        <v>570</v>
      </c>
      <c r="B572" s="34"/>
      <c r="C572" s="34"/>
      <c r="D572" s="34"/>
      <c r="E572" s="34"/>
      <c r="F572" s="85"/>
      <c r="G572" s="159"/>
      <c r="H572" s="155"/>
      <c r="I572" s="86"/>
      <c r="J572" s="86"/>
      <c r="K572" s="155"/>
      <c r="L572" s="85"/>
      <c r="M572" s="136" t="s">
        <v>28</v>
      </c>
      <c r="N572" s="88"/>
      <c r="O572" s="141"/>
      <c r="P572" s="31"/>
      <c r="Q572" s="88"/>
      <c r="R572" s="88"/>
      <c r="S572" s="88"/>
      <c r="T572" s="54"/>
      <c r="U572" s="54"/>
      <c r="V572" s="88"/>
    </row>
    <row r="573" spans="1:22" s="168" customFormat="1" ht="22.500000" customHeight="1">
      <c r="A573" s="34">
        <v>571</v>
      </c>
      <c r="B573" s="34"/>
      <c r="C573" s="34"/>
      <c r="D573" s="34"/>
      <c r="E573" s="34"/>
      <c r="F573" s="85"/>
      <c r="G573" s="159"/>
      <c r="H573" s="155"/>
      <c r="I573" s="86"/>
      <c r="J573" s="86"/>
      <c r="K573" s="155"/>
      <c r="L573" s="85"/>
      <c r="M573" s="135" t="s">
        <v>28</v>
      </c>
      <c r="N573" s="88"/>
      <c r="O573" s="141"/>
      <c r="P573" s="31"/>
      <c r="Q573" s="88"/>
      <c r="R573" s="88"/>
      <c r="S573" s="88"/>
      <c r="T573" s="54"/>
      <c r="U573" s="54"/>
      <c r="V573" s="88"/>
    </row>
    <row r="574" spans="1:22" s="168" customFormat="1" ht="22.500000" customHeight="1">
      <c r="A574" s="34">
        <v>572</v>
      </c>
      <c r="B574" s="34"/>
      <c r="C574" s="34"/>
      <c r="D574" s="34"/>
      <c r="E574" s="34"/>
      <c r="F574" s="85"/>
      <c r="G574" s="159"/>
      <c r="H574" s="155"/>
      <c r="I574" s="86"/>
      <c r="J574" s="86"/>
      <c r="K574" s="155"/>
      <c r="L574" s="85"/>
      <c r="M574" s="138" t="s">
        <v>29</v>
      </c>
      <c r="N574" s="88"/>
      <c r="O574" s="141"/>
      <c r="P574" s="31"/>
      <c r="Q574" s="88"/>
      <c r="R574" s="88"/>
      <c r="S574" s="88"/>
      <c r="T574" s="54"/>
      <c r="U574" s="54"/>
      <c r="V574" s="88"/>
    </row>
    <row r="575" spans="1:22" s="168" customFormat="1" ht="22.500000" customHeight="1">
      <c r="A575" s="34">
        <v>573</v>
      </c>
      <c r="B575" s="34"/>
      <c r="C575" s="34"/>
      <c r="D575" s="34"/>
      <c r="E575" s="34"/>
      <c r="F575" s="85"/>
      <c r="G575" s="159"/>
      <c r="H575" s="155"/>
      <c r="I575" s="86"/>
      <c r="J575" s="86"/>
      <c r="K575" s="155"/>
      <c r="L575" s="85"/>
      <c r="M575" s="139" t="s">
        <v>30</v>
      </c>
      <c r="N575" s="88"/>
      <c r="O575" s="141"/>
      <c r="P575" s="31"/>
      <c r="Q575" s="88"/>
      <c r="R575" s="88"/>
      <c r="S575" s="88"/>
      <c r="T575" s="54"/>
      <c r="U575" s="54"/>
      <c r="V575" s="88"/>
    </row>
    <row r="576" spans="1:22" s="168" customFormat="1" ht="22.500000" customHeight="1">
      <c r="A576" s="34">
        <v>574</v>
      </c>
      <c r="B576" s="34"/>
      <c r="C576" s="34"/>
      <c r="D576" s="34"/>
      <c r="E576" s="34"/>
      <c r="F576" s="85"/>
      <c r="G576" s="159"/>
      <c r="H576" s="155"/>
      <c r="I576" s="86"/>
      <c r="J576" s="86"/>
      <c r="K576" s="155"/>
      <c r="L576" s="85"/>
      <c r="M576" s="136" t="s">
        <v>28</v>
      </c>
      <c r="N576" s="88"/>
      <c r="O576" s="141"/>
      <c r="P576" s="31"/>
      <c r="Q576" s="88"/>
      <c r="R576" s="88"/>
      <c r="S576" s="88"/>
      <c r="T576" s="54"/>
      <c r="U576" s="54"/>
      <c r="V576" s="88"/>
    </row>
    <row r="577" spans="1:22" s="168" customFormat="1" ht="22.500000" customHeight="1">
      <c r="A577" s="34">
        <v>575</v>
      </c>
      <c r="B577" s="34"/>
      <c r="C577" s="34"/>
      <c r="D577" s="34"/>
      <c r="E577" s="34"/>
      <c r="F577" s="85"/>
      <c r="G577" s="159"/>
      <c r="H577" s="155"/>
      <c r="I577" s="86"/>
      <c r="J577" s="86"/>
      <c r="K577" s="155"/>
      <c r="L577" s="85"/>
      <c r="M577" s="135" t="s">
        <v>28</v>
      </c>
      <c r="N577" s="88"/>
      <c r="O577" s="141"/>
      <c r="P577" s="31"/>
      <c r="Q577" s="88"/>
      <c r="R577" s="88"/>
      <c r="S577" s="88"/>
      <c r="T577" s="54"/>
      <c r="U577" s="54"/>
      <c r="V577" s="88"/>
    </row>
    <row r="578" spans="1:22" s="168" customFormat="1" ht="22.500000" customHeight="1">
      <c r="A578" s="34">
        <v>576</v>
      </c>
      <c r="B578" s="34"/>
      <c r="C578" s="34"/>
      <c r="D578" s="34"/>
      <c r="E578" s="34"/>
      <c r="F578" s="85"/>
      <c r="G578" s="159"/>
      <c r="H578" s="155"/>
      <c r="I578" s="86"/>
      <c r="J578" s="86"/>
      <c r="K578" s="155"/>
      <c r="L578" s="85"/>
      <c r="M578" s="136" t="s">
        <v>28</v>
      </c>
      <c r="N578" s="88"/>
      <c r="O578" s="141"/>
      <c r="P578" s="31"/>
      <c r="Q578" s="88"/>
      <c r="R578" s="88"/>
      <c r="S578" s="88"/>
      <c r="T578" s="54"/>
      <c r="U578" s="54"/>
      <c r="V578" s="88"/>
    </row>
    <row r="579" spans="1:22" s="168" customFormat="1" ht="22.500000" customHeight="1">
      <c r="A579" s="34">
        <v>577</v>
      </c>
      <c r="B579" s="34"/>
      <c r="C579" s="34"/>
      <c r="D579" s="34"/>
      <c r="E579" s="34"/>
      <c r="F579" s="85"/>
      <c r="G579" s="159"/>
      <c r="H579" s="155"/>
      <c r="I579" s="86"/>
      <c r="J579" s="86"/>
      <c r="K579" s="155"/>
      <c r="L579" s="85"/>
      <c r="M579" s="137" t="s">
        <v>29</v>
      </c>
      <c r="N579" s="88"/>
      <c r="O579" s="141"/>
      <c r="P579" s="31"/>
      <c r="Q579" s="88"/>
      <c r="R579" s="88"/>
      <c r="S579" s="88"/>
      <c r="T579" s="54"/>
      <c r="U579" s="54"/>
      <c r="V579" s="88"/>
    </row>
    <row r="580" spans="1:22" s="168" customFormat="1" ht="22.500000" customHeight="1">
      <c r="A580" s="34">
        <v>578</v>
      </c>
      <c r="B580" s="34"/>
      <c r="C580" s="34"/>
      <c r="D580" s="34"/>
      <c r="E580" s="34"/>
      <c r="F580" s="85"/>
      <c r="G580" s="159"/>
      <c r="H580" s="155"/>
      <c r="I580" s="86"/>
      <c r="J580" s="86"/>
      <c r="K580" s="155"/>
      <c r="L580" s="85"/>
      <c r="M580" s="140" t="s">
        <v>30</v>
      </c>
      <c r="N580" s="88"/>
      <c r="O580" s="141"/>
      <c r="P580" s="31"/>
      <c r="Q580" s="88"/>
      <c r="R580" s="88"/>
      <c r="S580" s="88"/>
      <c r="T580" s="54"/>
      <c r="U580" s="54"/>
      <c r="V580" s="88"/>
    </row>
    <row r="581" spans="1:22" s="168" customFormat="1" ht="22.500000" customHeight="1">
      <c r="A581" s="34">
        <v>579</v>
      </c>
      <c r="B581" s="34"/>
      <c r="C581" s="34"/>
      <c r="D581" s="34"/>
      <c r="E581" s="34"/>
      <c r="F581" s="85"/>
      <c r="G581" s="159"/>
      <c r="H581" s="155"/>
      <c r="I581" s="86"/>
      <c r="J581" s="86"/>
      <c r="K581" s="155"/>
      <c r="L581" s="85"/>
      <c r="M581" s="135" t="s">
        <v>28</v>
      </c>
      <c r="N581" s="88"/>
      <c r="O581" s="141"/>
      <c r="P581" s="31"/>
      <c r="Q581" s="88"/>
      <c r="R581" s="88"/>
      <c r="S581" s="88"/>
      <c r="T581" s="54"/>
      <c r="U581" s="54"/>
      <c r="V581" s="88"/>
    </row>
    <row r="582" spans="1:22" s="168" customFormat="1" ht="22.500000" customHeight="1">
      <c r="A582" s="34">
        <v>580</v>
      </c>
      <c r="B582" s="34"/>
      <c r="C582" s="34"/>
      <c r="D582" s="34"/>
      <c r="E582" s="34"/>
      <c r="F582" s="85"/>
      <c r="G582" s="159"/>
      <c r="H582" s="155"/>
      <c r="I582" s="86"/>
      <c r="J582" s="86"/>
      <c r="K582" s="155"/>
      <c r="L582" s="85"/>
      <c r="M582" s="136" t="s">
        <v>28</v>
      </c>
      <c r="N582" s="88"/>
      <c r="O582" s="141"/>
      <c r="P582" s="31"/>
      <c r="Q582" s="88"/>
      <c r="R582" s="88"/>
      <c r="S582" s="88"/>
      <c r="T582" s="54"/>
      <c r="U582" s="54"/>
      <c r="V582" s="88"/>
    </row>
    <row r="583" spans="1:22" s="168" customFormat="1" ht="22.500000" customHeight="1">
      <c r="A583" s="34">
        <v>581</v>
      </c>
      <c r="B583" s="34"/>
      <c r="C583" s="34"/>
      <c r="D583" s="34"/>
      <c r="E583" s="34"/>
      <c r="F583" s="85"/>
      <c r="G583" s="159"/>
      <c r="H583" s="155"/>
      <c r="I583" s="86"/>
      <c r="J583" s="86"/>
      <c r="K583" s="155"/>
      <c r="L583" s="85"/>
      <c r="M583" s="135" t="s">
        <v>28</v>
      </c>
      <c r="N583" s="88"/>
      <c r="O583" s="141"/>
      <c r="P583" s="31"/>
      <c r="Q583" s="88"/>
      <c r="R583" s="88"/>
      <c r="S583" s="88"/>
      <c r="T583" s="54"/>
      <c r="U583" s="54"/>
      <c r="V583" s="88"/>
    </row>
    <row r="584" spans="1:22" s="168" customFormat="1" ht="22.500000" customHeight="1">
      <c r="A584" s="34">
        <v>582</v>
      </c>
      <c r="B584" s="34"/>
      <c r="C584" s="34"/>
      <c r="D584" s="34"/>
      <c r="E584" s="34"/>
      <c r="F584" s="85"/>
      <c r="G584" s="159"/>
      <c r="H584" s="155"/>
      <c r="I584" s="86"/>
      <c r="J584" s="86"/>
      <c r="K584" s="155"/>
      <c r="L584" s="85"/>
      <c r="M584" s="138" t="s">
        <v>29</v>
      </c>
      <c r="N584" s="88"/>
      <c r="O584" s="141"/>
      <c r="P584" s="31"/>
      <c r="Q584" s="88"/>
      <c r="R584" s="88"/>
      <c r="S584" s="88"/>
      <c r="T584" s="54"/>
      <c r="U584" s="54"/>
      <c r="V584" s="88"/>
    </row>
    <row r="585" spans="1:22" s="168" customFormat="1" ht="22.500000" customHeight="1">
      <c r="A585" s="34">
        <v>583</v>
      </c>
      <c r="B585" s="34"/>
      <c r="C585" s="34"/>
      <c r="D585" s="34"/>
      <c r="E585" s="34"/>
      <c r="F585" s="85"/>
      <c r="G585" s="159"/>
      <c r="H585" s="155"/>
      <c r="I585" s="86"/>
      <c r="J585" s="86"/>
      <c r="K585" s="155"/>
      <c r="L585" s="85"/>
      <c r="M585" s="139" t="s">
        <v>30</v>
      </c>
      <c r="N585" s="88"/>
      <c r="O585" s="141"/>
      <c r="P585" s="31"/>
      <c r="Q585" s="88"/>
      <c r="R585" s="88"/>
      <c r="S585" s="88"/>
      <c r="T585" s="54"/>
      <c r="U585" s="54"/>
      <c r="V585" s="88"/>
    </row>
    <row r="586" spans="1:22" s="168" customFormat="1" ht="22.500000" customHeight="1">
      <c r="A586" s="34">
        <v>584</v>
      </c>
      <c r="B586" s="34"/>
      <c r="C586" s="34"/>
      <c r="D586" s="34"/>
      <c r="E586" s="34"/>
      <c r="F586" s="85"/>
      <c r="G586" s="159"/>
      <c r="H586" s="155"/>
      <c r="I586" s="86"/>
      <c r="J586" s="86"/>
      <c r="K586" s="155"/>
      <c r="L586" s="85"/>
      <c r="M586" s="136" t="s">
        <v>28</v>
      </c>
      <c r="N586" s="88"/>
      <c r="O586" s="141"/>
      <c r="P586" s="31"/>
      <c r="Q586" s="88"/>
      <c r="R586" s="88"/>
      <c r="S586" s="88"/>
      <c r="T586" s="54"/>
      <c r="U586" s="54"/>
      <c r="V586" s="88"/>
    </row>
    <row r="587" spans="1:22" s="168" customFormat="1" ht="22.500000" customHeight="1">
      <c r="A587" s="34">
        <v>585</v>
      </c>
      <c r="B587" s="34"/>
      <c r="C587" s="34"/>
      <c r="D587" s="34"/>
      <c r="E587" s="34"/>
      <c r="F587" s="85"/>
      <c r="G587" s="159"/>
      <c r="H587" s="155"/>
      <c r="I587" s="86"/>
      <c r="J587" s="86"/>
      <c r="K587" s="155"/>
      <c r="L587" s="85"/>
      <c r="M587" s="135" t="s">
        <v>28</v>
      </c>
      <c r="N587" s="88"/>
      <c r="O587" s="141"/>
      <c r="P587" s="31"/>
      <c r="Q587" s="88"/>
      <c r="R587" s="88"/>
      <c r="S587" s="88"/>
      <c r="T587" s="54"/>
      <c r="U587" s="54"/>
      <c r="V587" s="88"/>
    </row>
    <row r="588" spans="1:22" s="168" customFormat="1" ht="22.500000" customHeight="1">
      <c r="A588" s="34">
        <v>586</v>
      </c>
      <c r="B588" s="34"/>
      <c r="C588" s="34"/>
      <c r="D588" s="34"/>
      <c r="E588" s="34"/>
      <c r="F588" s="85"/>
      <c r="G588" s="159"/>
      <c r="H588" s="155"/>
      <c r="I588" s="86"/>
      <c r="J588" s="86"/>
      <c r="K588" s="155"/>
      <c r="L588" s="85"/>
      <c r="M588" s="136" t="s">
        <v>28</v>
      </c>
      <c r="N588" s="88"/>
      <c r="O588" s="141"/>
      <c r="P588" s="31"/>
      <c r="Q588" s="88"/>
      <c r="R588" s="88"/>
      <c r="S588" s="88"/>
      <c r="T588" s="54"/>
      <c r="U588" s="54"/>
      <c r="V588" s="88"/>
    </row>
    <row r="589" spans="1:22" s="168" customFormat="1" ht="22.500000" customHeight="1">
      <c r="A589" s="34">
        <v>587</v>
      </c>
      <c r="B589" s="34"/>
      <c r="C589" s="34"/>
      <c r="D589" s="34"/>
      <c r="E589" s="34"/>
      <c r="F589" s="85"/>
      <c r="G589" s="159"/>
      <c r="H589" s="155"/>
      <c r="I589" s="86"/>
      <c r="J589" s="86"/>
      <c r="K589" s="155"/>
      <c r="L589" s="85"/>
      <c r="M589" s="137" t="s">
        <v>29</v>
      </c>
      <c r="N589" s="88"/>
      <c r="O589" s="141"/>
      <c r="P589" s="31"/>
      <c r="Q589" s="88"/>
      <c r="R589" s="88"/>
      <c r="S589" s="88"/>
      <c r="T589" s="54"/>
      <c r="U589" s="54"/>
      <c r="V589" s="88"/>
    </row>
    <row r="590" spans="1:22" s="168" customFormat="1" ht="22.500000" customHeight="1">
      <c r="A590" s="34">
        <v>588</v>
      </c>
      <c r="B590" s="34"/>
      <c r="C590" s="34"/>
      <c r="D590" s="34"/>
      <c r="E590" s="34"/>
      <c r="F590" s="85"/>
      <c r="G590" s="159"/>
      <c r="H590" s="155"/>
      <c r="I590" s="86"/>
      <c r="J590" s="86"/>
      <c r="K590" s="155"/>
      <c r="L590" s="85"/>
      <c r="M590" s="140" t="s">
        <v>30</v>
      </c>
      <c r="N590" s="88"/>
      <c r="O590" s="141"/>
      <c r="P590" s="31"/>
      <c r="Q590" s="88"/>
      <c r="R590" s="88"/>
      <c r="S590" s="88"/>
      <c r="T590" s="54"/>
      <c r="U590" s="54"/>
      <c r="V590" s="88"/>
    </row>
    <row r="591" spans="1:22" s="168" customFormat="1" ht="22.500000" customHeight="1">
      <c r="A591" s="34">
        <v>589</v>
      </c>
      <c r="B591" s="34"/>
      <c r="C591" s="34"/>
      <c r="D591" s="34"/>
      <c r="E591" s="34"/>
      <c r="F591" s="85"/>
      <c r="G591" s="159"/>
      <c r="H591" s="155"/>
      <c r="I591" s="86"/>
      <c r="J591" s="86"/>
      <c r="K591" s="155"/>
      <c r="L591" s="85"/>
      <c r="M591" s="135" t="s">
        <v>28</v>
      </c>
      <c r="N591" s="88"/>
      <c r="O591" s="141"/>
      <c r="P591" s="31"/>
      <c r="Q591" s="88"/>
      <c r="R591" s="88"/>
      <c r="S591" s="88"/>
      <c r="T591" s="54"/>
      <c r="U591" s="54"/>
      <c r="V591" s="88"/>
    </row>
    <row r="592" spans="1:22" s="168" customFormat="1" ht="22.500000" customHeight="1">
      <c r="A592" s="34">
        <v>590</v>
      </c>
      <c r="B592" s="34"/>
      <c r="C592" s="34"/>
      <c r="D592" s="34"/>
      <c r="E592" s="34"/>
      <c r="F592" s="85"/>
      <c r="G592" s="159"/>
      <c r="H592" s="155"/>
      <c r="I592" s="86"/>
      <c r="J592" s="86"/>
      <c r="K592" s="155"/>
      <c r="L592" s="85"/>
      <c r="M592" s="136" t="s">
        <v>28</v>
      </c>
      <c r="N592" s="88"/>
      <c r="O592" s="141"/>
      <c r="P592" s="31"/>
      <c r="Q592" s="88"/>
      <c r="R592" s="88"/>
      <c r="S592" s="88"/>
      <c r="T592" s="54"/>
      <c r="U592" s="54"/>
      <c r="V592" s="88"/>
    </row>
    <row r="593" spans="1:22" s="168" customFormat="1" ht="22.500000" customHeight="1">
      <c r="A593" s="34">
        <v>591</v>
      </c>
      <c r="B593" s="34"/>
      <c r="C593" s="34"/>
      <c r="D593" s="34"/>
      <c r="E593" s="34"/>
      <c r="F593" s="85"/>
      <c r="G593" s="159"/>
      <c r="H593" s="155"/>
      <c r="I593" s="86"/>
      <c r="J593" s="86"/>
      <c r="K593" s="155"/>
      <c r="L593" s="85"/>
      <c r="M593" s="135" t="s">
        <v>28</v>
      </c>
      <c r="N593" s="88"/>
      <c r="O593" s="141"/>
      <c r="P593" s="31"/>
      <c r="Q593" s="88"/>
      <c r="R593" s="88"/>
      <c r="S593" s="88"/>
      <c r="T593" s="54"/>
      <c r="U593" s="54"/>
      <c r="V593" s="88"/>
    </row>
    <row r="594" spans="1:22" s="168" customFormat="1" ht="22.500000" customHeight="1">
      <c r="A594" s="34">
        <v>592</v>
      </c>
      <c r="B594" s="34"/>
      <c r="C594" s="34"/>
      <c r="D594" s="34"/>
      <c r="E594" s="34"/>
      <c r="F594" s="85"/>
      <c r="G594" s="159"/>
      <c r="H594" s="155"/>
      <c r="I594" s="86"/>
      <c r="J594" s="86"/>
      <c r="K594" s="155"/>
      <c r="L594" s="85"/>
      <c r="M594" s="138" t="s">
        <v>29</v>
      </c>
      <c r="N594" s="88"/>
      <c r="O594" s="141"/>
      <c r="P594" s="31"/>
      <c r="Q594" s="88"/>
      <c r="R594" s="88"/>
      <c r="S594" s="88"/>
      <c r="T594" s="54"/>
      <c r="U594" s="54"/>
      <c r="V594" s="88"/>
    </row>
    <row r="595" spans="1:22" s="168" customFormat="1" ht="22.500000" customHeight="1">
      <c r="A595" s="34">
        <v>593</v>
      </c>
      <c r="B595" s="34"/>
      <c r="C595" s="34"/>
      <c r="D595" s="34"/>
      <c r="E595" s="34"/>
      <c r="F595" s="85"/>
      <c r="G595" s="159"/>
      <c r="H595" s="155"/>
      <c r="I595" s="86"/>
      <c r="J595" s="86"/>
      <c r="K595" s="155"/>
      <c r="L595" s="85"/>
      <c r="M595" s="139" t="s">
        <v>30</v>
      </c>
      <c r="N595" s="88"/>
      <c r="O595" s="141"/>
      <c r="P595" s="31"/>
      <c r="Q595" s="88"/>
      <c r="R595" s="88"/>
      <c r="S595" s="88"/>
      <c r="T595" s="54"/>
      <c r="U595" s="54"/>
      <c r="V595" s="88"/>
    </row>
    <row r="596" spans="1:22" s="168" customFormat="1" ht="22.500000" customHeight="1">
      <c r="A596" s="34">
        <v>594</v>
      </c>
      <c r="B596" s="34"/>
      <c r="C596" s="34"/>
      <c r="D596" s="34"/>
      <c r="E596" s="34"/>
      <c r="F596" s="85"/>
      <c r="G596" s="159"/>
      <c r="H596" s="155"/>
      <c r="I596" s="86"/>
      <c r="J596" s="86"/>
      <c r="K596" s="155"/>
      <c r="L596" s="85"/>
      <c r="M596" s="136" t="s">
        <v>28</v>
      </c>
      <c r="N596" s="88"/>
      <c r="O596" s="141"/>
      <c r="P596" s="31"/>
      <c r="Q596" s="88"/>
      <c r="R596" s="88"/>
      <c r="S596" s="88"/>
      <c r="T596" s="54"/>
      <c r="U596" s="54"/>
      <c r="V596" s="88"/>
    </row>
    <row r="597" spans="1:22" s="168" customFormat="1" ht="22.500000" customHeight="1">
      <c r="A597" s="34">
        <v>595</v>
      </c>
      <c r="B597" s="34"/>
      <c r="C597" s="34"/>
      <c r="D597" s="34"/>
      <c r="E597" s="34"/>
      <c r="F597" s="85"/>
      <c r="G597" s="159"/>
      <c r="H597" s="155"/>
      <c r="I597" s="86"/>
      <c r="J597" s="86"/>
      <c r="K597" s="155"/>
      <c r="L597" s="85"/>
      <c r="M597" s="135" t="s">
        <v>28</v>
      </c>
      <c r="N597" s="88"/>
      <c r="O597" s="141"/>
      <c r="P597" s="31"/>
      <c r="Q597" s="88"/>
      <c r="R597" s="88"/>
      <c r="S597" s="88"/>
      <c r="T597" s="54"/>
      <c r="U597" s="54"/>
      <c r="V597" s="88"/>
    </row>
    <row r="598" spans="1:22" s="168" customFormat="1" ht="22.500000" customHeight="1">
      <c r="A598" s="34">
        <v>596</v>
      </c>
      <c r="B598" s="34"/>
      <c r="C598" s="34"/>
      <c r="D598" s="34"/>
      <c r="E598" s="34"/>
      <c r="F598" s="85"/>
      <c r="G598" s="159"/>
      <c r="H598" s="155"/>
      <c r="I598" s="86"/>
      <c r="J598" s="86"/>
      <c r="K598" s="155"/>
      <c r="L598" s="85"/>
      <c r="M598" s="136" t="s">
        <v>28</v>
      </c>
      <c r="N598" s="88"/>
      <c r="O598" s="141"/>
      <c r="P598" s="31"/>
      <c r="Q598" s="88"/>
      <c r="R598" s="88"/>
      <c r="S598" s="88"/>
      <c r="T598" s="54"/>
      <c r="U598" s="54"/>
      <c r="V598" s="88"/>
    </row>
    <row r="599" spans="1:22" s="168" customFormat="1" ht="22.500000" customHeight="1">
      <c r="A599" s="34">
        <v>597</v>
      </c>
      <c r="B599" s="34"/>
      <c r="C599" s="34"/>
      <c r="D599" s="34"/>
      <c r="E599" s="34"/>
      <c r="F599" s="85"/>
      <c r="G599" s="159"/>
      <c r="H599" s="155"/>
      <c r="I599" s="86"/>
      <c r="J599" s="86"/>
      <c r="K599" s="155"/>
      <c r="L599" s="85"/>
      <c r="M599" s="137" t="s">
        <v>29</v>
      </c>
      <c r="N599" s="88"/>
      <c r="O599" s="141"/>
      <c r="P599" s="31"/>
      <c r="Q599" s="88"/>
      <c r="R599" s="88"/>
      <c r="S599" s="88"/>
      <c r="T599" s="54"/>
      <c r="U599" s="54"/>
      <c r="V599" s="88"/>
    </row>
    <row r="600" spans="1:22" s="168" customFormat="1" ht="22.500000" customHeight="1">
      <c r="A600" s="34">
        <v>598</v>
      </c>
      <c r="B600" s="34"/>
      <c r="C600" s="34"/>
      <c r="D600" s="34"/>
      <c r="E600" s="34"/>
      <c r="F600" s="85"/>
      <c r="G600" s="159"/>
      <c r="H600" s="155"/>
      <c r="I600" s="86"/>
      <c r="J600" s="86"/>
      <c r="K600" s="155"/>
      <c r="L600" s="85"/>
      <c r="M600" s="140" t="s">
        <v>30</v>
      </c>
      <c r="N600" s="88"/>
      <c r="O600" s="141"/>
      <c r="P600" s="31"/>
      <c r="Q600" s="88"/>
      <c r="R600" s="88"/>
      <c r="S600" s="88"/>
      <c r="T600" s="54"/>
      <c r="U600" s="54"/>
      <c r="V600" s="88"/>
    </row>
    <row r="601" spans="1:22" s="168" customFormat="1" ht="22.500000" customHeight="1">
      <c r="A601" s="34">
        <v>599</v>
      </c>
      <c r="B601" s="34"/>
      <c r="C601" s="34"/>
      <c r="D601" s="34"/>
      <c r="E601" s="34"/>
      <c r="F601" s="85"/>
      <c r="G601" s="159"/>
      <c r="H601" s="155"/>
      <c r="I601" s="86"/>
      <c r="J601" s="86"/>
      <c r="K601" s="155"/>
      <c r="L601" s="85"/>
      <c r="M601" s="135" t="s">
        <v>28</v>
      </c>
      <c r="N601" s="88"/>
      <c r="O601" s="141"/>
      <c r="P601" s="31"/>
      <c r="Q601" s="88"/>
      <c r="R601" s="88"/>
      <c r="S601" s="88"/>
      <c r="T601" s="54"/>
      <c r="U601" s="54"/>
      <c r="V601" s="88"/>
    </row>
    <row r="602" spans="1:22" s="168" customFormat="1" ht="22.500000" customHeight="1">
      <c r="A602" s="34">
        <v>600</v>
      </c>
      <c r="B602" s="34"/>
      <c r="C602" s="34"/>
      <c r="D602" s="34"/>
      <c r="E602" s="34"/>
      <c r="F602" s="85"/>
      <c r="G602" s="159"/>
      <c r="H602" s="155"/>
      <c r="I602" s="86"/>
      <c r="J602" s="86"/>
      <c r="K602" s="155"/>
      <c r="L602" s="85"/>
      <c r="M602" s="136" t="s">
        <v>28</v>
      </c>
      <c r="N602" s="88"/>
      <c r="O602" s="141"/>
      <c r="P602" s="31"/>
      <c r="Q602" s="88"/>
      <c r="R602" s="88"/>
      <c r="S602" s="88"/>
      <c r="T602" s="54"/>
      <c r="U602" s="54"/>
      <c r="V602" s="88"/>
    </row>
    <row r="603" spans="1:22" s="168" customFormat="1" ht="22.500000" customHeight="1">
      <c r="A603" s="34">
        <v>601</v>
      </c>
      <c r="B603" s="34"/>
      <c r="C603" s="34"/>
      <c r="D603" s="34"/>
      <c r="E603" s="34"/>
      <c r="F603" s="85"/>
      <c r="G603" s="159"/>
      <c r="H603" s="155"/>
      <c r="I603" s="86"/>
      <c r="J603" s="86"/>
      <c r="K603" s="155"/>
      <c r="L603" s="85"/>
      <c r="M603" s="142"/>
      <c r="N603" s="88"/>
      <c r="O603" s="141"/>
      <c r="P603" s="31"/>
      <c r="Q603" s="88"/>
      <c r="R603" s="88"/>
      <c r="S603" s="88"/>
      <c r="T603" s="54"/>
      <c r="U603" s="54"/>
      <c r="V603" s="88"/>
    </row>
    <row r="604" spans="1:22" s="168" customFormat="1" ht="22.500000" customHeight="1">
      <c r="A604" s="34">
        <v>602</v>
      </c>
      <c r="B604" s="34"/>
      <c r="C604" s="34"/>
      <c r="D604" s="34"/>
      <c r="E604" s="34"/>
      <c r="F604" s="85"/>
      <c r="G604" s="159"/>
      <c r="H604" s="155"/>
      <c r="I604" s="86"/>
      <c r="J604" s="86"/>
      <c r="K604" s="155"/>
      <c r="L604" s="85"/>
      <c r="M604" s="143"/>
      <c r="N604" s="88"/>
      <c r="O604" s="141"/>
      <c r="P604" s="31"/>
      <c r="Q604" s="88"/>
      <c r="R604" s="88"/>
      <c r="S604" s="88"/>
      <c r="T604" s="54"/>
      <c r="U604" s="54"/>
      <c r="V604" s="88"/>
    </row>
    <row r="605" spans="1:22" s="168" customFormat="1" ht="22.500000" customHeight="1">
      <c r="A605" s="34">
        <v>603</v>
      </c>
      <c r="B605" s="34"/>
      <c r="C605" s="34"/>
      <c r="D605" s="34"/>
      <c r="E605" s="34"/>
      <c r="F605" s="85"/>
      <c r="G605" s="159"/>
      <c r="H605" s="155"/>
      <c r="I605" s="86"/>
      <c r="J605" s="86"/>
      <c r="K605" s="155"/>
      <c r="L605" s="85"/>
      <c r="M605" s="142"/>
      <c r="N605" s="88"/>
      <c r="O605" s="141"/>
      <c r="P605" s="31"/>
      <c r="Q605" s="88"/>
      <c r="R605" s="88"/>
      <c r="S605" s="88"/>
      <c r="T605" s="54"/>
      <c r="U605" s="54"/>
      <c r="V605" s="88"/>
    </row>
    <row r="606" spans="1:22" s="168" customFormat="1" ht="22.500000" customHeight="1">
      <c r="A606" s="34">
        <v>604</v>
      </c>
      <c r="B606" s="34"/>
      <c r="C606" s="34"/>
      <c r="D606" s="34"/>
      <c r="E606" s="34"/>
      <c r="F606" s="85"/>
      <c r="G606" s="159"/>
      <c r="H606" s="155"/>
      <c r="I606" s="86"/>
      <c r="J606" s="86"/>
      <c r="K606" s="155"/>
      <c r="L606" s="85"/>
      <c r="M606" s="143"/>
      <c r="N606" s="88"/>
      <c r="O606" s="141"/>
      <c r="P606" s="31"/>
      <c r="Q606" s="88"/>
      <c r="R606" s="88"/>
      <c r="S606" s="88"/>
      <c r="T606" s="54"/>
      <c r="U606" s="54"/>
      <c r="V606" s="88"/>
    </row>
    <row r="607" spans="1:22" s="168" customFormat="1" ht="22.500000" customHeight="1">
      <c r="A607" s="34">
        <v>605</v>
      </c>
      <c r="B607" s="34"/>
      <c r="C607" s="34"/>
      <c r="D607" s="34"/>
      <c r="E607" s="34"/>
      <c r="F607" s="85"/>
      <c r="G607" s="159"/>
      <c r="H607" s="155"/>
      <c r="I607" s="86"/>
      <c r="J607" s="86"/>
      <c r="K607" s="155"/>
      <c r="L607" s="85"/>
      <c r="M607" s="142"/>
      <c r="N607" s="88"/>
      <c r="O607" s="141"/>
      <c r="P607" s="31"/>
      <c r="Q607" s="88"/>
      <c r="R607" s="88"/>
      <c r="S607" s="88"/>
      <c r="T607" s="54"/>
      <c r="U607" s="54"/>
      <c r="V607" s="88"/>
    </row>
    <row r="608" spans="1:22" s="168" customFormat="1" ht="22.500000" customHeight="1">
      <c r="A608" s="34">
        <v>606</v>
      </c>
      <c r="B608" s="34"/>
      <c r="C608" s="34"/>
      <c r="D608" s="34"/>
      <c r="E608" s="34"/>
      <c r="F608" s="85"/>
      <c r="G608" s="159"/>
      <c r="H608" s="155"/>
      <c r="I608" s="86"/>
      <c r="J608" s="86"/>
      <c r="K608" s="155"/>
      <c r="L608" s="85"/>
      <c r="M608" s="143"/>
      <c r="N608" s="88"/>
      <c r="O608" s="141"/>
      <c r="P608" s="31"/>
      <c r="Q608" s="88"/>
      <c r="R608" s="88"/>
      <c r="S608" s="88"/>
      <c r="T608" s="54"/>
      <c r="U608" s="54"/>
      <c r="V608" s="88"/>
    </row>
    <row r="609" spans="1:22" s="168" customFormat="1" ht="22.500000" customHeight="1">
      <c r="A609" s="34">
        <v>607</v>
      </c>
      <c r="B609" s="34"/>
      <c r="C609" s="34"/>
      <c r="D609" s="34"/>
      <c r="E609" s="34"/>
      <c r="F609" s="85"/>
      <c r="G609" s="159"/>
      <c r="H609" s="155"/>
      <c r="I609" s="86"/>
      <c r="J609" s="86"/>
      <c r="K609" s="155"/>
      <c r="L609" s="85"/>
      <c r="M609" s="142"/>
      <c r="N609" s="88"/>
      <c r="O609" s="141"/>
      <c r="P609" s="31"/>
      <c r="Q609" s="88"/>
      <c r="R609" s="88"/>
      <c r="S609" s="88"/>
      <c r="T609" s="54"/>
      <c r="U609" s="54"/>
      <c r="V609" s="88"/>
    </row>
    <row r="610" spans="1:22" s="168" customFormat="1" ht="22.500000" customHeight="1">
      <c r="A610" s="34">
        <v>608</v>
      </c>
      <c r="B610" s="34"/>
      <c r="C610" s="34"/>
      <c r="D610" s="34"/>
      <c r="E610" s="34"/>
      <c r="F610" s="85"/>
      <c r="G610" s="159"/>
      <c r="H610" s="155"/>
      <c r="I610" s="86"/>
      <c r="J610" s="86"/>
      <c r="K610" s="155"/>
      <c r="L610" s="85"/>
      <c r="M610" s="143"/>
      <c r="N610" s="88"/>
      <c r="O610" s="141"/>
      <c r="P610" s="31"/>
      <c r="Q610" s="88"/>
      <c r="R610" s="88"/>
      <c r="S610" s="88"/>
      <c r="T610" s="54"/>
      <c r="U610" s="54"/>
      <c r="V610" s="88"/>
    </row>
    <row r="611" spans="1:22" s="168" customFormat="1" ht="22.500000" customHeight="1">
      <c r="A611" s="34">
        <v>609</v>
      </c>
      <c r="B611" s="34"/>
      <c r="C611" s="34"/>
      <c r="D611" s="34"/>
      <c r="E611" s="34"/>
      <c r="F611" s="85"/>
      <c r="G611" s="159"/>
      <c r="H611" s="155"/>
      <c r="I611" s="86"/>
      <c r="J611" s="86"/>
      <c r="K611" s="155"/>
      <c r="L611" s="85"/>
      <c r="M611" s="142"/>
      <c r="N611" s="88"/>
      <c r="O611" s="141"/>
      <c r="P611" s="31"/>
      <c r="Q611" s="88"/>
      <c r="R611" s="88"/>
      <c r="S611" s="88"/>
      <c r="T611" s="54"/>
      <c r="U611" s="54"/>
      <c r="V611" s="88"/>
    </row>
    <row r="612" spans="1:22" s="168" customFormat="1" ht="22.500000" customHeight="1">
      <c r="A612" s="34">
        <v>610</v>
      </c>
      <c r="B612" s="34"/>
      <c r="C612" s="34"/>
      <c r="D612" s="34"/>
      <c r="E612" s="34"/>
      <c r="F612" s="85"/>
      <c r="G612" s="159"/>
      <c r="H612" s="155"/>
      <c r="I612" s="86"/>
      <c r="J612" s="86"/>
      <c r="K612" s="155"/>
      <c r="L612" s="85"/>
      <c r="M612" s="143"/>
      <c r="N612" s="88"/>
      <c r="O612" s="141"/>
      <c r="P612" s="31"/>
      <c r="Q612" s="88"/>
      <c r="R612" s="88"/>
      <c r="S612" s="88"/>
      <c r="T612" s="54"/>
      <c r="U612" s="54"/>
      <c r="V612" s="88"/>
    </row>
    <row r="613" spans="1:22" s="168" customFormat="1" ht="22.500000" customHeight="1">
      <c r="A613" s="34">
        <v>611</v>
      </c>
      <c r="B613" s="34"/>
      <c r="C613" s="34"/>
      <c r="D613" s="34"/>
      <c r="E613" s="34"/>
      <c r="F613" s="85"/>
      <c r="G613" s="159"/>
      <c r="H613" s="155"/>
      <c r="I613" s="86"/>
      <c r="J613" s="86"/>
      <c r="K613" s="155"/>
      <c r="L613" s="85"/>
      <c r="M613" s="142"/>
      <c r="N613" s="88"/>
      <c r="O613" s="141"/>
      <c r="P613" s="31"/>
      <c r="Q613" s="88"/>
      <c r="R613" s="88"/>
      <c r="S613" s="88"/>
      <c r="T613" s="54"/>
      <c r="U613" s="54"/>
      <c r="V613" s="88"/>
    </row>
    <row r="614" spans="1:22" s="168" customFormat="1" ht="22.500000" customHeight="1">
      <c r="A614" s="34">
        <v>612</v>
      </c>
      <c r="B614" s="34"/>
      <c r="C614" s="34"/>
      <c r="D614" s="34"/>
      <c r="E614" s="34"/>
      <c r="F614" s="85"/>
      <c r="G614" s="159"/>
      <c r="H614" s="155"/>
      <c r="I614" s="86"/>
      <c r="J614" s="86"/>
      <c r="K614" s="155"/>
      <c r="L614" s="85"/>
      <c r="M614" s="143"/>
      <c r="N614" s="88"/>
      <c r="O614" s="141"/>
      <c r="P614" s="31"/>
      <c r="Q614" s="88"/>
      <c r="R614" s="88"/>
      <c r="S614" s="88"/>
      <c r="T614" s="54"/>
      <c r="U614" s="54"/>
      <c r="V614" s="88"/>
    </row>
    <row r="615" spans="1:22" s="168" customFormat="1" ht="22.500000" customHeight="1">
      <c r="A615" s="34">
        <v>613</v>
      </c>
      <c r="B615" s="34"/>
      <c r="C615" s="34"/>
      <c r="D615" s="34"/>
      <c r="E615" s="34"/>
      <c r="F615" s="85"/>
      <c r="G615" s="159"/>
      <c r="H615" s="155"/>
      <c r="I615" s="86"/>
      <c r="J615" s="86"/>
      <c r="K615" s="155"/>
      <c r="L615" s="85"/>
      <c r="M615" s="142"/>
      <c r="N615" s="88"/>
      <c r="O615" s="141"/>
      <c r="P615" s="31"/>
      <c r="Q615" s="88"/>
      <c r="R615" s="88"/>
      <c r="S615" s="88"/>
      <c r="T615" s="54"/>
      <c r="U615" s="54"/>
      <c r="V615" s="88"/>
    </row>
    <row r="616" spans="1:22" s="168" customFormat="1" ht="22.500000" customHeight="1">
      <c r="A616" s="34">
        <v>614</v>
      </c>
      <c r="B616" s="34"/>
      <c r="C616" s="34"/>
      <c r="D616" s="34"/>
      <c r="E616" s="34"/>
      <c r="F616" s="85"/>
      <c r="G616" s="159"/>
      <c r="H616" s="155"/>
      <c r="I616" s="86"/>
      <c r="J616" s="86"/>
      <c r="K616" s="155"/>
      <c r="L616" s="85"/>
      <c r="M616" s="143"/>
      <c r="N616" s="88"/>
      <c r="O616" s="141"/>
      <c r="P616" s="31"/>
      <c r="Q616" s="88"/>
      <c r="R616" s="88"/>
      <c r="S616" s="88"/>
      <c r="T616" s="54"/>
      <c r="U616" s="54"/>
      <c r="V616" s="88"/>
    </row>
    <row r="617" spans="1:22" s="168" customFormat="1" ht="22.500000" customHeight="1">
      <c r="A617" s="34">
        <v>615</v>
      </c>
      <c r="B617" s="34"/>
      <c r="C617" s="34"/>
      <c r="D617" s="34"/>
      <c r="E617" s="34"/>
      <c r="F617" s="85"/>
      <c r="G617" s="159"/>
      <c r="H617" s="155"/>
      <c r="I617" s="86"/>
      <c r="J617" s="86"/>
      <c r="K617" s="155"/>
      <c r="L617" s="85"/>
      <c r="M617" s="142"/>
      <c r="N617" s="88"/>
      <c r="O617" s="141"/>
      <c r="P617" s="31"/>
      <c r="Q617" s="88"/>
      <c r="R617" s="88"/>
      <c r="S617" s="88"/>
      <c r="T617" s="54"/>
      <c r="U617" s="54"/>
      <c r="V617" s="88"/>
    </row>
    <row r="618" spans="1:22" s="168" customFormat="1" ht="22.500000" customHeight="1">
      <c r="A618" s="34">
        <v>616</v>
      </c>
      <c r="B618" s="34"/>
      <c r="C618" s="34"/>
      <c r="D618" s="34"/>
      <c r="E618" s="34"/>
      <c r="F618" s="85"/>
      <c r="G618" s="159"/>
      <c r="H618" s="155"/>
      <c r="I618" s="86"/>
      <c r="J618" s="86"/>
      <c r="K618" s="155"/>
      <c r="L618" s="85"/>
      <c r="M618" s="143"/>
      <c r="N618" s="88"/>
      <c r="O618" s="141"/>
      <c r="P618" s="31"/>
      <c r="Q618" s="88"/>
      <c r="R618" s="88"/>
      <c r="S618" s="88"/>
      <c r="T618" s="54"/>
      <c r="U618" s="54"/>
      <c r="V618" s="88"/>
    </row>
    <row r="619" spans="1:22" s="168" customFormat="1" ht="22.500000" customHeight="1">
      <c r="A619" s="34">
        <v>617</v>
      </c>
      <c r="B619" s="34"/>
      <c r="C619" s="34"/>
      <c r="D619" s="34"/>
      <c r="E619" s="34"/>
      <c r="F619" s="85"/>
      <c r="G619" s="159"/>
      <c r="H619" s="155"/>
      <c r="I619" s="86"/>
      <c r="J619" s="86"/>
      <c r="K619" s="155"/>
      <c r="L619" s="85"/>
      <c r="M619" s="142"/>
      <c r="N619" s="88"/>
      <c r="O619" s="141"/>
      <c r="P619" s="31"/>
      <c r="Q619" s="88"/>
      <c r="R619" s="88"/>
      <c r="S619" s="88"/>
      <c r="T619" s="54"/>
      <c r="U619" s="54"/>
      <c r="V619" s="88"/>
    </row>
    <row r="620" spans="1:22" s="168" customFormat="1" ht="22.500000" customHeight="1">
      <c r="A620" s="34">
        <v>618</v>
      </c>
      <c r="B620" s="34"/>
      <c r="C620" s="34"/>
      <c r="D620" s="34"/>
      <c r="E620" s="34"/>
      <c r="F620" s="85"/>
      <c r="G620" s="159"/>
      <c r="H620" s="155"/>
      <c r="I620" s="86"/>
      <c r="J620" s="86"/>
      <c r="K620" s="155"/>
      <c r="L620" s="85"/>
      <c r="M620" s="143"/>
      <c r="N620" s="88"/>
      <c r="O620" s="141"/>
      <c r="P620" s="31"/>
      <c r="Q620" s="88"/>
      <c r="R620" s="88"/>
      <c r="S620" s="88"/>
      <c r="T620" s="54"/>
      <c r="U620" s="54"/>
      <c r="V620" s="88"/>
    </row>
    <row r="621" spans="1:22" s="168" customFormat="1" ht="22.500000" customHeight="1">
      <c r="A621" s="34">
        <v>619</v>
      </c>
      <c r="B621" s="34"/>
      <c r="C621" s="34"/>
      <c r="D621" s="34"/>
      <c r="E621" s="34"/>
      <c r="F621" s="85"/>
      <c r="G621" s="159"/>
      <c r="H621" s="155"/>
      <c r="I621" s="86"/>
      <c r="J621" s="86"/>
      <c r="K621" s="155"/>
      <c r="L621" s="85"/>
      <c r="M621" s="142"/>
      <c r="N621" s="88"/>
      <c r="O621" s="141"/>
      <c r="P621" s="31"/>
      <c r="Q621" s="88"/>
      <c r="R621" s="88"/>
      <c r="S621" s="88"/>
      <c r="T621" s="54"/>
      <c r="U621" s="54"/>
      <c r="V621" s="88"/>
    </row>
    <row r="622" spans="1:22" s="168" customFormat="1" ht="22.500000" customHeight="1">
      <c r="A622" s="34">
        <v>620</v>
      </c>
      <c r="B622" s="34"/>
      <c r="C622" s="34"/>
      <c r="D622" s="34"/>
      <c r="E622" s="34"/>
      <c r="F622" s="85"/>
      <c r="G622" s="159"/>
      <c r="H622" s="155"/>
      <c r="I622" s="86"/>
      <c r="J622" s="86"/>
      <c r="K622" s="155"/>
      <c r="L622" s="85"/>
      <c r="M622" s="143"/>
      <c r="N622" s="88"/>
      <c r="O622" s="141"/>
      <c r="P622" s="31"/>
      <c r="Q622" s="88"/>
      <c r="R622" s="88"/>
      <c r="S622" s="88"/>
      <c r="T622" s="54"/>
      <c r="U622" s="54"/>
      <c r="V622" s="88"/>
    </row>
    <row r="623" spans="1:22" s="168" customFormat="1" ht="22.500000" customHeight="1">
      <c r="A623" s="34">
        <v>621</v>
      </c>
      <c r="B623" s="34"/>
      <c r="C623" s="34"/>
      <c r="D623" s="34"/>
      <c r="E623" s="34"/>
      <c r="F623" s="85"/>
      <c r="G623" s="159"/>
      <c r="H623" s="155"/>
      <c r="I623" s="86"/>
      <c r="J623" s="86"/>
      <c r="K623" s="155"/>
      <c r="L623" s="85"/>
      <c r="M623" s="142"/>
      <c r="N623" s="88"/>
      <c r="O623" s="141"/>
      <c r="P623" s="31"/>
      <c r="Q623" s="88"/>
      <c r="R623" s="88"/>
      <c r="S623" s="88"/>
      <c r="T623" s="54"/>
      <c r="U623" s="54"/>
      <c r="V623" s="88"/>
    </row>
    <row r="624" spans="1:22" s="168" customFormat="1" ht="22.500000" customHeight="1">
      <c r="A624" s="34">
        <v>622</v>
      </c>
      <c r="B624" s="34"/>
      <c r="C624" s="34"/>
      <c r="D624" s="34"/>
      <c r="E624" s="34"/>
      <c r="F624" s="85"/>
      <c r="G624" s="159"/>
      <c r="H624" s="155"/>
      <c r="I624" s="86"/>
      <c r="J624" s="86"/>
      <c r="K624" s="155"/>
      <c r="L624" s="85"/>
      <c r="M624" s="143"/>
      <c r="N624" s="88"/>
      <c r="O624" s="141"/>
      <c r="P624" s="31"/>
      <c r="Q624" s="88"/>
      <c r="R624" s="88"/>
      <c r="S624" s="88"/>
      <c r="T624" s="54"/>
      <c r="U624" s="54"/>
      <c r="V624" s="88"/>
    </row>
    <row r="625" spans="1:22" s="168" customFormat="1" ht="22.500000" customHeight="1">
      <c r="A625" s="34">
        <v>623</v>
      </c>
      <c r="B625" s="34"/>
      <c r="C625" s="34"/>
      <c r="D625" s="34"/>
      <c r="E625" s="34"/>
      <c r="F625" s="85"/>
      <c r="G625" s="159"/>
      <c r="H625" s="155"/>
      <c r="I625" s="86"/>
      <c r="J625" s="86"/>
      <c r="K625" s="155"/>
      <c r="L625" s="85"/>
      <c r="M625" s="142"/>
      <c r="N625" s="88"/>
      <c r="O625" s="141"/>
      <c r="P625" s="31"/>
      <c r="Q625" s="88"/>
      <c r="R625" s="88"/>
      <c r="S625" s="88"/>
      <c r="T625" s="54"/>
      <c r="U625" s="54"/>
      <c r="V625" s="88"/>
    </row>
    <row r="626" spans="1:22" s="168" customFormat="1" ht="22.500000" customHeight="1">
      <c r="A626" s="34">
        <v>624</v>
      </c>
      <c r="B626" s="34"/>
      <c r="C626" s="34"/>
      <c r="D626" s="34"/>
      <c r="E626" s="34"/>
      <c r="F626" s="85"/>
      <c r="G626" s="159"/>
      <c r="H626" s="155"/>
      <c r="I626" s="86"/>
      <c r="J626" s="86"/>
      <c r="K626" s="155"/>
      <c r="L626" s="85"/>
      <c r="M626" s="143"/>
      <c r="N626" s="88"/>
      <c r="O626" s="141"/>
      <c r="P626" s="31"/>
      <c r="Q626" s="88"/>
      <c r="R626" s="88"/>
      <c r="S626" s="88"/>
      <c r="T626" s="54"/>
      <c r="U626" s="54"/>
      <c r="V626" s="88"/>
    </row>
    <row r="627" spans="1:22" s="168" customFormat="1" ht="22.500000" customHeight="1">
      <c r="A627" s="34">
        <v>625</v>
      </c>
      <c r="B627" s="34"/>
      <c r="C627" s="34"/>
      <c r="D627" s="34"/>
      <c r="E627" s="34"/>
      <c r="F627" s="85"/>
      <c r="G627" s="159"/>
      <c r="H627" s="155"/>
      <c r="I627" s="86"/>
      <c r="J627" s="86"/>
      <c r="K627" s="155"/>
      <c r="L627" s="85"/>
      <c r="M627" s="142"/>
      <c r="N627" s="88"/>
      <c r="O627" s="141"/>
      <c r="P627" s="31"/>
      <c r="Q627" s="88"/>
      <c r="R627" s="88"/>
      <c r="S627" s="88"/>
      <c r="T627" s="54"/>
      <c r="U627" s="54"/>
      <c r="V627" s="88"/>
    </row>
    <row r="628" spans="1:22" s="168" customFormat="1" ht="22.500000" customHeight="1">
      <c r="A628" s="34">
        <v>626</v>
      </c>
      <c r="B628" s="34"/>
      <c r="C628" s="34"/>
      <c r="D628" s="34"/>
      <c r="E628" s="34"/>
      <c r="F628" s="85"/>
      <c r="G628" s="159"/>
      <c r="H628" s="155"/>
      <c r="I628" s="86"/>
      <c r="J628" s="86"/>
      <c r="K628" s="155"/>
      <c r="L628" s="85"/>
      <c r="M628" s="143"/>
      <c r="N628" s="88"/>
      <c r="O628" s="141"/>
      <c r="P628" s="31"/>
      <c r="Q628" s="88"/>
      <c r="R628" s="88"/>
      <c r="S628" s="88"/>
      <c r="T628" s="54"/>
      <c r="U628" s="54"/>
      <c r="V628" s="88"/>
    </row>
    <row r="629" spans="1:22" s="168" customFormat="1" ht="22.500000" customHeight="1">
      <c r="A629" s="34">
        <v>627</v>
      </c>
      <c r="B629" s="34"/>
      <c r="C629" s="34"/>
      <c r="D629" s="34"/>
      <c r="E629" s="34"/>
      <c r="F629" s="85"/>
      <c r="G629" s="159"/>
      <c r="H629" s="155"/>
      <c r="I629" s="86"/>
      <c r="J629" s="86"/>
      <c r="K629" s="155"/>
      <c r="L629" s="85"/>
      <c r="M629" s="142"/>
      <c r="N629" s="88"/>
      <c r="O629" s="141"/>
      <c r="P629" s="31"/>
      <c r="Q629" s="88"/>
      <c r="R629" s="88"/>
      <c r="S629" s="88"/>
      <c r="T629" s="54"/>
      <c r="U629" s="54"/>
      <c r="V629" s="88"/>
    </row>
    <row r="630" spans="1:22" s="168" customFormat="1" ht="22.500000" customHeight="1">
      <c r="A630" s="34">
        <v>628</v>
      </c>
      <c r="B630" s="34"/>
      <c r="C630" s="34"/>
      <c r="D630" s="34"/>
      <c r="E630" s="34"/>
      <c r="F630" s="85"/>
      <c r="G630" s="159"/>
      <c r="H630" s="155"/>
      <c r="I630" s="86"/>
      <c r="J630" s="86"/>
      <c r="K630" s="155"/>
      <c r="L630" s="85"/>
      <c r="M630" s="143"/>
      <c r="N630" s="88"/>
      <c r="O630" s="141"/>
      <c r="P630" s="31"/>
      <c r="Q630" s="88"/>
      <c r="R630" s="88"/>
      <c r="S630" s="88"/>
      <c r="T630" s="54"/>
      <c r="U630" s="54"/>
      <c r="V630" s="88"/>
    </row>
    <row r="631" spans="1:22" s="168" customFormat="1" ht="22.500000" customHeight="1">
      <c r="A631" s="34">
        <v>629</v>
      </c>
      <c r="B631" s="34"/>
      <c r="C631" s="34"/>
      <c r="D631" s="34"/>
      <c r="E631" s="34"/>
      <c r="F631" s="85"/>
      <c r="G631" s="159"/>
      <c r="H631" s="155"/>
      <c r="I631" s="86"/>
      <c r="J631" s="86"/>
      <c r="K631" s="155"/>
      <c r="L631" s="85"/>
      <c r="M631" s="142"/>
      <c r="N631" s="88"/>
      <c r="O631" s="141"/>
      <c r="P631" s="31"/>
      <c r="Q631" s="88"/>
      <c r="R631" s="88"/>
      <c r="S631" s="88"/>
      <c r="T631" s="54"/>
      <c r="U631" s="54"/>
      <c r="V631" s="88"/>
    </row>
    <row r="632" spans="1:22" s="168" customFormat="1" ht="22.500000" customHeight="1">
      <c r="A632" s="34">
        <v>630</v>
      </c>
      <c r="B632" s="34"/>
      <c r="C632" s="34"/>
      <c r="D632" s="34"/>
      <c r="E632" s="34"/>
      <c r="F632" s="85"/>
      <c r="G632" s="159"/>
      <c r="H632" s="155"/>
      <c r="I632" s="86"/>
      <c r="J632" s="86"/>
      <c r="K632" s="155"/>
      <c r="L632" s="85"/>
      <c r="M632" s="143"/>
      <c r="N632" s="88"/>
      <c r="O632" s="141"/>
      <c r="P632" s="31"/>
      <c r="Q632" s="88"/>
      <c r="R632" s="88"/>
      <c r="S632" s="88"/>
      <c r="T632" s="54"/>
      <c r="U632" s="54"/>
      <c r="V632" s="88"/>
    </row>
    <row r="633" spans="1:22" s="168" customFormat="1" ht="22.500000" customHeight="1">
      <c r="A633" s="34">
        <v>631</v>
      </c>
      <c r="B633" s="34"/>
      <c r="C633" s="34"/>
      <c r="D633" s="34"/>
      <c r="E633" s="34"/>
      <c r="F633" s="85"/>
      <c r="G633" s="159"/>
      <c r="H633" s="155"/>
      <c r="I633" s="86"/>
      <c r="J633" s="86"/>
      <c r="K633" s="155"/>
      <c r="L633" s="85"/>
      <c r="M633" s="142"/>
      <c r="N633" s="88"/>
      <c r="O633" s="141"/>
      <c r="P633" s="31"/>
      <c r="Q633" s="88"/>
      <c r="R633" s="88"/>
      <c r="S633" s="88"/>
      <c r="T633" s="54"/>
      <c r="U633" s="54"/>
      <c r="V633" s="88"/>
    </row>
    <row r="634" spans="1:22" s="168" customFormat="1" ht="22.500000" customHeight="1">
      <c r="A634" s="34">
        <v>632</v>
      </c>
      <c r="B634" s="34"/>
      <c r="C634" s="34"/>
      <c r="D634" s="34"/>
      <c r="E634" s="34"/>
      <c r="F634" s="85"/>
      <c r="G634" s="159"/>
      <c r="H634" s="155"/>
      <c r="I634" s="86"/>
      <c r="J634" s="86"/>
      <c r="K634" s="155"/>
      <c r="L634" s="85"/>
      <c r="M634" s="143"/>
      <c r="N634" s="88"/>
      <c r="O634" s="141"/>
      <c r="P634" s="31"/>
      <c r="Q634" s="88"/>
      <c r="R634" s="88"/>
      <c r="S634" s="88"/>
      <c r="T634" s="54"/>
      <c r="U634" s="54"/>
      <c r="V634" s="88"/>
    </row>
    <row r="635" spans="1:22" s="168" customFormat="1" ht="22.500000" customHeight="1">
      <c r="A635" s="34">
        <v>633</v>
      </c>
      <c r="B635" s="34"/>
      <c r="C635" s="34"/>
      <c r="D635" s="34"/>
      <c r="E635" s="34"/>
      <c r="F635" s="85"/>
      <c r="G635" s="159"/>
      <c r="H635" s="155"/>
      <c r="I635" s="86"/>
      <c r="J635" s="86"/>
      <c r="K635" s="155"/>
      <c r="L635" s="85"/>
      <c r="M635" s="142"/>
      <c r="N635" s="88"/>
      <c r="O635" s="141"/>
      <c r="P635" s="31"/>
      <c r="Q635" s="88"/>
      <c r="R635" s="88"/>
      <c r="S635" s="88"/>
      <c r="T635" s="54"/>
      <c r="U635" s="54"/>
      <c r="V635" s="88"/>
    </row>
    <row r="636" spans="1:22" s="168" customFormat="1" ht="22.500000" customHeight="1">
      <c r="A636" s="34">
        <v>634</v>
      </c>
      <c r="B636" s="34"/>
      <c r="C636" s="34"/>
      <c r="D636" s="34"/>
      <c r="E636" s="34"/>
      <c r="F636" s="85"/>
      <c r="G636" s="159"/>
      <c r="H636" s="155"/>
      <c r="I636" s="86"/>
      <c r="J636" s="86"/>
      <c r="K636" s="155"/>
      <c r="L636" s="85"/>
      <c r="M636" s="143"/>
      <c r="N636" s="88"/>
      <c r="O636" s="141"/>
      <c r="P636" s="31"/>
      <c r="Q636" s="88"/>
      <c r="R636" s="88"/>
      <c r="S636" s="88"/>
      <c r="T636" s="54"/>
      <c r="U636" s="54"/>
      <c r="V636" s="88"/>
    </row>
    <row r="637" spans="1:22" s="168" customFormat="1" ht="22.500000" customHeight="1">
      <c r="A637" s="34">
        <v>635</v>
      </c>
      <c r="B637" s="34"/>
      <c r="C637" s="34"/>
      <c r="D637" s="34"/>
      <c r="E637" s="34"/>
      <c r="F637" s="85"/>
      <c r="G637" s="159"/>
      <c r="H637" s="155"/>
      <c r="I637" s="86"/>
      <c r="J637" s="86"/>
      <c r="K637" s="155"/>
      <c r="L637" s="85"/>
      <c r="M637" s="142"/>
      <c r="N637" s="88"/>
      <c r="O637" s="141"/>
      <c r="P637" s="31"/>
      <c r="Q637" s="88"/>
      <c r="R637" s="88"/>
      <c r="S637" s="88"/>
      <c r="T637" s="54"/>
      <c r="U637" s="54"/>
      <c r="V637" s="88"/>
    </row>
    <row r="638" spans="1:22" s="168" customFormat="1" ht="22.500000" customHeight="1">
      <c r="A638" s="34">
        <v>636</v>
      </c>
      <c r="B638" s="34"/>
      <c r="C638" s="34"/>
      <c r="D638" s="34"/>
      <c r="E638" s="34"/>
      <c r="F638" s="85"/>
      <c r="G638" s="159"/>
      <c r="H638" s="155"/>
      <c r="I638" s="86"/>
      <c r="J638" s="86"/>
      <c r="K638" s="155"/>
      <c r="L638" s="85"/>
      <c r="M638" s="143"/>
      <c r="N638" s="88"/>
      <c r="O638" s="141"/>
      <c r="P638" s="31"/>
      <c r="Q638" s="88"/>
      <c r="R638" s="88"/>
      <c r="S638" s="88"/>
      <c r="T638" s="54"/>
      <c r="U638" s="54"/>
      <c r="V638" s="88"/>
    </row>
    <row r="639" spans="1:22" s="168" customFormat="1" ht="22.500000" customHeight="1">
      <c r="A639" s="34">
        <v>637</v>
      </c>
      <c r="B639" s="34"/>
      <c r="C639" s="34"/>
      <c r="D639" s="34"/>
      <c r="E639" s="34"/>
      <c r="F639" s="85"/>
      <c r="G639" s="159"/>
      <c r="H639" s="155"/>
      <c r="I639" s="86"/>
      <c r="J639" s="86"/>
      <c r="K639" s="155"/>
      <c r="L639" s="85"/>
      <c r="M639" s="142"/>
      <c r="N639" s="88"/>
      <c r="O639" s="141"/>
      <c r="P639" s="31"/>
      <c r="Q639" s="88"/>
      <c r="R639" s="88"/>
      <c r="S639" s="88"/>
      <c r="T639" s="54"/>
      <c r="U639" s="54"/>
      <c r="V639" s="88"/>
    </row>
    <row r="640" spans="1:22" s="168" customFormat="1" ht="22.500000" customHeight="1">
      <c r="A640" s="34">
        <v>638</v>
      </c>
      <c r="B640" s="34"/>
      <c r="C640" s="34"/>
      <c r="D640" s="34"/>
      <c r="E640" s="34"/>
      <c r="F640" s="85"/>
      <c r="G640" s="159"/>
      <c r="H640" s="155"/>
      <c r="I640" s="86"/>
      <c r="J640" s="86"/>
      <c r="K640" s="155"/>
      <c r="L640" s="85"/>
      <c r="M640" s="143"/>
      <c r="N640" s="88"/>
      <c r="O640" s="141"/>
      <c r="P640" s="31"/>
      <c r="Q640" s="88"/>
      <c r="R640" s="88"/>
      <c r="S640" s="88"/>
      <c r="T640" s="54"/>
      <c r="U640" s="54"/>
      <c r="V640" s="88"/>
    </row>
    <row r="641" spans="1:22" s="168" customFormat="1" ht="22.500000" customHeight="1">
      <c r="A641" s="34">
        <v>639</v>
      </c>
      <c r="B641" s="34"/>
      <c r="C641" s="34"/>
      <c r="D641" s="34"/>
      <c r="E641" s="34"/>
      <c r="F641" s="85"/>
      <c r="G641" s="159"/>
      <c r="H641" s="155"/>
      <c r="I641" s="86"/>
      <c r="J641" s="86"/>
      <c r="K641" s="155"/>
      <c r="L641" s="85"/>
      <c r="M641" s="142"/>
      <c r="N641" s="88"/>
      <c r="O641" s="141"/>
      <c r="P641" s="31"/>
      <c r="Q641" s="88"/>
      <c r="R641" s="88"/>
      <c r="S641" s="88"/>
      <c r="T641" s="54"/>
      <c r="U641" s="54"/>
      <c r="V641" s="88"/>
    </row>
    <row r="642" spans="1:22" s="168" customFormat="1" ht="22.500000" customHeight="1">
      <c r="A642" s="34">
        <v>640</v>
      </c>
      <c r="B642" s="34"/>
      <c r="C642" s="34"/>
      <c r="D642" s="34"/>
      <c r="E642" s="34"/>
      <c r="F642" s="85"/>
      <c r="G642" s="159"/>
      <c r="H642" s="155"/>
      <c r="I642" s="86"/>
      <c r="J642" s="86"/>
      <c r="K642" s="155"/>
      <c r="L642" s="85"/>
      <c r="M642" s="143"/>
      <c r="N642" s="88"/>
      <c r="O642" s="141"/>
      <c r="P642" s="31"/>
      <c r="Q642" s="88"/>
      <c r="R642" s="88"/>
      <c r="S642" s="88"/>
      <c r="T642" s="54"/>
      <c r="U642" s="54"/>
      <c r="V642" s="88"/>
    </row>
    <row r="643" spans="1:22" s="168" customFormat="1" ht="22.500000" customHeight="1">
      <c r="A643" s="34">
        <v>641</v>
      </c>
      <c r="B643" s="34"/>
      <c r="C643" s="34"/>
      <c r="D643" s="34"/>
      <c r="E643" s="34"/>
      <c r="F643" s="85"/>
      <c r="G643" s="159"/>
      <c r="H643" s="155"/>
      <c r="I643" s="86"/>
      <c r="J643" s="86"/>
      <c r="K643" s="155"/>
      <c r="L643" s="85"/>
      <c r="M643" s="142"/>
      <c r="N643" s="88"/>
      <c r="O643" s="141"/>
      <c r="P643" s="31"/>
      <c r="Q643" s="88"/>
      <c r="R643" s="88"/>
      <c r="S643" s="88"/>
      <c r="T643" s="54"/>
      <c r="U643" s="54"/>
      <c r="V643" s="88"/>
    </row>
    <row r="644" spans="1:22" s="168" customFormat="1" ht="22.500000" customHeight="1">
      <c r="A644" s="34">
        <v>642</v>
      </c>
      <c r="B644" s="34"/>
      <c r="C644" s="34"/>
      <c r="D644" s="34"/>
      <c r="E644" s="34"/>
      <c r="F644" s="85"/>
      <c r="G644" s="159"/>
      <c r="H644" s="155"/>
      <c r="I644" s="86"/>
      <c r="J644" s="86"/>
      <c r="K644" s="155"/>
      <c r="L644" s="85"/>
      <c r="M644" s="143"/>
      <c r="N644" s="88"/>
      <c r="O644" s="141"/>
      <c r="P644" s="31"/>
      <c r="Q644" s="88"/>
      <c r="R644" s="88"/>
      <c r="S644" s="88"/>
      <c r="T644" s="54"/>
      <c r="U644" s="54"/>
      <c r="V644" s="88"/>
    </row>
    <row r="645" spans="1:22" s="168" customFormat="1" ht="22.500000" customHeight="1">
      <c r="A645" s="34">
        <v>643</v>
      </c>
      <c r="B645" s="34"/>
      <c r="C645" s="34"/>
      <c r="D645" s="34"/>
      <c r="E645" s="34"/>
      <c r="F645" s="85"/>
      <c r="G645" s="159"/>
      <c r="H645" s="155"/>
      <c r="I645" s="86"/>
      <c r="J645" s="86"/>
      <c r="K645" s="155"/>
      <c r="L645" s="85"/>
      <c r="M645" s="142"/>
      <c r="N645" s="88"/>
      <c r="O645" s="141"/>
      <c r="P645" s="31"/>
      <c r="Q645" s="88"/>
      <c r="R645" s="88"/>
      <c r="S645" s="88"/>
      <c r="T645" s="54"/>
      <c r="U645" s="54"/>
      <c r="V645" s="88"/>
    </row>
    <row r="646" spans="1:22" s="168" customFormat="1" ht="22.500000" customHeight="1">
      <c r="A646" s="34">
        <v>644</v>
      </c>
      <c r="B646" s="34"/>
      <c r="C646" s="34"/>
      <c r="D646" s="34"/>
      <c r="E646" s="34"/>
      <c r="F646" s="85"/>
      <c r="G646" s="159"/>
      <c r="H646" s="155"/>
      <c r="I646" s="86"/>
      <c r="J646" s="86"/>
      <c r="K646" s="155"/>
      <c r="L646" s="85"/>
      <c r="M646" s="143"/>
      <c r="N646" s="88"/>
      <c r="O646" s="141"/>
      <c r="P646" s="31"/>
      <c r="Q646" s="88"/>
      <c r="R646" s="88"/>
      <c r="S646" s="88"/>
      <c r="T646" s="54"/>
      <c r="U646" s="54"/>
      <c r="V646" s="88"/>
    </row>
    <row r="647" spans="1:22" s="168" customFormat="1" ht="22.500000" customHeight="1">
      <c r="A647" s="34">
        <v>645</v>
      </c>
      <c r="B647" s="34"/>
      <c r="C647" s="34"/>
      <c r="D647" s="34"/>
      <c r="E647" s="34"/>
      <c r="F647" s="85"/>
      <c r="G647" s="159"/>
      <c r="H647" s="155"/>
      <c r="I647" s="86"/>
      <c r="J647" s="86"/>
      <c r="K647" s="155"/>
      <c r="L647" s="85"/>
      <c r="M647" s="142"/>
      <c r="N647" s="88"/>
      <c r="O647" s="141"/>
      <c r="P647" s="31"/>
      <c r="Q647" s="88"/>
      <c r="R647" s="88"/>
      <c r="S647" s="88"/>
      <c r="T647" s="54"/>
      <c r="U647" s="54"/>
      <c r="V647" s="88"/>
    </row>
    <row r="648" spans="1:22" s="168" customFormat="1" ht="22.500000" customHeight="1">
      <c r="A648" s="34">
        <v>646</v>
      </c>
      <c r="B648" s="34"/>
      <c r="C648" s="34"/>
      <c r="D648" s="34"/>
      <c r="E648" s="34"/>
      <c r="F648" s="85"/>
      <c r="G648" s="159"/>
      <c r="H648" s="155"/>
      <c r="I648" s="86"/>
      <c r="J648" s="86"/>
      <c r="K648" s="155"/>
      <c r="L648" s="85"/>
      <c r="M648" s="143"/>
      <c r="N648" s="88"/>
      <c r="O648" s="141"/>
      <c r="P648" s="31"/>
      <c r="Q648" s="88"/>
      <c r="R648" s="88"/>
      <c r="S648" s="88"/>
      <c r="T648" s="54"/>
      <c r="U648" s="54"/>
      <c r="V648" s="88"/>
    </row>
    <row r="649" spans="1:22" s="168" customFormat="1" ht="22.500000" customHeight="1">
      <c r="A649" s="34">
        <v>647</v>
      </c>
      <c r="B649" s="34"/>
      <c r="C649" s="34"/>
      <c r="D649" s="34"/>
      <c r="E649" s="34"/>
      <c r="F649" s="85"/>
      <c r="G649" s="159"/>
      <c r="H649" s="155"/>
      <c r="I649" s="86"/>
      <c r="J649" s="86"/>
      <c r="K649" s="155"/>
      <c r="L649" s="85"/>
      <c r="M649" s="142"/>
      <c r="N649" s="88"/>
      <c r="O649" s="141"/>
      <c r="P649" s="31"/>
      <c r="Q649" s="88"/>
      <c r="R649" s="88"/>
      <c r="S649" s="88"/>
      <c r="T649" s="54"/>
      <c r="U649" s="54"/>
      <c r="V649" s="88"/>
    </row>
    <row r="650" spans="1:22" s="168" customFormat="1" ht="22.500000" customHeight="1">
      <c r="A650" s="34">
        <v>648</v>
      </c>
      <c r="B650" s="34"/>
      <c r="C650" s="34"/>
      <c r="D650" s="34"/>
      <c r="E650" s="34"/>
      <c r="F650" s="85"/>
      <c r="G650" s="159"/>
      <c r="H650" s="155"/>
      <c r="I650" s="86"/>
      <c r="J650" s="86"/>
      <c r="K650" s="155"/>
      <c r="L650" s="85"/>
      <c r="M650" s="143"/>
      <c r="N650" s="88"/>
      <c r="O650" s="141"/>
      <c r="P650" s="31"/>
      <c r="Q650" s="88"/>
      <c r="R650" s="88"/>
      <c r="S650" s="88"/>
      <c r="T650" s="54"/>
      <c r="U650" s="54"/>
      <c r="V650" s="88"/>
    </row>
    <row r="651" spans="1:22" s="168" customFormat="1" ht="22.500000" customHeight="1">
      <c r="A651" s="34">
        <v>649</v>
      </c>
      <c r="B651" s="34"/>
      <c r="C651" s="34"/>
      <c r="D651" s="34"/>
      <c r="E651" s="34"/>
      <c r="F651" s="85"/>
      <c r="G651" s="159"/>
      <c r="H651" s="155"/>
      <c r="I651" s="86"/>
      <c r="J651" s="86"/>
      <c r="K651" s="155"/>
      <c r="L651" s="85"/>
      <c r="M651" s="142"/>
      <c r="N651" s="88"/>
      <c r="O651" s="141"/>
      <c r="P651" s="31"/>
      <c r="Q651" s="88"/>
      <c r="R651" s="88"/>
      <c r="S651" s="88"/>
      <c r="T651" s="54"/>
      <c r="U651" s="54"/>
      <c r="V651" s="88"/>
    </row>
    <row r="652" spans="1:22" s="168" customFormat="1" ht="22.500000" customHeight="1">
      <c r="A652" s="34">
        <v>650</v>
      </c>
      <c r="B652" s="34"/>
      <c r="C652" s="34"/>
      <c r="D652" s="34"/>
      <c r="E652" s="34"/>
      <c r="F652" s="85"/>
      <c r="G652" s="159"/>
      <c r="H652" s="155"/>
      <c r="I652" s="86"/>
      <c r="J652" s="86"/>
      <c r="K652" s="155"/>
      <c r="L652" s="85"/>
      <c r="M652" s="143"/>
      <c r="N652" s="88"/>
      <c r="O652" s="141"/>
      <c r="P652" s="31"/>
      <c r="Q652" s="88"/>
      <c r="R652" s="88"/>
      <c r="S652" s="88"/>
      <c r="T652" s="54"/>
      <c r="U652" s="54"/>
      <c r="V652" s="88"/>
    </row>
    <row r="653" spans="1:22" s="168" customFormat="1" ht="22.500000" customHeight="1">
      <c r="A653" s="34">
        <v>651</v>
      </c>
      <c r="B653" s="34"/>
      <c r="C653" s="34"/>
      <c r="D653" s="34"/>
      <c r="E653" s="34"/>
      <c r="F653" s="85"/>
      <c r="G653" s="159"/>
      <c r="H653" s="155"/>
      <c r="I653" s="86"/>
      <c r="J653" s="86"/>
      <c r="K653" s="155"/>
      <c r="L653" s="85"/>
      <c r="M653" s="142"/>
      <c r="N653" s="88"/>
      <c r="O653" s="141"/>
      <c r="P653" s="31"/>
      <c r="Q653" s="88"/>
      <c r="R653" s="88"/>
      <c r="S653" s="88"/>
      <c r="T653" s="54"/>
      <c r="U653" s="54"/>
      <c r="V653" s="88"/>
    </row>
    <row r="654" spans="1:22" s="168" customFormat="1" ht="22.500000" customHeight="1">
      <c r="A654" s="34">
        <v>652</v>
      </c>
      <c r="B654" s="34"/>
      <c r="C654" s="34"/>
      <c r="D654" s="34"/>
      <c r="E654" s="34"/>
      <c r="F654" s="85"/>
      <c r="G654" s="159"/>
      <c r="H654" s="155"/>
      <c r="I654" s="86"/>
      <c r="J654" s="86"/>
      <c r="K654" s="155"/>
      <c r="L654" s="85"/>
      <c r="M654" s="143"/>
      <c r="N654" s="88"/>
      <c r="O654" s="141"/>
      <c r="P654" s="31"/>
      <c r="Q654" s="88"/>
      <c r="R654" s="88"/>
      <c r="S654" s="88"/>
      <c r="T654" s="54"/>
      <c r="U654" s="54"/>
      <c r="V654" s="88"/>
    </row>
    <row r="655" spans="1:22" s="168" customFormat="1" ht="22.500000" customHeight="1">
      <c r="A655" s="34">
        <v>653</v>
      </c>
      <c r="B655" s="34"/>
      <c r="C655" s="34"/>
      <c r="D655" s="34"/>
      <c r="E655" s="34"/>
      <c r="F655" s="85"/>
      <c r="G655" s="159"/>
      <c r="H655" s="155"/>
      <c r="I655" s="86"/>
      <c r="J655" s="86"/>
      <c r="K655" s="155"/>
      <c r="L655" s="85"/>
      <c r="M655" s="142"/>
      <c r="N655" s="88"/>
      <c r="O655" s="141"/>
      <c r="P655" s="31"/>
      <c r="Q655" s="88"/>
      <c r="R655" s="88"/>
      <c r="S655" s="88"/>
      <c r="T655" s="54"/>
      <c r="U655" s="54"/>
      <c r="V655" s="88"/>
    </row>
    <row r="656" spans="1:22" s="168" customFormat="1" ht="22.500000" customHeight="1">
      <c r="A656" s="34">
        <v>654</v>
      </c>
      <c r="B656" s="34"/>
      <c r="C656" s="34"/>
      <c r="D656" s="34"/>
      <c r="E656" s="34"/>
      <c r="F656" s="85"/>
      <c r="G656" s="159"/>
      <c r="H656" s="155"/>
      <c r="I656" s="86"/>
      <c r="J656" s="86"/>
      <c r="K656" s="155"/>
      <c r="L656" s="85"/>
      <c r="M656" s="143"/>
      <c r="N656" s="88"/>
      <c r="O656" s="141"/>
      <c r="P656" s="31"/>
      <c r="Q656" s="88"/>
      <c r="R656" s="88"/>
      <c r="S656" s="88"/>
      <c r="T656" s="54"/>
      <c r="U656" s="54"/>
      <c r="V656" s="88"/>
    </row>
    <row r="657" spans="1:22" s="168" customFormat="1" ht="22.500000" customHeight="1">
      <c r="A657" s="34">
        <v>655</v>
      </c>
      <c r="B657" s="34"/>
      <c r="C657" s="34"/>
      <c r="D657" s="34"/>
      <c r="E657" s="34"/>
      <c r="F657" s="85"/>
      <c r="G657" s="159"/>
      <c r="H657" s="155"/>
      <c r="I657" s="86"/>
      <c r="J657" s="86"/>
      <c r="K657" s="155"/>
      <c r="L657" s="85"/>
      <c r="M657" s="142"/>
      <c r="N657" s="88"/>
      <c r="O657" s="141"/>
      <c r="P657" s="31"/>
      <c r="Q657" s="88"/>
      <c r="R657" s="88"/>
      <c r="S657" s="88"/>
      <c r="T657" s="54"/>
      <c r="U657" s="54"/>
      <c r="V657" s="88"/>
    </row>
    <row r="658" spans="1:22" s="168" customFormat="1" ht="22.500000" customHeight="1">
      <c r="A658" s="34">
        <v>656</v>
      </c>
      <c r="B658" s="34"/>
      <c r="C658" s="34"/>
      <c r="D658" s="34"/>
      <c r="E658" s="34"/>
      <c r="F658" s="85"/>
      <c r="G658" s="159"/>
      <c r="H658" s="155"/>
      <c r="I658" s="86"/>
      <c r="J658" s="86"/>
      <c r="K658" s="155"/>
      <c r="L658" s="85"/>
      <c r="M658" s="143"/>
      <c r="N658" s="88"/>
      <c r="O658" s="141"/>
      <c r="P658" s="31"/>
      <c r="Q658" s="88"/>
      <c r="R658" s="88"/>
      <c r="S658" s="88"/>
      <c r="T658" s="54"/>
      <c r="U658" s="54"/>
      <c r="V658" s="88"/>
    </row>
    <row r="659" spans="1:22" s="168" customFormat="1" ht="22.500000" customHeight="1">
      <c r="A659" s="34">
        <v>657</v>
      </c>
      <c r="B659" s="34"/>
      <c r="C659" s="34"/>
      <c r="D659" s="34"/>
      <c r="E659" s="34"/>
      <c r="F659" s="85"/>
      <c r="G659" s="159"/>
      <c r="H659" s="155"/>
      <c r="I659" s="86"/>
      <c r="J659" s="86"/>
      <c r="K659" s="155"/>
      <c r="L659" s="85"/>
      <c r="M659" s="142"/>
      <c r="N659" s="88"/>
      <c r="O659" s="141"/>
      <c r="P659" s="31"/>
      <c r="Q659" s="88"/>
      <c r="R659" s="88"/>
      <c r="S659" s="88"/>
      <c r="T659" s="54"/>
      <c r="U659" s="54"/>
      <c r="V659" s="88"/>
    </row>
    <row r="660" spans="1:22" s="168" customFormat="1" ht="22.500000" customHeight="1">
      <c r="A660" s="34">
        <v>658</v>
      </c>
      <c r="B660" s="34"/>
      <c r="C660" s="34"/>
      <c r="D660" s="34"/>
      <c r="E660" s="34"/>
      <c r="F660" s="85"/>
      <c r="G660" s="159"/>
      <c r="H660" s="155"/>
      <c r="I660" s="86"/>
      <c r="J660" s="86"/>
      <c r="K660" s="155"/>
      <c r="L660" s="85"/>
      <c r="M660" s="143"/>
      <c r="N660" s="88"/>
      <c r="O660" s="141"/>
      <c r="P660" s="31"/>
      <c r="Q660" s="88"/>
      <c r="R660" s="88"/>
      <c r="S660" s="88"/>
      <c r="T660" s="54"/>
      <c r="U660" s="54"/>
      <c r="V660" s="88"/>
    </row>
    <row r="661" spans="1:22" s="168" customFormat="1" ht="22.500000" customHeight="1">
      <c r="A661" s="34">
        <v>659</v>
      </c>
      <c r="B661" s="34"/>
      <c r="C661" s="34"/>
      <c r="D661" s="34"/>
      <c r="E661" s="34"/>
      <c r="F661" s="85"/>
      <c r="G661" s="159"/>
      <c r="H661" s="155"/>
      <c r="I661" s="86"/>
      <c r="J661" s="86"/>
      <c r="K661" s="155"/>
      <c r="L661" s="85"/>
      <c r="M661" s="142"/>
      <c r="N661" s="88"/>
      <c r="O661" s="141"/>
      <c r="P661" s="31"/>
      <c r="Q661" s="88"/>
      <c r="R661" s="88"/>
      <c r="S661" s="88"/>
      <c r="T661" s="54"/>
      <c r="U661" s="54"/>
      <c r="V661" s="88"/>
    </row>
    <row r="662" spans="1:22" s="168" customFormat="1" ht="22.500000" customHeight="1">
      <c r="A662" s="34">
        <v>660</v>
      </c>
      <c r="B662" s="34"/>
      <c r="C662" s="34"/>
      <c r="D662" s="34"/>
      <c r="E662" s="34"/>
      <c r="F662" s="85"/>
      <c r="G662" s="159"/>
      <c r="H662" s="155"/>
      <c r="I662" s="86"/>
      <c r="J662" s="86"/>
      <c r="K662" s="155"/>
      <c r="L662" s="85"/>
      <c r="M662" s="143"/>
      <c r="N662" s="88"/>
      <c r="O662" s="141"/>
      <c r="P662" s="31"/>
      <c r="Q662" s="88"/>
      <c r="R662" s="88"/>
      <c r="S662" s="88"/>
      <c r="T662" s="54"/>
      <c r="U662" s="54"/>
      <c r="V662" s="88"/>
    </row>
    <row r="663" spans="1:22" s="168" customFormat="1" ht="22.500000" customHeight="1">
      <c r="A663" s="34">
        <v>661</v>
      </c>
      <c r="B663" s="34"/>
      <c r="C663" s="34"/>
      <c r="D663" s="34"/>
      <c r="E663" s="34"/>
      <c r="F663" s="85"/>
      <c r="G663" s="159"/>
      <c r="H663" s="155"/>
      <c r="I663" s="86"/>
      <c r="J663" s="86"/>
      <c r="K663" s="155"/>
      <c r="L663" s="85"/>
      <c r="M663" s="142"/>
      <c r="N663" s="88"/>
      <c r="O663" s="141"/>
      <c r="P663" s="31"/>
      <c r="Q663" s="88"/>
      <c r="R663" s="88"/>
      <c r="S663" s="88"/>
      <c r="T663" s="54"/>
      <c r="U663" s="54"/>
      <c r="V663" s="88"/>
    </row>
    <row r="664" spans="1:22" s="168" customFormat="1" ht="22.500000" customHeight="1">
      <c r="A664" s="34">
        <v>662</v>
      </c>
      <c r="B664" s="34"/>
      <c r="C664" s="34"/>
      <c r="D664" s="34"/>
      <c r="E664" s="34"/>
      <c r="F664" s="85"/>
      <c r="G664" s="159"/>
      <c r="H664" s="155"/>
      <c r="I664" s="86"/>
      <c r="J664" s="86"/>
      <c r="K664" s="155"/>
      <c r="L664" s="85"/>
      <c r="M664" s="143"/>
      <c r="N664" s="88"/>
      <c r="O664" s="141"/>
      <c r="P664" s="31"/>
      <c r="Q664" s="88"/>
      <c r="R664" s="88"/>
      <c r="S664" s="88"/>
      <c r="T664" s="54"/>
      <c r="U664" s="54"/>
      <c r="V664" s="88"/>
    </row>
    <row r="665" spans="1:22" s="168" customFormat="1" ht="22.500000" customHeight="1">
      <c r="A665" s="34">
        <v>663</v>
      </c>
      <c r="B665" s="34"/>
      <c r="C665" s="34"/>
      <c r="D665" s="34"/>
      <c r="E665" s="34"/>
      <c r="F665" s="85"/>
      <c r="G665" s="159"/>
      <c r="H665" s="155"/>
      <c r="I665" s="86"/>
      <c r="J665" s="86"/>
      <c r="K665" s="155"/>
      <c r="L665" s="85"/>
      <c r="M665" s="142"/>
      <c r="N665" s="88"/>
      <c r="O665" s="141"/>
      <c r="P665" s="31"/>
      <c r="Q665" s="88"/>
      <c r="R665" s="88"/>
      <c r="S665" s="88"/>
      <c r="T665" s="54"/>
      <c r="U665" s="54"/>
      <c r="V665" s="88"/>
    </row>
    <row r="666" spans="1:22" s="168" customFormat="1" ht="22.500000" customHeight="1">
      <c r="A666" s="34">
        <v>664</v>
      </c>
      <c r="B666" s="34"/>
      <c r="C666" s="34"/>
      <c r="D666" s="34"/>
      <c r="E666" s="34"/>
      <c r="F666" s="85"/>
      <c r="G666" s="159"/>
      <c r="H666" s="155"/>
      <c r="I666" s="86"/>
      <c r="J666" s="86"/>
      <c r="K666" s="155"/>
      <c r="L666" s="85"/>
      <c r="M666" s="143"/>
      <c r="N666" s="88"/>
      <c r="O666" s="141"/>
      <c r="P666" s="31"/>
      <c r="Q666" s="88"/>
      <c r="R666" s="88"/>
      <c r="S666" s="88"/>
      <c r="T666" s="54"/>
      <c r="U666" s="54"/>
      <c r="V666" s="88"/>
    </row>
    <row r="667" spans="1:22" s="168" customFormat="1" ht="22.500000" customHeight="1">
      <c r="A667" s="34">
        <v>665</v>
      </c>
      <c r="B667" s="34"/>
      <c r="C667" s="34"/>
      <c r="D667" s="34"/>
      <c r="E667" s="34"/>
      <c r="F667" s="85"/>
      <c r="G667" s="159"/>
      <c r="H667" s="155"/>
      <c r="I667" s="86"/>
      <c r="J667" s="86"/>
      <c r="K667" s="155"/>
      <c r="L667" s="85"/>
      <c r="M667" s="142"/>
      <c r="N667" s="88"/>
      <c r="O667" s="141"/>
      <c r="P667" s="31"/>
      <c r="Q667" s="88"/>
      <c r="R667" s="88"/>
      <c r="S667" s="88"/>
      <c r="T667" s="54"/>
      <c r="U667" s="54"/>
      <c r="V667" s="88"/>
    </row>
    <row r="668" spans="1:22" s="168" customFormat="1" ht="22.500000" customHeight="1">
      <c r="A668" s="34">
        <v>666</v>
      </c>
      <c r="B668" s="34"/>
      <c r="C668" s="34"/>
      <c r="D668" s="34"/>
      <c r="E668" s="34"/>
      <c r="F668" s="85"/>
      <c r="G668" s="159"/>
      <c r="H668" s="155"/>
      <c r="I668" s="86"/>
      <c r="J668" s="86"/>
      <c r="K668" s="155"/>
      <c r="L668" s="85"/>
      <c r="M668" s="143"/>
      <c r="N668" s="88"/>
      <c r="O668" s="141"/>
      <c r="P668" s="31"/>
      <c r="Q668" s="88"/>
      <c r="R668" s="88"/>
      <c r="S668" s="88"/>
      <c r="T668" s="54"/>
      <c r="U668" s="54"/>
      <c r="V668" s="88"/>
    </row>
    <row r="669" spans="1:22" s="168" customFormat="1" ht="22.500000" customHeight="1">
      <c r="A669" s="34">
        <v>667</v>
      </c>
      <c r="B669" s="34"/>
      <c r="C669" s="34"/>
      <c r="D669" s="34"/>
      <c r="E669" s="34"/>
      <c r="F669" s="85"/>
      <c r="G669" s="159"/>
      <c r="H669" s="155"/>
      <c r="I669" s="86"/>
      <c r="J669" s="86"/>
      <c r="K669" s="155"/>
      <c r="L669" s="85"/>
      <c r="M669" s="142"/>
      <c r="N669" s="88"/>
      <c r="O669" s="141"/>
      <c r="P669" s="31"/>
      <c r="Q669" s="88"/>
      <c r="R669" s="88"/>
      <c r="S669" s="88"/>
      <c r="T669" s="54"/>
      <c r="U669" s="54"/>
      <c r="V669" s="88"/>
    </row>
    <row r="670" spans="1:22" s="168" customFormat="1" ht="22.500000" customHeight="1">
      <c r="A670" s="34">
        <v>668</v>
      </c>
      <c r="B670" s="34"/>
      <c r="C670" s="34"/>
      <c r="D670" s="34"/>
      <c r="E670" s="34"/>
      <c r="F670" s="85"/>
      <c r="G670" s="159"/>
      <c r="H670" s="155"/>
      <c r="I670" s="86"/>
      <c r="J670" s="86"/>
      <c r="K670" s="155"/>
      <c r="L670" s="85"/>
      <c r="M670" s="143"/>
      <c r="N670" s="88"/>
      <c r="O670" s="141"/>
      <c r="P670" s="31"/>
      <c r="Q670" s="88"/>
      <c r="R670" s="88"/>
      <c r="S670" s="88"/>
      <c r="T670" s="54"/>
      <c r="U670" s="54"/>
      <c r="V670" s="88"/>
    </row>
    <row r="671" spans="1:22" s="168" customFormat="1" ht="22.500000" customHeight="1">
      <c r="A671" s="34">
        <v>669</v>
      </c>
      <c r="B671" s="34"/>
      <c r="C671" s="34"/>
      <c r="D671" s="34"/>
      <c r="E671" s="34"/>
      <c r="F671" s="85"/>
      <c r="G671" s="159"/>
      <c r="H671" s="155"/>
      <c r="I671" s="86"/>
      <c r="J671" s="86"/>
      <c r="K671" s="155"/>
      <c r="L671" s="85"/>
      <c r="M671" s="142"/>
      <c r="N671" s="88"/>
      <c r="O671" s="141"/>
      <c r="P671" s="31"/>
      <c r="Q671" s="88"/>
      <c r="R671" s="88"/>
      <c r="S671" s="88"/>
      <c r="T671" s="54"/>
      <c r="U671" s="54"/>
      <c r="V671" s="88"/>
    </row>
    <row r="672" spans="1:22" s="168" customFormat="1" ht="22.500000" customHeight="1">
      <c r="A672" s="34">
        <v>670</v>
      </c>
      <c r="B672" s="34"/>
      <c r="C672" s="34"/>
      <c r="D672" s="34"/>
      <c r="E672" s="34"/>
      <c r="F672" s="85"/>
      <c r="G672" s="159"/>
      <c r="H672" s="155"/>
      <c r="I672" s="86"/>
      <c r="J672" s="86"/>
      <c r="K672" s="155"/>
      <c r="L672" s="85"/>
      <c r="M672" s="143"/>
      <c r="N672" s="88"/>
      <c r="O672" s="141"/>
      <c r="P672" s="31"/>
      <c r="Q672" s="88"/>
      <c r="R672" s="88"/>
      <c r="S672" s="88"/>
      <c r="T672" s="54"/>
      <c r="U672" s="54"/>
      <c r="V672" s="88"/>
    </row>
    <row r="673" spans="1:22" s="168" customFormat="1" ht="22.500000" customHeight="1">
      <c r="A673" s="34">
        <v>671</v>
      </c>
      <c r="B673" s="34"/>
      <c r="C673" s="34"/>
      <c r="D673" s="34"/>
      <c r="E673" s="34"/>
      <c r="F673" s="85"/>
      <c r="G673" s="159"/>
      <c r="H673" s="155"/>
      <c r="I673" s="86"/>
      <c r="J673" s="86"/>
      <c r="K673" s="155"/>
      <c r="L673" s="85"/>
      <c r="M673" s="142"/>
      <c r="N673" s="88"/>
      <c r="O673" s="141"/>
      <c r="P673" s="31"/>
      <c r="Q673" s="88"/>
      <c r="R673" s="88"/>
      <c r="S673" s="88"/>
      <c r="T673" s="54"/>
      <c r="U673" s="54"/>
      <c r="V673" s="88"/>
    </row>
    <row r="674" spans="1:22" s="168" customFormat="1" ht="22.500000" customHeight="1">
      <c r="A674" s="34">
        <v>672</v>
      </c>
      <c r="B674" s="34"/>
      <c r="C674" s="34"/>
      <c r="D674" s="34"/>
      <c r="E674" s="34"/>
      <c r="F674" s="85"/>
      <c r="G674" s="159"/>
      <c r="H674" s="155"/>
      <c r="I674" s="86"/>
      <c r="J674" s="86"/>
      <c r="K674" s="155"/>
      <c r="L674" s="85"/>
      <c r="M674" s="143"/>
      <c r="N674" s="88"/>
      <c r="O674" s="141"/>
      <c r="P674" s="31"/>
      <c r="Q674" s="88"/>
      <c r="R674" s="88"/>
      <c r="S674" s="88"/>
      <c r="T674" s="54"/>
      <c r="U674" s="54"/>
      <c r="V674" s="88"/>
    </row>
    <row r="675" spans="1:22" s="168" customFormat="1" ht="22.500000" customHeight="1">
      <c r="A675" s="34">
        <v>673</v>
      </c>
      <c r="B675" s="34"/>
      <c r="C675" s="34"/>
      <c r="D675" s="34"/>
      <c r="E675" s="34"/>
      <c r="F675" s="85"/>
      <c r="G675" s="159"/>
      <c r="H675" s="155"/>
      <c r="I675" s="86"/>
      <c r="J675" s="86"/>
      <c r="K675" s="155"/>
      <c r="L675" s="85"/>
      <c r="M675" s="142"/>
      <c r="N675" s="88"/>
      <c r="O675" s="141"/>
      <c r="P675" s="31"/>
      <c r="Q675" s="88"/>
      <c r="R675" s="88"/>
      <c r="S675" s="88"/>
      <c r="T675" s="54"/>
      <c r="U675" s="54"/>
      <c r="V675" s="88"/>
    </row>
    <row r="676" spans="1:22" s="168" customFormat="1" ht="22.500000" customHeight="1">
      <c r="A676" s="34">
        <v>674</v>
      </c>
      <c r="B676" s="34"/>
      <c r="C676" s="34"/>
      <c r="D676" s="34"/>
      <c r="E676" s="34"/>
      <c r="F676" s="85"/>
      <c r="G676" s="159"/>
      <c r="H676" s="155"/>
      <c r="I676" s="86"/>
      <c r="J676" s="86"/>
      <c r="K676" s="155"/>
      <c r="L676" s="85"/>
      <c r="M676" s="143"/>
      <c r="N676" s="88"/>
      <c r="O676" s="141"/>
      <c r="P676" s="31"/>
      <c r="Q676" s="88"/>
      <c r="R676" s="88"/>
      <c r="S676" s="88"/>
      <c r="T676" s="54"/>
      <c r="U676" s="54"/>
      <c r="V676" s="88"/>
    </row>
    <row r="677" spans="1:22" s="168" customFormat="1" ht="22.500000" customHeight="1">
      <c r="A677" s="34">
        <v>675</v>
      </c>
      <c r="B677" s="34"/>
      <c r="C677" s="34"/>
      <c r="D677" s="34"/>
      <c r="E677" s="34"/>
      <c r="F677" s="85"/>
      <c r="G677" s="159"/>
      <c r="H677" s="155"/>
      <c r="I677" s="86"/>
      <c r="J677" s="86"/>
      <c r="K677" s="155"/>
      <c r="L677" s="85"/>
      <c r="M677" s="142"/>
      <c r="N677" s="88"/>
      <c r="O677" s="141"/>
      <c r="P677" s="31"/>
      <c r="Q677" s="88"/>
      <c r="R677" s="88"/>
      <c r="S677" s="88"/>
      <c r="T677" s="54"/>
      <c r="U677" s="54"/>
      <c r="V677" s="88"/>
    </row>
    <row r="678" spans="1:22" s="168" customFormat="1" ht="22.500000" customHeight="1">
      <c r="A678" s="34">
        <v>676</v>
      </c>
      <c r="B678" s="34"/>
      <c r="C678" s="34"/>
      <c r="D678" s="34"/>
      <c r="E678" s="34"/>
      <c r="F678" s="85"/>
      <c r="G678" s="159"/>
      <c r="H678" s="155"/>
      <c r="I678" s="86"/>
      <c r="J678" s="86"/>
      <c r="K678" s="155"/>
      <c r="L678" s="85"/>
      <c r="M678" s="143"/>
      <c r="N678" s="88"/>
      <c r="O678" s="141"/>
      <c r="P678" s="31"/>
      <c r="Q678" s="88"/>
      <c r="R678" s="88"/>
      <c r="S678" s="88"/>
      <c r="T678" s="54"/>
      <c r="U678" s="54"/>
      <c r="V678" s="88"/>
    </row>
    <row r="679" spans="1:22" s="168" customFormat="1" ht="22.500000" customHeight="1">
      <c r="A679" s="34">
        <v>677</v>
      </c>
      <c r="B679" s="34"/>
      <c r="C679" s="34"/>
      <c r="D679" s="34"/>
      <c r="E679" s="34"/>
      <c r="F679" s="85"/>
      <c r="G679" s="159"/>
      <c r="H679" s="155"/>
      <c r="I679" s="86"/>
      <c r="J679" s="86"/>
      <c r="K679" s="155"/>
      <c r="L679" s="85"/>
      <c r="M679" s="142"/>
      <c r="N679" s="88"/>
      <c r="O679" s="141"/>
      <c r="P679" s="31"/>
      <c r="Q679" s="88"/>
      <c r="R679" s="88"/>
      <c r="S679" s="88"/>
      <c r="T679" s="54"/>
      <c r="U679" s="54"/>
      <c r="V679" s="88"/>
    </row>
    <row r="680" spans="1:22" s="168" customFormat="1" ht="22.500000" customHeight="1">
      <c r="A680" s="34">
        <v>678</v>
      </c>
      <c r="B680" s="34"/>
      <c r="C680" s="34"/>
      <c r="D680" s="34"/>
      <c r="E680" s="34"/>
      <c r="F680" s="85"/>
      <c r="G680" s="159"/>
      <c r="H680" s="155"/>
      <c r="I680" s="86"/>
      <c r="J680" s="86"/>
      <c r="K680" s="155"/>
      <c r="L680" s="85"/>
      <c r="M680" s="143"/>
      <c r="N680" s="88"/>
      <c r="O680" s="141"/>
      <c r="P680" s="31"/>
      <c r="Q680" s="88"/>
      <c r="R680" s="88"/>
      <c r="S680" s="88"/>
      <c r="T680" s="54"/>
      <c r="U680" s="54"/>
      <c r="V680" s="88"/>
    </row>
    <row r="681" spans="1:22" s="168" customFormat="1" ht="22.500000" customHeight="1">
      <c r="A681" s="34">
        <v>679</v>
      </c>
      <c r="B681" s="34"/>
      <c r="C681" s="34"/>
      <c r="D681" s="34"/>
      <c r="E681" s="34"/>
      <c r="F681" s="85"/>
      <c r="G681" s="159"/>
      <c r="H681" s="155"/>
      <c r="I681" s="86"/>
      <c r="J681" s="86"/>
      <c r="K681" s="155"/>
      <c r="L681" s="85"/>
      <c r="M681" s="142"/>
      <c r="N681" s="88"/>
      <c r="O681" s="141"/>
      <c r="P681" s="31"/>
      <c r="Q681" s="88"/>
      <c r="R681" s="88"/>
      <c r="S681" s="88"/>
      <c r="T681" s="54"/>
      <c r="U681" s="54"/>
      <c r="V681" s="88"/>
    </row>
    <row r="682" spans="1:22" s="168" customFormat="1" ht="22.500000" customHeight="1">
      <c r="A682" s="34">
        <v>680</v>
      </c>
      <c r="B682" s="34"/>
      <c r="C682" s="34"/>
      <c r="D682" s="34"/>
      <c r="E682" s="34"/>
      <c r="F682" s="85"/>
      <c r="G682" s="159"/>
      <c r="H682" s="155"/>
      <c r="I682" s="86"/>
      <c r="J682" s="86"/>
      <c r="K682" s="155"/>
      <c r="L682" s="85"/>
      <c r="M682" s="143"/>
      <c r="N682" s="88"/>
      <c r="O682" s="141"/>
      <c r="P682" s="31"/>
      <c r="Q682" s="88"/>
      <c r="R682" s="88"/>
      <c r="S682" s="88"/>
      <c r="T682" s="54"/>
      <c r="U682" s="54"/>
      <c r="V682" s="88"/>
    </row>
    <row r="683" spans="1:22" s="168" customFormat="1" ht="22.500000" customHeight="1">
      <c r="A683" s="34">
        <v>681</v>
      </c>
      <c r="B683" s="34"/>
      <c r="C683" s="34"/>
      <c r="D683" s="34"/>
      <c r="E683" s="34"/>
      <c r="F683" s="85"/>
      <c r="G683" s="159"/>
      <c r="H683" s="155"/>
      <c r="I683" s="86"/>
      <c r="J683" s="86"/>
      <c r="K683" s="155"/>
      <c r="L683" s="85"/>
      <c r="M683" s="142"/>
      <c r="N683" s="88"/>
      <c r="O683" s="141"/>
      <c r="P683" s="31"/>
      <c r="Q683" s="88"/>
      <c r="R683" s="88"/>
      <c r="S683" s="88"/>
      <c r="T683" s="54"/>
      <c r="U683" s="54"/>
      <c r="V683" s="88"/>
    </row>
    <row r="684" spans="1:22" s="168" customFormat="1" ht="22.500000" customHeight="1">
      <c r="A684" s="34">
        <v>682</v>
      </c>
      <c r="B684" s="34"/>
      <c r="C684" s="34"/>
      <c r="D684" s="34"/>
      <c r="E684" s="34"/>
      <c r="F684" s="85"/>
      <c r="G684" s="159"/>
      <c r="H684" s="155"/>
      <c r="I684" s="86"/>
      <c r="J684" s="86"/>
      <c r="K684" s="155"/>
      <c r="L684" s="85"/>
      <c r="M684" s="143"/>
      <c r="N684" s="88"/>
      <c r="O684" s="141"/>
      <c r="P684" s="31"/>
      <c r="Q684" s="88"/>
      <c r="R684" s="88"/>
      <c r="S684" s="88"/>
      <c r="T684" s="54"/>
      <c r="U684" s="54"/>
      <c r="V684" s="88"/>
    </row>
    <row r="685" spans="1:22" s="168" customFormat="1" ht="22.500000" customHeight="1">
      <c r="A685" s="34">
        <v>683</v>
      </c>
      <c r="B685" s="34"/>
      <c r="C685" s="34"/>
      <c r="D685" s="34"/>
      <c r="E685" s="34"/>
      <c r="F685" s="85"/>
      <c r="G685" s="159"/>
      <c r="H685" s="155"/>
      <c r="I685" s="86"/>
      <c r="J685" s="86"/>
      <c r="K685" s="155"/>
      <c r="L685" s="85"/>
      <c r="M685" s="142"/>
      <c r="N685" s="88"/>
      <c r="O685" s="141"/>
      <c r="P685" s="31"/>
      <c r="Q685" s="88"/>
      <c r="R685" s="88"/>
      <c r="S685" s="88"/>
      <c r="T685" s="54"/>
      <c r="U685" s="54"/>
      <c r="V685" s="88"/>
    </row>
    <row r="686" spans="1:22" s="168" customFormat="1" ht="22.500000" customHeight="1">
      <c r="A686" s="34">
        <v>684</v>
      </c>
      <c r="B686" s="34"/>
      <c r="C686" s="34"/>
      <c r="D686" s="34"/>
      <c r="E686" s="34"/>
      <c r="F686" s="85"/>
      <c r="G686" s="159"/>
      <c r="H686" s="155"/>
      <c r="I686" s="86"/>
      <c r="J686" s="86"/>
      <c r="K686" s="155"/>
      <c r="L686" s="85"/>
      <c r="M686" s="143"/>
      <c r="N686" s="88"/>
      <c r="O686" s="141"/>
      <c r="P686" s="31"/>
      <c r="Q686" s="88"/>
      <c r="R686" s="88"/>
      <c r="S686" s="88"/>
      <c r="T686" s="54"/>
      <c r="U686" s="54"/>
      <c r="V686" s="88"/>
    </row>
    <row r="687" spans="1:22" s="168" customFormat="1" ht="22.500000" customHeight="1">
      <c r="A687" s="34">
        <v>685</v>
      </c>
      <c r="B687" s="34"/>
      <c r="C687" s="34"/>
      <c r="D687" s="34"/>
      <c r="E687" s="34"/>
      <c r="F687" s="85"/>
      <c r="G687" s="159"/>
      <c r="H687" s="155"/>
      <c r="I687" s="86"/>
      <c r="J687" s="86"/>
      <c r="K687" s="155"/>
      <c r="L687" s="85"/>
      <c r="M687" s="142"/>
      <c r="N687" s="88"/>
      <c r="O687" s="141"/>
      <c r="P687" s="31"/>
      <c r="Q687" s="88"/>
      <c r="R687" s="88"/>
      <c r="S687" s="88"/>
      <c r="T687" s="54"/>
      <c r="U687" s="54"/>
      <c r="V687" s="88"/>
    </row>
    <row r="688" spans="1:22" s="168" customFormat="1" ht="22.500000" customHeight="1">
      <c r="A688" s="34">
        <v>686</v>
      </c>
      <c r="B688" s="34"/>
      <c r="C688" s="34"/>
      <c r="D688" s="34"/>
      <c r="E688" s="34"/>
      <c r="F688" s="85"/>
      <c r="G688" s="159"/>
      <c r="H688" s="155"/>
      <c r="I688" s="86"/>
      <c r="J688" s="86"/>
      <c r="K688" s="155"/>
      <c r="L688" s="85"/>
      <c r="M688" s="143"/>
      <c r="N688" s="88"/>
      <c r="O688" s="141"/>
      <c r="P688" s="31"/>
      <c r="Q688" s="88"/>
      <c r="R688" s="88"/>
      <c r="S688" s="88"/>
      <c r="T688" s="54"/>
      <c r="U688" s="54"/>
      <c r="V688" s="88"/>
    </row>
    <row r="689" spans="1:22" s="168" customFormat="1" ht="22.500000" customHeight="1">
      <c r="A689" s="34">
        <v>687</v>
      </c>
      <c r="B689" s="34"/>
      <c r="C689" s="34"/>
      <c r="D689" s="34"/>
      <c r="E689" s="34"/>
      <c r="F689" s="85"/>
      <c r="G689" s="159"/>
      <c r="H689" s="155"/>
      <c r="I689" s="86"/>
      <c r="J689" s="86"/>
      <c r="K689" s="155"/>
      <c r="L689" s="85"/>
      <c r="M689" s="142"/>
      <c r="N689" s="88"/>
      <c r="O689" s="141"/>
      <c r="P689" s="31"/>
      <c r="Q689" s="88"/>
      <c r="R689" s="88"/>
      <c r="S689" s="88"/>
      <c r="T689" s="54"/>
      <c r="U689" s="54"/>
      <c r="V689" s="88"/>
    </row>
    <row r="690" spans="1:22" s="168" customFormat="1" ht="22.500000" customHeight="1">
      <c r="A690" s="34">
        <v>688</v>
      </c>
      <c r="B690" s="34"/>
      <c r="C690" s="34"/>
      <c r="D690" s="34"/>
      <c r="E690" s="34"/>
      <c r="F690" s="85"/>
      <c r="G690" s="159"/>
      <c r="H690" s="155"/>
      <c r="I690" s="86"/>
      <c r="J690" s="86"/>
      <c r="K690" s="155"/>
      <c r="L690" s="85"/>
      <c r="M690" s="143"/>
      <c r="N690" s="88"/>
      <c r="O690" s="141"/>
      <c r="P690" s="31"/>
      <c r="Q690" s="88"/>
      <c r="R690" s="88"/>
      <c r="S690" s="88"/>
      <c r="T690" s="54"/>
      <c r="U690" s="54"/>
      <c r="V690" s="88"/>
    </row>
    <row r="691" spans="1:22" s="168" customFormat="1" ht="22.500000" customHeight="1">
      <c r="A691" s="34">
        <v>689</v>
      </c>
      <c r="B691" s="34"/>
      <c r="C691" s="34"/>
      <c r="D691" s="34"/>
      <c r="E691" s="34"/>
      <c r="F691" s="85"/>
      <c r="G691" s="159"/>
      <c r="H691" s="155"/>
      <c r="I691" s="86"/>
      <c r="J691" s="86"/>
      <c r="K691" s="155"/>
      <c r="L691" s="85"/>
      <c r="M691" s="142"/>
      <c r="N691" s="88"/>
      <c r="O691" s="141"/>
      <c r="P691" s="31"/>
      <c r="Q691" s="88"/>
      <c r="R691" s="88"/>
      <c r="S691" s="88"/>
      <c r="T691" s="54"/>
      <c r="U691" s="54"/>
      <c r="V691" s="88"/>
    </row>
    <row r="692" spans="1:22" s="168" customFormat="1" ht="22.500000" customHeight="1">
      <c r="A692" s="34">
        <v>690</v>
      </c>
      <c r="B692" s="34"/>
      <c r="C692" s="34"/>
      <c r="D692" s="34"/>
      <c r="E692" s="34"/>
      <c r="F692" s="85"/>
      <c r="G692" s="159"/>
      <c r="H692" s="155"/>
      <c r="I692" s="86"/>
      <c r="J692" s="86"/>
      <c r="K692" s="155"/>
      <c r="L692" s="85"/>
      <c r="M692" s="143"/>
      <c r="N692" s="88"/>
      <c r="O692" s="141"/>
      <c r="P692" s="31"/>
      <c r="Q692" s="88"/>
      <c r="R692" s="88"/>
      <c r="S692" s="88"/>
      <c r="T692" s="54"/>
      <c r="U692" s="54"/>
      <c r="V692" s="88"/>
    </row>
    <row r="693" spans="1:22" s="168" customFormat="1" ht="22.500000" customHeight="1">
      <c r="A693" s="34">
        <v>691</v>
      </c>
      <c r="B693" s="34"/>
      <c r="C693" s="34"/>
      <c r="D693" s="34"/>
      <c r="E693" s="34"/>
      <c r="F693" s="85"/>
      <c r="G693" s="159"/>
      <c r="H693" s="155"/>
      <c r="I693" s="86"/>
      <c r="J693" s="86"/>
      <c r="K693" s="155"/>
      <c r="L693" s="85"/>
      <c r="M693" s="142"/>
      <c r="N693" s="88"/>
      <c r="O693" s="141"/>
      <c r="P693" s="31"/>
      <c r="Q693" s="88"/>
      <c r="R693" s="88"/>
      <c r="S693" s="88"/>
      <c r="T693" s="54"/>
      <c r="U693" s="54"/>
      <c r="V693" s="88"/>
    </row>
    <row r="694" spans="1:22" s="168" customFormat="1" ht="22.500000" customHeight="1">
      <c r="A694" s="34">
        <v>692</v>
      </c>
      <c r="B694" s="34"/>
      <c r="C694" s="34"/>
      <c r="D694" s="34"/>
      <c r="E694" s="34"/>
      <c r="F694" s="85"/>
      <c r="G694" s="159"/>
      <c r="H694" s="155"/>
      <c r="I694" s="86"/>
      <c r="J694" s="86"/>
      <c r="K694" s="155"/>
      <c r="L694" s="85"/>
      <c r="M694" s="143"/>
      <c r="N694" s="88"/>
      <c r="O694" s="141"/>
      <c r="P694" s="31"/>
      <c r="Q694" s="88"/>
      <c r="R694" s="88"/>
      <c r="S694" s="88"/>
      <c r="T694" s="54"/>
      <c r="U694" s="54"/>
      <c r="V694" s="88"/>
    </row>
    <row r="695" spans="1:22" s="168" customFormat="1" ht="22.500000" customHeight="1">
      <c r="A695" s="34">
        <v>693</v>
      </c>
      <c r="B695" s="34"/>
      <c r="C695" s="34"/>
      <c r="D695" s="34"/>
      <c r="E695" s="34"/>
      <c r="F695" s="85"/>
      <c r="G695" s="159"/>
      <c r="H695" s="155"/>
      <c r="I695" s="86"/>
      <c r="J695" s="86"/>
      <c r="K695" s="155"/>
      <c r="L695" s="85"/>
      <c r="M695" s="142"/>
      <c r="N695" s="88"/>
      <c r="O695" s="141"/>
      <c r="P695" s="31"/>
      <c r="Q695" s="88"/>
      <c r="R695" s="88"/>
      <c r="S695" s="88"/>
      <c r="T695" s="54"/>
      <c r="U695" s="54"/>
      <c r="V695" s="88"/>
    </row>
    <row r="696" spans="1:22" s="168" customFormat="1" ht="22.500000" customHeight="1">
      <c r="A696" s="34">
        <v>694</v>
      </c>
      <c r="B696" s="34"/>
      <c r="C696" s="34"/>
      <c r="D696" s="34"/>
      <c r="E696" s="34"/>
      <c r="F696" s="85"/>
      <c r="G696" s="159"/>
      <c r="H696" s="155"/>
      <c r="I696" s="86"/>
      <c r="J696" s="86"/>
      <c r="K696" s="155"/>
      <c r="L696" s="85"/>
      <c r="M696" s="143"/>
      <c r="N696" s="88"/>
      <c r="O696" s="141"/>
      <c r="P696" s="31"/>
      <c r="Q696" s="88"/>
      <c r="R696" s="88"/>
      <c r="S696" s="88"/>
      <c r="T696" s="54"/>
      <c r="U696" s="54"/>
      <c r="V696" s="88"/>
    </row>
    <row r="697" spans="1:22" s="168" customFormat="1" ht="22.500000" customHeight="1">
      <c r="A697" s="34">
        <v>695</v>
      </c>
      <c r="B697" s="34"/>
      <c r="C697" s="34"/>
      <c r="D697" s="34"/>
      <c r="E697" s="34"/>
      <c r="F697" s="85"/>
      <c r="G697" s="159"/>
      <c r="H697" s="155"/>
      <c r="I697" s="86"/>
      <c r="J697" s="86"/>
      <c r="K697" s="155"/>
      <c r="L697" s="85"/>
      <c r="M697" s="142"/>
      <c r="N697" s="88"/>
      <c r="O697" s="141"/>
      <c r="P697" s="31"/>
      <c r="Q697" s="88"/>
      <c r="R697" s="88"/>
      <c r="S697" s="88"/>
      <c r="T697" s="54"/>
      <c r="U697" s="54"/>
      <c r="V697" s="88"/>
    </row>
    <row r="698" spans="1:22" s="168" customFormat="1" ht="22.500000" customHeight="1">
      <c r="A698" s="34">
        <v>696</v>
      </c>
      <c r="B698" s="34"/>
      <c r="C698" s="34"/>
      <c r="D698" s="34"/>
      <c r="E698" s="34"/>
      <c r="F698" s="85"/>
      <c r="G698" s="159"/>
      <c r="H698" s="155"/>
      <c r="I698" s="86"/>
      <c r="J698" s="86"/>
      <c r="K698" s="155"/>
      <c r="L698" s="85"/>
      <c r="M698" s="143"/>
      <c r="N698" s="88"/>
      <c r="O698" s="141"/>
      <c r="P698" s="31"/>
      <c r="Q698" s="88"/>
      <c r="R698" s="88"/>
      <c r="S698" s="88"/>
      <c r="T698" s="54"/>
      <c r="U698" s="54"/>
      <c r="V698" s="88"/>
    </row>
    <row r="699" spans="1:22" s="168" customFormat="1" ht="22.500000" customHeight="1">
      <c r="A699" s="34">
        <v>697</v>
      </c>
      <c r="B699" s="34"/>
      <c r="C699" s="34"/>
      <c r="D699" s="34"/>
      <c r="E699" s="34"/>
      <c r="F699" s="85"/>
      <c r="G699" s="159"/>
      <c r="H699" s="155"/>
      <c r="I699" s="86"/>
      <c r="J699" s="86"/>
      <c r="K699" s="155"/>
      <c r="L699" s="85"/>
      <c r="M699" s="142"/>
      <c r="N699" s="88"/>
      <c r="O699" s="141"/>
      <c r="P699" s="31"/>
      <c r="Q699" s="88"/>
      <c r="R699" s="88"/>
      <c r="S699" s="88"/>
      <c r="T699" s="54"/>
      <c r="U699" s="54"/>
      <c r="V699" s="88"/>
    </row>
    <row r="700" spans="1:22" s="168" customFormat="1" ht="22.500000" customHeight="1">
      <c r="A700" s="34">
        <v>698</v>
      </c>
      <c r="B700" s="34"/>
      <c r="C700" s="34"/>
      <c r="D700" s="34"/>
      <c r="E700" s="34"/>
      <c r="F700" s="85"/>
      <c r="G700" s="159"/>
      <c r="H700" s="155"/>
      <c r="I700" s="86"/>
      <c r="J700" s="86"/>
      <c r="K700" s="155"/>
      <c r="L700" s="85"/>
      <c r="M700" s="143"/>
      <c r="N700" s="88"/>
      <c r="O700" s="141"/>
      <c r="P700" s="31"/>
      <c r="Q700" s="88"/>
      <c r="R700" s="88"/>
      <c r="S700" s="88"/>
      <c r="T700" s="54"/>
      <c r="U700" s="54"/>
      <c r="V700" s="88"/>
    </row>
    <row r="701" spans="1:22" s="168" customFormat="1" ht="22.500000" customHeight="1">
      <c r="A701" s="34">
        <v>699</v>
      </c>
      <c r="B701" s="34"/>
      <c r="C701" s="34"/>
      <c r="D701" s="34"/>
      <c r="E701" s="34"/>
      <c r="F701" s="85"/>
      <c r="G701" s="159"/>
      <c r="H701" s="155"/>
      <c r="I701" s="86"/>
      <c r="J701" s="86"/>
      <c r="K701" s="155"/>
      <c r="L701" s="85"/>
      <c r="M701" s="142"/>
      <c r="N701" s="88"/>
      <c r="O701" s="141"/>
      <c r="P701" s="31"/>
      <c r="Q701" s="88"/>
      <c r="R701" s="88"/>
      <c r="S701" s="88"/>
      <c r="T701" s="54"/>
      <c r="U701" s="54"/>
      <c r="V701" s="88"/>
    </row>
    <row r="702" spans="1:22" s="168" customFormat="1" ht="22.500000" customHeight="1">
      <c r="A702" s="34">
        <v>700</v>
      </c>
      <c r="B702" s="34"/>
      <c r="C702" s="34"/>
      <c r="D702" s="34"/>
      <c r="E702" s="34"/>
      <c r="F702" s="85"/>
      <c r="G702" s="159"/>
      <c r="H702" s="155"/>
      <c r="I702" s="86"/>
      <c r="J702" s="86"/>
      <c r="K702" s="155"/>
      <c r="L702" s="85"/>
      <c r="M702" s="143"/>
      <c r="N702" s="88"/>
      <c r="O702" s="141"/>
      <c r="P702" s="31"/>
      <c r="Q702" s="88"/>
      <c r="R702" s="88"/>
      <c r="S702" s="88"/>
      <c r="T702" s="54"/>
      <c r="U702" s="54"/>
      <c r="V702" s="88"/>
    </row>
    <row r="703" spans="1:22" s="168" customFormat="1" ht="22.500000" customHeight="1">
      <c r="A703" s="34">
        <v>701</v>
      </c>
      <c r="B703" s="34"/>
      <c r="C703" s="34"/>
      <c r="D703" s="34"/>
      <c r="E703" s="34"/>
      <c r="F703" s="85"/>
      <c r="G703" s="159"/>
      <c r="H703" s="155"/>
      <c r="I703" s="86"/>
      <c r="J703" s="86"/>
      <c r="K703" s="155"/>
      <c r="L703" s="85"/>
      <c r="M703" s="142"/>
      <c r="N703" s="88"/>
      <c r="O703" s="141"/>
      <c r="P703" s="31"/>
      <c r="Q703" s="88"/>
      <c r="R703" s="88"/>
      <c r="S703" s="88"/>
      <c r="T703" s="54"/>
      <c r="U703" s="54"/>
      <c r="V703" s="88"/>
    </row>
    <row r="704" spans="1:22" s="168" customFormat="1" ht="22.500000" customHeight="1">
      <c r="A704" s="34">
        <v>702</v>
      </c>
      <c r="B704" s="34"/>
      <c r="C704" s="34"/>
      <c r="D704" s="34"/>
      <c r="E704" s="34"/>
      <c r="F704" s="85"/>
      <c r="G704" s="159"/>
      <c r="H704" s="155"/>
      <c r="I704" s="86"/>
      <c r="J704" s="86"/>
      <c r="K704" s="155"/>
      <c r="L704" s="85"/>
      <c r="M704" s="143"/>
      <c r="N704" s="88"/>
      <c r="O704" s="141"/>
      <c r="P704" s="31"/>
      <c r="Q704" s="88"/>
      <c r="R704" s="88"/>
      <c r="S704" s="88"/>
      <c r="T704" s="54"/>
      <c r="U704" s="54"/>
      <c r="V704" s="88"/>
    </row>
    <row r="705" spans="1:22" s="168" customFormat="1" ht="22.500000" customHeight="1">
      <c r="A705" s="34">
        <v>703</v>
      </c>
      <c r="B705" s="34"/>
      <c r="C705" s="34"/>
      <c r="D705" s="34"/>
      <c r="E705" s="34"/>
      <c r="F705" s="85"/>
      <c r="G705" s="159"/>
      <c r="H705" s="155"/>
      <c r="I705" s="86"/>
      <c r="J705" s="86"/>
      <c r="K705" s="155"/>
      <c r="L705" s="85"/>
      <c r="M705" s="142"/>
      <c r="N705" s="88"/>
      <c r="O705" s="141"/>
      <c r="P705" s="31"/>
      <c r="Q705" s="88"/>
      <c r="R705" s="88"/>
      <c r="S705" s="88"/>
      <c r="T705" s="54"/>
      <c r="U705" s="54"/>
      <c r="V705" s="88"/>
    </row>
    <row r="706" spans="1:22" s="168" customFormat="1" ht="22.500000" customHeight="1">
      <c r="A706" s="34">
        <v>704</v>
      </c>
      <c r="B706" s="34"/>
      <c r="C706" s="34"/>
      <c r="D706" s="34"/>
      <c r="E706" s="34"/>
      <c r="F706" s="85"/>
      <c r="G706" s="159"/>
      <c r="H706" s="155"/>
      <c r="I706" s="86"/>
      <c r="J706" s="86"/>
      <c r="K706" s="155"/>
      <c r="L706" s="85"/>
      <c r="M706" s="143"/>
      <c r="N706" s="88"/>
      <c r="O706" s="141"/>
      <c r="P706" s="31"/>
      <c r="Q706" s="88"/>
      <c r="R706" s="88"/>
      <c r="S706" s="88"/>
      <c r="T706" s="54"/>
      <c r="U706" s="54"/>
      <c r="V706" s="88"/>
    </row>
    <row r="707" spans="1:22" s="168" customFormat="1" ht="22.500000" customHeight="1">
      <c r="A707" s="34">
        <v>705</v>
      </c>
      <c r="B707" s="34"/>
      <c r="C707" s="34"/>
      <c r="D707" s="34"/>
      <c r="E707" s="34"/>
      <c r="F707" s="85"/>
      <c r="G707" s="159"/>
      <c r="H707" s="155"/>
      <c r="I707" s="86"/>
      <c r="J707" s="86"/>
      <c r="K707" s="155"/>
      <c r="L707" s="85"/>
      <c r="M707" s="142"/>
      <c r="N707" s="88"/>
      <c r="O707" s="141"/>
      <c r="P707" s="31"/>
      <c r="Q707" s="88"/>
      <c r="R707" s="88"/>
      <c r="S707" s="88"/>
      <c r="T707" s="54"/>
      <c r="U707" s="54"/>
      <c r="V707" s="88"/>
    </row>
    <row r="708" spans="1:22" s="168" customFormat="1" ht="22.500000" customHeight="1">
      <c r="A708" s="34">
        <v>706</v>
      </c>
      <c r="B708" s="34"/>
      <c r="C708" s="34"/>
      <c r="D708" s="34"/>
      <c r="E708" s="34"/>
      <c r="F708" s="85"/>
      <c r="G708" s="159"/>
      <c r="H708" s="155"/>
      <c r="I708" s="86"/>
      <c r="J708" s="86"/>
      <c r="K708" s="155"/>
      <c r="L708" s="85"/>
      <c r="M708" s="143"/>
      <c r="N708" s="88"/>
      <c r="O708" s="141"/>
      <c r="P708" s="31"/>
      <c r="Q708" s="88"/>
      <c r="R708" s="88"/>
      <c r="S708" s="88"/>
      <c r="T708" s="54"/>
      <c r="U708" s="54"/>
      <c r="V708" s="88"/>
    </row>
    <row r="709" spans="1:22" s="168" customFormat="1" ht="22.500000" customHeight="1">
      <c r="A709" s="34">
        <v>707</v>
      </c>
      <c r="B709" s="34"/>
      <c r="C709" s="34"/>
      <c r="D709" s="34"/>
      <c r="E709" s="34"/>
      <c r="F709" s="85"/>
      <c r="G709" s="159"/>
      <c r="H709" s="155"/>
      <c r="I709" s="86"/>
      <c r="J709" s="86"/>
      <c r="K709" s="155"/>
      <c r="L709" s="85"/>
      <c r="M709" s="142"/>
      <c r="N709" s="88"/>
      <c r="O709" s="141"/>
      <c r="P709" s="31"/>
      <c r="Q709" s="88"/>
      <c r="R709" s="88"/>
      <c r="S709" s="88"/>
      <c r="T709" s="54"/>
      <c r="U709" s="54"/>
      <c r="V709" s="88"/>
    </row>
    <row r="710" spans="1:22" s="168" customFormat="1" ht="22.500000" customHeight="1">
      <c r="A710" s="34">
        <v>708</v>
      </c>
      <c r="B710" s="34"/>
      <c r="C710" s="34"/>
      <c r="D710" s="34"/>
      <c r="E710" s="34"/>
      <c r="F710" s="85"/>
      <c r="G710" s="159"/>
      <c r="H710" s="155"/>
      <c r="I710" s="86"/>
      <c r="J710" s="86"/>
      <c r="K710" s="155"/>
      <c r="L710" s="85"/>
      <c r="M710" s="143"/>
      <c r="N710" s="88"/>
      <c r="O710" s="141"/>
      <c r="P710" s="31"/>
      <c r="Q710" s="88"/>
      <c r="R710" s="88"/>
      <c r="S710" s="88"/>
      <c r="T710" s="54"/>
      <c r="U710" s="54"/>
      <c r="V710" s="88"/>
    </row>
    <row r="711" spans="1:22" s="168" customFormat="1" ht="22.500000" customHeight="1">
      <c r="A711" s="34">
        <v>709</v>
      </c>
      <c r="B711" s="34"/>
      <c r="C711" s="34"/>
      <c r="D711" s="34"/>
      <c r="E711" s="34"/>
      <c r="F711" s="85"/>
      <c r="G711" s="159"/>
      <c r="H711" s="155"/>
      <c r="I711" s="86"/>
      <c r="J711" s="86"/>
      <c r="K711" s="155"/>
      <c r="L711" s="85"/>
      <c r="M711" s="142"/>
      <c r="N711" s="88"/>
      <c r="O711" s="141"/>
      <c r="P711" s="31"/>
      <c r="Q711" s="88"/>
      <c r="R711" s="88"/>
      <c r="S711" s="88"/>
      <c r="T711" s="54"/>
      <c r="U711" s="54"/>
      <c r="V711" s="88"/>
    </row>
    <row r="712" spans="1:22" s="168" customFormat="1" ht="22.500000" customHeight="1">
      <c r="A712" s="34">
        <v>710</v>
      </c>
      <c r="B712" s="34"/>
      <c r="C712" s="34"/>
      <c r="D712" s="34"/>
      <c r="E712" s="34"/>
      <c r="F712" s="85"/>
      <c r="G712" s="159"/>
      <c r="H712" s="155"/>
      <c r="I712" s="86"/>
      <c r="J712" s="86"/>
      <c r="K712" s="155"/>
      <c r="L712" s="85"/>
      <c r="M712" s="143"/>
      <c r="N712" s="88"/>
      <c r="O712" s="141"/>
      <c r="P712" s="31"/>
      <c r="Q712" s="88"/>
      <c r="R712" s="88"/>
      <c r="S712" s="88"/>
      <c r="T712" s="54"/>
      <c r="U712" s="54"/>
      <c r="V712" s="88"/>
    </row>
    <row r="713" spans="1:22" s="168" customFormat="1" ht="22.500000" customHeight="1">
      <c r="A713" s="34">
        <v>711</v>
      </c>
      <c r="B713" s="34"/>
      <c r="C713" s="34"/>
      <c r="D713" s="34"/>
      <c r="E713" s="34"/>
      <c r="F713" s="85"/>
      <c r="G713" s="159"/>
      <c r="H713" s="155"/>
      <c r="I713" s="86"/>
      <c r="J713" s="86"/>
      <c r="K713" s="155"/>
      <c r="L713" s="85"/>
      <c r="M713" s="142"/>
      <c r="N713" s="88"/>
      <c r="O713" s="141"/>
      <c r="P713" s="31"/>
      <c r="Q713" s="88"/>
      <c r="R713" s="88"/>
      <c r="S713" s="88"/>
      <c r="T713" s="54"/>
      <c r="U713" s="54"/>
      <c r="V713" s="88"/>
    </row>
    <row r="714" spans="1:22" s="168" customFormat="1" ht="22.500000" customHeight="1">
      <c r="A714" s="34">
        <v>712</v>
      </c>
      <c r="B714" s="34"/>
      <c r="C714" s="34"/>
      <c r="D714" s="34"/>
      <c r="E714" s="34"/>
      <c r="F714" s="85"/>
      <c r="G714" s="159"/>
      <c r="H714" s="155"/>
      <c r="I714" s="86"/>
      <c r="J714" s="86"/>
      <c r="K714" s="155"/>
      <c r="L714" s="85"/>
      <c r="M714" s="143"/>
      <c r="N714" s="88"/>
      <c r="O714" s="141"/>
      <c r="P714" s="31"/>
      <c r="Q714" s="88"/>
      <c r="R714" s="88"/>
      <c r="S714" s="88"/>
      <c r="T714" s="54"/>
      <c r="U714" s="54"/>
      <c r="V714" s="88"/>
    </row>
    <row r="715" spans="1:22" s="168" customFormat="1" ht="22.500000" customHeight="1">
      <c r="A715" s="34">
        <v>713</v>
      </c>
      <c r="B715" s="34"/>
      <c r="C715" s="34"/>
      <c r="D715" s="34"/>
      <c r="E715" s="34"/>
      <c r="F715" s="85"/>
      <c r="G715" s="159"/>
      <c r="H715" s="155"/>
      <c r="I715" s="86"/>
      <c r="J715" s="86"/>
      <c r="K715" s="155"/>
      <c r="L715" s="85"/>
      <c r="M715" s="142"/>
      <c r="N715" s="88"/>
      <c r="O715" s="141"/>
      <c r="P715" s="31"/>
      <c r="Q715" s="88"/>
      <c r="R715" s="88"/>
      <c r="S715" s="88"/>
      <c r="T715" s="54"/>
      <c r="U715" s="54"/>
      <c r="V715" s="88"/>
    </row>
    <row r="716" spans="1:22" s="168" customFormat="1" ht="22.500000" customHeight="1">
      <c r="A716" s="34">
        <v>714</v>
      </c>
      <c r="B716" s="34"/>
      <c r="C716" s="34"/>
      <c r="D716" s="34"/>
      <c r="E716" s="34"/>
      <c r="F716" s="85"/>
      <c r="G716" s="159"/>
      <c r="H716" s="155"/>
      <c r="I716" s="86"/>
      <c r="J716" s="86"/>
      <c r="K716" s="155"/>
      <c r="L716" s="85"/>
      <c r="M716" s="143"/>
      <c r="N716" s="88"/>
      <c r="O716" s="141"/>
      <c r="P716" s="31"/>
      <c r="Q716" s="88"/>
      <c r="R716" s="88"/>
      <c r="S716" s="88"/>
      <c r="T716" s="54"/>
      <c r="U716" s="54"/>
      <c r="V716" s="88"/>
    </row>
    <row r="717" spans="1:22" s="168" customFormat="1" ht="22.500000" customHeight="1">
      <c r="A717" s="34">
        <v>715</v>
      </c>
      <c r="B717" s="34"/>
      <c r="C717" s="34"/>
      <c r="D717" s="34"/>
      <c r="E717" s="34"/>
      <c r="F717" s="85"/>
      <c r="G717" s="159"/>
      <c r="H717" s="155"/>
      <c r="I717" s="86"/>
      <c r="J717" s="86"/>
      <c r="K717" s="155"/>
      <c r="L717" s="85"/>
      <c r="M717" s="142"/>
      <c r="N717" s="88"/>
      <c r="O717" s="141"/>
      <c r="P717" s="31"/>
      <c r="Q717" s="88"/>
      <c r="R717" s="88"/>
      <c r="S717" s="88"/>
      <c r="T717" s="54"/>
      <c r="U717" s="54"/>
      <c r="V717" s="88"/>
    </row>
    <row r="718" spans="1:22" s="168" customFormat="1" ht="22.500000" customHeight="1">
      <c r="A718" s="34">
        <v>716</v>
      </c>
      <c r="B718" s="34"/>
      <c r="C718" s="34"/>
      <c r="D718" s="34"/>
      <c r="E718" s="34"/>
      <c r="F718" s="85"/>
      <c r="G718" s="159"/>
      <c r="H718" s="155"/>
      <c r="I718" s="86"/>
      <c r="J718" s="86"/>
      <c r="K718" s="155"/>
      <c r="L718" s="85"/>
      <c r="M718" s="143"/>
      <c r="N718" s="88"/>
      <c r="O718" s="141"/>
      <c r="P718" s="31"/>
      <c r="Q718" s="88"/>
      <c r="R718" s="88"/>
      <c r="S718" s="88"/>
      <c r="T718" s="54"/>
      <c r="U718" s="54"/>
      <c r="V718" s="88"/>
    </row>
    <row r="719" spans="1:22" s="168" customFormat="1" ht="22.500000" customHeight="1">
      <c r="A719" s="34">
        <v>717</v>
      </c>
      <c r="B719" s="34"/>
      <c r="C719" s="34"/>
      <c r="D719" s="34"/>
      <c r="E719" s="34"/>
      <c r="F719" s="85"/>
      <c r="G719" s="159"/>
      <c r="H719" s="155"/>
      <c r="I719" s="86"/>
      <c r="J719" s="86"/>
      <c r="K719" s="155"/>
      <c r="L719" s="85"/>
      <c r="M719" s="142"/>
      <c r="N719" s="88"/>
      <c r="O719" s="141"/>
      <c r="P719" s="31"/>
      <c r="Q719" s="88"/>
      <c r="R719" s="88"/>
      <c r="S719" s="88"/>
      <c r="T719" s="54"/>
      <c r="U719" s="54"/>
      <c r="V719" s="88"/>
    </row>
    <row r="720" spans="1:22" s="168" customFormat="1" ht="22.500000" customHeight="1">
      <c r="A720" s="34">
        <v>718</v>
      </c>
      <c r="B720" s="34"/>
      <c r="C720" s="34"/>
      <c r="D720" s="34"/>
      <c r="E720" s="34"/>
      <c r="F720" s="85"/>
      <c r="G720" s="159"/>
      <c r="H720" s="155"/>
      <c r="I720" s="86"/>
      <c r="J720" s="86"/>
      <c r="K720" s="155"/>
      <c r="L720" s="85"/>
      <c r="M720" s="143"/>
      <c r="N720" s="88"/>
      <c r="O720" s="141"/>
      <c r="P720" s="31"/>
      <c r="Q720" s="88"/>
      <c r="R720" s="88"/>
      <c r="S720" s="88"/>
      <c r="T720" s="54"/>
      <c r="U720" s="54"/>
      <c r="V720" s="88"/>
    </row>
    <row r="721" spans="1:22" s="168" customFormat="1" ht="22.500000" customHeight="1">
      <c r="A721" s="34">
        <v>719</v>
      </c>
      <c r="B721" s="34"/>
      <c r="C721" s="34"/>
      <c r="D721" s="34"/>
      <c r="E721" s="34"/>
      <c r="F721" s="85"/>
      <c r="G721" s="159"/>
      <c r="H721" s="155"/>
      <c r="I721" s="86"/>
      <c r="J721" s="86"/>
      <c r="K721" s="155"/>
      <c r="L721" s="85"/>
      <c r="M721" s="142"/>
      <c r="N721" s="88"/>
      <c r="O721" s="141"/>
      <c r="P721" s="31"/>
      <c r="Q721" s="88"/>
      <c r="R721" s="88"/>
      <c r="S721" s="88"/>
      <c r="T721" s="54"/>
      <c r="U721" s="54"/>
      <c r="V721" s="88"/>
    </row>
    <row r="722" spans="1:22" s="168" customFormat="1" ht="22.500000" customHeight="1">
      <c r="A722" s="34">
        <v>720</v>
      </c>
      <c r="B722" s="34"/>
      <c r="C722" s="34"/>
      <c r="D722" s="34"/>
      <c r="E722" s="34"/>
      <c r="F722" s="85"/>
      <c r="G722" s="159"/>
      <c r="H722" s="155"/>
      <c r="I722" s="86"/>
      <c r="J722" s="86"/>
      <c r="K722" s="155"/>
      <c r="L722" s="85"/>
      <c r="M722" s="143"/>
      <c r="N722" s="88"/>
      <c r="O722" s="141"/>
      <c r="P722" s="31"/>
      <c r="Q722" s="88"/>
      <c r="R722" s="88"/>
      <c r="S722" s="88"/>
      <c r="T722" s="54"/>
      <c r="U722" s="54"/>
      <c r="V722" s="88"/>
    </row>
    <row r="723" spans="1:22" s="168" customFormat="1" ht="22.500000" customHeight="1">
      <c r="A723" s="34">
        <v>721</v>
      </c>
      <c r="B723" s="34"/>
      <c r="C723" s="34"/>
      <c r="D723" s="34"/>
      <c r="E723" s="34"/>
      <c r="F723" s="85"/>
      <c r="G723" s="159"/>
      <c r="H723" s="155"/>
      <c r="I723" s="86"/>
      <c r="J723" s="86"/>
      <c r="K723" s="155"/>
      <c r="L723" s="85"/>
      <c r="M723" s="142"/>
      <c r="N723" s="88"/>
      <c r="O723" s="141"/>
      <c r="P723" s="31"/>
      <c r="Q723" s="88"/>
      <c r="R723" s="88"/>
      <c r="S723" s="88"/>
      <c r="T723" s="54"/>
      <c r="U723" s="54"/>
      <c r="V723" s="88"/>
    </row>
    <row r="724" spans="1:22" s="168" customFormat="1" ht="22.500000" customHeight="1">
      <c r="A724" s="34">
        <v>722</v>
      </c>
      <c r="B724" s="34"/>
      <c r="C724" s="34"/>
      <c r="D724" s="34"/>
      <c r="E724" s="34"/>
      <c r="F724" s="85"/>
      <c r="G724" s="159"/>
      <c r="H724" s="155"/>
      <c r="I724" s="86"/>
      <c r="J724" s="86"/>
      <c r="K724" s="155"/>
      <c r="L724" s="85"/>
      <c r="M724" s="143"/>
      <c r="N724" s="88"/>
      <c r="O724" s="141"/>
      <c r="P724" s="31"/>
      <c r="Q724" s="88"/>
      <c r="R724" s="88"/>
      <c r="S724" s="88"/>
      <c r="T724" s="54"/>
      <c r="U724" s="54"/>
      <c r="V724" s="88"/>
    </row>
    <row r="725" spans="1:22" s="168" customFormat="1" ht="22.500000" customHeight="1">
      <c r="A725" s="34">
        <v>723</v>
      </c>
      <c r="B725" s="34"/>
      <c r="C725" s="34"/>
      <c r="D725" s="34"/>
      <c r="E725" s="34"/>
      <c r="F725" s="85"/>
      <c r="G725" s="159"/>
      <c r="H725" s="155"/>
      <c r="I725" s="86"/>
      <c r="J725" s="86"/>
      <c r="K725" s="155"/>
      <c r="L725" s="85"/>
      <c r="M725" s="142"/>
      <c r="N725" s="88"/>
      <c r="O725" s="141"/>
      <c r="P725" s="31"/>
      <c r="Q725" s="88"/>
      <c r="R725" s="88"/>
      <c r="S725" s="88"/>
      <c r="T725" s="54"/>
      <c r="U725" s="54"/>
      <c r="V725" s="88"/>
    </row>
    <row r="726" spans="1:22" s="168" customFormat="1" ht="22.500000" customHeight="1">
      <c r="A726" s="34">
        <v>724</v>
      </c>
      <c r="B726" s="34"/>
      <c r="C726" s="34"/>
      <c r="D726" s="34"/>
      <c r="E726" s="34"/>
      <c r="F726" s="85"/>
      <c r="G726" s="159"/>
      <c r="H726" s="155"/>
      <c r="I726" s="86"/>
      <c r="J726" s="86"/>
      <c r="K726" s="155"/>
      <c r="L726" s="85"/>
      <c r="M726" s="143"/>
      <c r="N726" s="88"/>
      <c r="O726" s="141"/>
      <c r="P726" s="31"/>
      <c r="Q726" s="88"/>
      <c r="R726" s="88"/>
      <c r="S726" s="88"/>
      <c r="T726" s="54"/>
      <c r="U726" s="54"/>
      <c r="V726" s="88"/>
    </row>
    <row r="727" spans="1:22" s="168" customFormat="1" ht="22.500000" customHeight="1">
      <c r="A727" s="34">
        <v>725</v>
      </c>
      <c r="B727" s="34"/>
      <c r="C727" s="34"/>
      <c r="D727" s="34"/>
      <c r="E727" s="34"/>
      <c r="F727" s="85"/>
      <c r="G727" s="159"/>
      <c r="H727" s="155"/>
      <c r="I727" s="86"/>
      <c r="J727" s="86"/>
      <c r="K727" s="155"/>
      <c r="L727" s="85"/>
      <c r="M727" s="142"/>
      <c r="N727" s="88"/>
      <c r="O727" s="141"/>
      <c r="P727" s="31"/>
      <c r="Q727" s="88"/>
      <c r="R727" s="88"/>
      <c r="S727" s="88"/>
      <c r="T727" s="54"/>
      <c r="U727" s="54"/>
      <c r="V727" s="88"/>
    </row>
    <row r="728" spans="1:22" s="168" customFormat="1" ht="22.500000" customHeight="1">
      <c r="A728" s="34">
        <v>726</v>
      </c>
      <c r="B728" s="34"/>
      <c r="C728" s="34"/>
      <c r="D728" s="34"/>
      <c r="E728" s="34"/>
      <c r="F728" s="85"/>
      <c r="G728" s="159"/>
      <c r="H728" s="155"/>
      <c r="I728" s="86"/>
      <c r="J728" s="86"/>
      <c r="K728" s="155"/>
      <c r="L728" s="85"/>
      <c r="M728" s="143"/>
      <c r="N728" s="88"/>
      <c r="O728" s="141"/>
      <c r="P728" s="31"/>
      <c r="Q728" s="88"/>
      <c r="R728" s="88"/>
      <c r="S728" s="88"/>
      <c r="T728" s="54"/>
      <c r="U728" s="54"/>
      <c r="V728" s="88"/>
    </row>
    <row r="729" spans="1:22" s="168" customFormat="1" ht="22.500000" customHeight="1">
      <c r="A729" s="34">
        <v>727</v>
      </c>
      <c r="B729" s="34"/>
      <c r="C729" s="34"/>
      <c r="D729" s="34"/>
      <c r="E729" s="34"/>
      <c r="F729" s="85"/>
      <c r="G729" s="159"/>
      <c r="H729" s="155"/>
      <c r="I729" s="86"/>
      <c r="J729" s="86"/>
      <c r="K729" s="155"/>
      <c r="L729" s="85"/>
      <c r="M729" s="142"/>
      <c r="N729" s="88"/>
      <c r="O729" s="141"/>
      <c r="P729" s="31"/>
      <c r="Q729" s="88"/>
      <c r="R729" s="88"/>
      <c r="S729" s="88"/>
      <c r="T729" s="54"/>
      <c r="U729" s="54"/>
      <c r="V729" s="88"/>
    </row>
    <row r="730" spans="1:22" s="168" customFormat="1" ht="22.500000" customHeight="1">
      <c r="A730" s="34">
        <v>728</v>
      </c>
      <c r="B730" s="34"/>
      <c r="C730" s="34"/>
      <c r="D730" s="34"/>
      <c r="E730" s="34"/>
      <c r="F730" s="85"/>
      <c r="G730" s="159"/>
      <c r="H730" s="155"/>
      <c r="I730" s="86"/>
      <c r="J730" s="86"/>
      <c r="K730" s="155"/>
      <c r="L730" s="85"/>
      <c r="M730" s="143"/>
      <c r="N730" s="88"/>
      <c r="O730" s="141"/>
      <c r="P730" s="31"/>
      <c r="Q730" s="88"/>
      <c r="R730" s="88"/>
      <c r="S730" s="88"/>
      <c r="T730" s="54"/>
      <c r="U730" s="54"/>
      <c r="V730" s="88"/>
    </row>
    <row r="731" spans="1:22" s="168" customFormat="1" ht="22.500000" customHeight="1">
      <c r="A731" s="34">
        <v>729</v>
      </c>
      <c r="B731" s="34"/>
      <c r="C731" s="34"/>
      <c r="D731" s="34"/>
      <c r="E731" s="34"/>
      <c r="F731" s="85"/>
      <c r="G731" s="159"/>
      <c r="H731" s="155"/>
      <c r="I731" s="86"/>
      <c r="J731" s="86"/>
      <c r="K731" s="155"/>
      <c r="L731" s="85"/>
      <c r="M731" s="142"/>
      <c r="N731" s="88"/>
      <c r="O731" s="141"/>
      <c r="P731" s="31"/>
      <c r="Q731" s="88"/>
      <c r="R731" s="88"/>
      <c r="S731" s="88"/>
      <c r="T731" s="54"/>
      <c r="U731" s="54"/>
      <c r="V731" s="88"/>
    </row>
    <row r="732" spans="1:22" s="168" customFormat="1" ht="22.500000" customHeight="1">
      <c r="A732" s="34">
        <v>730</v>
      </c>
      <c r="B732" s="34"/>
      <c r="C732" s="34"/>
      <c r="D732" s="34"/>
      <c r="E732" s="34"/>
      <c r="F732" s="85"/>
      <c r="G732" s="159"/>
      <c r="H732" s="155"/>
      <c r="I732" s="86"/>
      <c r="J732" s="86"/>
      <c r="K732" s="155"/>
      <c r="L732" s="85"/>
      <c r="M732" s="143"/>
      <c r="N732" s="88"/>
      <c r="O732" s="141"/>
      <c r="P732" s="31"/>
      <c r="Q732" s="88"/>
      <c r="R732" s="88"/>
      <c r="S732" s="88"/>
      <c r="T732" s="54"/>
      <c r="U732" s="54"/>
      <c r="V732" s="88"/>
    </row>
    <row r="733" spans="1:22" s="168" customFormat="1" ht="22.500000" customHeight="1">
      <c r="A733" s="34">
        <v>731</v>
      </c>
      <c r="B733" s="34"/>
      <c r="C733" s="34"/>
      <c r="D733" s="34"/>
      <c r="E733" s="34"/>
      <c r="F733" s="85"/>
      <c r="G733" s="159"/>
      <c r="H733" s="155"/>
      <c r="I733" s="86"/>
      <c r="J733" s="86"/>
      <c r="K733" s="155"/>
      <c r="L733" s="85"/>
      <c r="M733" s="142"/>
      <c r="N733" s="88"/>
      <c r="O733" s="141"/>
      <c r="P733" s="31"/>
      <c r="Q733" s="88"/>
      <c r="R733" s="88"/>
      <c r="S733" s="88"/>
      <c r="T733" s="54"/>
      <c r="U733" s="54"/>
      <c r="V733" s="88"/>
    </row>
    <row r="734" spans="1:22" s="168" customFormat="1" ht="22.500000" customHeight="1">
      <c r="A734" s="34">
        <v>732</v>
      </c>
      <c r="B734" s="34"/>
      <c r="C734" s="34"/>
      <c r="D734" s="34"/>
      <c r="E734" s="34"/>
      <c r="F734" s="85"/>
      <c r="G734" s="159"/>
      <c r="H734" s="155"/>
      <c r="I734" s="86"/>
      <c r="J734" s="86"/>
      <c r="K734" s="155"/>
      <c r="L734" s="85"/>
      <c r="M734" s="143"/>
      <c r="N734" s="88"/>
      <c r="O734" s="141"/>
      <c r="P734" s="31"/>
      <c r="Q734" s="88"/>
      <c r="R734" s="88"/>
      <c r="S734" s="88"/>
      <c r="T734" s="54"/>
      <c r="U734" s="54"/>
      <c r="V734" s="88"/>
    </row>
    <row r="735" spans="1:22" s="168" customFormat="1" ht="22.500000" customHeight="1">
      <c r="A735" s="34">
        <v>733</v>
      </c>
      <c r="B735" s="34"/>
      <c r="C735" s="34"/>
      <c r="D735" s="34"/>
      <c r="E735" s="34"/>
      <c r="F735" s="85"/>
      <c r="G735" s="159"/>
      <c r="H735" s="155"/>
      <c r="I735" s="86"/>
      <c r="J735" s="86"/>
      <c r="K735" s="155"/>
      <c r="L735" s="85"/>
      <c r="M735" s="142"/>
      <c r="N735" s="88"/>
      <c r="O735" s="141"/>
      <c r="P735" s="31"/>
      <c r="Q735" s="88"/>
      <c r="R735" s="88"/>
      <c r="S735" s="88"/>
      <c r="T735" s="54"/>
      <c r="U735" s="54"/>
      <c r="V735" s="88"/>
    </row>
    <row r="736" spans="1:22" s="168" customFormat="1" ht="22.500000" customHeight="1">
      <c r="A736" s="34">
        <v>734</v>
      </c>
      <c r="B736" s="34"/>
      <c r="C736" s="34"/>
      <c r="D736" s="34"/>
      <c r="E736" s="34"/>
      <c r="F736" s="85"/>
      <c r="G736" s="159"/>
      <c r="H736" s="155"/>
      <c r="I736" s="86"/>
      <c r="J736" s="86"/>
      <c r="K736" s="155"/>
      <c r="L736" s="85"/>
      <c r="M736" s="143"/>
      <c r="N736" s="88"/>
      <c r="O736" s="141"/>
      <c r="P736" s="31"/>
      <c r="Q736" s="88"/>
      <c r="R736" s="88"/>
      <c r="S736" s="88"/>
      <c r="T736" s="54"/>
      <c r="U736" s="54"/>
      <c r="V736" s="88"/>
    </row>
    <row r="737" spans="1:22" s="168" customFormat="1" ht="22.500000" customHeight="1">
      <c r="A737" s="34">
        <v>735</v>
      </c>
      <c r="B737" s="34"/>
      <c r="C737" s="34"/>
      <c r="D737" s="34"/>
      <c r="E737" s="34"/>
      <c r="F737" s="85"/>
      <c r="G737" s="159"/>
      <c r="H737" s="155"/>
      <c r="I737" s="86"/>
      <c r="J737" s="86"/>
      <c r="K737" s="155"/>
      <c r="L737" s="85"/>
      <c r="M737" s="142"/>
      <c r="N737" s="88"/>
      <c r="O737" s="141"/>
      <c r="P737" s="31"/>
      <c r="Q737" s="88"/>
      <c r="R737" s="88"/>
      <c r="S737" s="88"/>
      <c r="T737" s="54"/>
      <c r="U737" s="54"/>
      <c r="V737" s="88"/>
    </row>
    <row r="738" spans="1:22" s="168" customFormat="1" ht="22.500000" customHeight="1">
      <c r="A738" s="34">
        <v>736</v>
      </c>
      <c r="B738" s="34"/>
      <c r="C738" s="34"/>
      <c r="D738" s="34"/>
      <c r="E738" s="34"/>
      <c r="F738" s="85"/>
      <c r="G738" s="159"/>
      <c r="H738" s="155"/>
      <c r="I738" s="86"/>
      <c r="J738" s="86"/>
      <c r="K738" s="155"/>
      <c r="L738" s="85"/>
      <c r="M738" s="143"/>
      <c r="N738" s="88"/>
      <c r="O738" s="141"/>
      <c r="P738" s="31"/>
      <c r="Q738" s="88"/>
      <c r="R738" s="88"/>
      <c r="S738" s="88"/>
      <c r="T738" s="54"/>
      <c r="U738" s="54"/>
      <c r="V738" s="88"/>
    </row>
    <row r="739" spans="1:22" s="168" customFormat="1" ht="22.500000" customHeight="1">
      <c r="A739" s="34">
        <v>737</v>
      </c>
      <c r="B739" s="34"/>
      <c r="C739" s="34"/>
      <c r="D739" s="34"/>
      <c r="E739" s="34"/>
      <c r="F739" s="85"/>
      <c r="G739" s="159"/>
      <c r="H739" s="155"/>
      <c r="I739" s="86"/>
      <c r="J739" s="86"/>
      <c r="K739" s="155"/>
      <c r="L739" s="85"/>
      <c r="M739" s="142"/>
      <c r="N739" s="88"/>
      <c r="O739" s="141"/>
      <c r="P739" s="31"/>
      <c r="Q739" s="88"/>
      <c r="R739" s="88"/>
      <c r="S739" s="88"/>
      <c r="T739" s="54"/>
      <c r="U739" s="54"/>
      <c r="V739" s="88"/>
    </row>
    <row r="740" spans="1:22" s="168" customFormat="1" ht="22.500000" customHeight="1">
      <c r="A740" s="34">
        <v>738</v>
      </c>
      <c r="B740" s="34"/>
      <c r="C740" s="34"/>
      <c r="D740" s="34"/>
      <c r="E740" s="34"/>
      <c r="F740" s="85"/>
      <c r="G740" s="159"/>
      <c r="H740" s="155"/>
      <c r="I740" s="86"/>
      <c r="J740" s="86"/>
      <c r="K740" s="155"/>
      <c r="L740" s="85"/>
      <c r="M740" s="143"/>
      <c r="N740" s="88"/>
      <c r="O740" s="141"/>
      <c r="P740" s="31"/>
      <c r="Q740" s="88"/>
      <c r="R740" s="88"/>
      <c r="S740" s="88"/>
      <c r="T740" s="54"/>
      <c r="U740" s="54"/>
      <c r="V740" s="88"/>
    </row>
    <row r="741" spans="1:22" s="168" customFormat="1" ht="22.500000" customHeight="1">
      <c r="A741" s="34">
        <v>739</v>
      </c>
      <c r="B741" s="34"/>
      <c r="C741" s="34"/>
      <c r="D741" s="34"/>
      <c r="E741" s="34"/>
      <c r="F741" s="85"/>
      <c r="G741" s="159"/>
      <c r="H741" s="155"/>
      <c r="I741" s="86"/>
      <c r="J741" s="86"/>
      <c r="K741" s="155"/>
      <c r="L741" s="85"/>
      <c r="M741" s="142"/>
      <c r="N741" s="88"/>
      <c r="O741" s="141"/>
      <c r="P741" s="31"/>
      <c r="Q741" s="88"/>
      <c r="R741" s="88"/>
      <c r="S741" s="88"/>
      <c r="T741" s="54"/>
      <c r="U741" s="54"/>
      <c r="V741" s="88"/>
    </row>
    <row r="742" spans="1:22" s="168" customFormat="1" ht="22.500000" customHeight="1">
      <c r="A742" s="34">
        <v>740</v>
      </c>
      <c r="B742" s="34"/>
      <c r="C742" s="34"/>
      <c r="D742" s="34"/>
      <c r="E742" s="34"/>
      <c r="F742" s="85"/>
      <c r="G742" s="159"/>
      <c r="H742" s="155"/>
      <c r="I742" s="86"/>
      <c r="J742" s="86"/>
      <c r="K742" s="155"/>
      <c r="L742" s="85"/>
      <c r="M742" s="143"/>
      <c r="N742" s="88"/>
      <c r="O742" s="141"/>
      <c r="P742" s="31"/>
      <c r="Q742" s="88"/>
      <c r="R742" s="88"/>
      <c r="S742" s="88"/>
      <c r="T742" s="54"/>
      <c r="U742" s="54"/>
      <c r="V742" s="88"/>
    </row>
    <row r="743" spans="1:22" s="168" customFormat="1" ht="22.500000" customHeight="1">
      <c r="A743" s="34">
        <v>741</v>
      </c>
      <c r="B743" s="34"/>
      <c r="C743" s="34"/>
      <c r="D743" s="34"/>
      <c r="E743" s="34"/>
      <c r="F743" s="85"/>
      <c r="G743" s="159"/>
      <c r="H743" s="155"/>
      <c r="I743" s="86"/>
      <c r="J743" s="86"/>
      <c r="K743" s="155"/>
      <c r="L743" s="85"/>
      <c r="M743" s="142"/>
      <c r="N743" s="88"/>
      <c r="O743" s="141"/>
      <c r="P743" s="31"/>
      <c r="Q743" s="88"/>
      <c r="R743" s="88"/>
      <c r="S743" s="88"/>
      <c r="T743" s="54"/>
      <c r="U743" s="54"/>
      <c r="V743" s="88"/>
    </row>
    <row r="744" spans="1:22" s="168" customFormat="1" ht="22.500000" customHeight="1">
      <c r="A744" s="34">
        <v>742</v>
      </c>
      <c r="B744" s="34"/>
      <c r="C744" s="34"/>
      <c r="D744" s="34"/>
      <c r="E744" s="34"/>
      <c r="F744" s="85"/>
      <c r="G744" s="159"/>
      <c r="H744" s="155"/>
      <c r="I744" s="86"/>
      <c r="J744" s="86"/>
      <c r="K744" s="155"/>
      <c r="L744" s="85"/>
      <c r="M744" s="143"/>
      <c r="N744" s="88"/>
      <c r="O744" s="141"/>
      <c r="P744" s="31"/>
      <c r="Q744" s="88"/>
      <c r="R744" s="88"/>
      <c r="S744" s="88"/>
      <c r="T744" s="54"/>
      <c r="U744" s="54"/>
      <c r="V744" s="88"/>
    </row>
    <row r="745" spans="1:22" s="168" customFormat="1" ht="22.500000" customHeight="1">
      <c r="A745" s="34">
        <v>743</v>
      </c>
      <c r="B745" s="34"/>
      <c r="C745" s="34"/>
      <c r="D745" s="34"/>
      <c r="E745" s="34"/>
      <c r="F745" s="85"/>
      <c r="G745" s="159"/>
      <c r="H745" s="155"/>
      <c r="I745" s="86"/>
      <c r="J745" s="86"/>
      <c r="K745" s="155"/>
      <c r="L745" s="85"/>
      <c r="M745" s="142"/>
      <c r="N745" s="88"/>
      <c r="O745" s="141"/>
      <c r="P745" s="31"/>
      <c r="Q745" s="88"/>
      <c r="R745" s="88"/>
      <c r="S745" s="88"/>
      <c r="T745" s="54"/>
      <c r="U745" s="54"/>
      <c r="V745" s="88"/>
    </row>
    <row r="746" spans="1:22" s="168" customFormat="1" ht="22.500000" customHeight="1">
      <c r="A746" s="34">
        <v>744</v>
      </c>
      <c r="B746" s="34"/>
      <c r="C746" s="34"/>
      <c r="D746" s="34"/>
      <c r="E746" s="34"/>
      <c r="F746" s="85"/>
      <c r="G746" s="159"/>
      <c r="H746" s="155"/>
      <c r="I746" s="86"/>
      <c r="J746" s="86"/>
      <c r="K746" s="155"/>
      <c r="L746" s="85"/>
      <c r="M746" s="143"/>
      <c r="N746" s="88"/>
      <c r="O746" s="141"/>
      <c r="P746" s="31"/>
      <c r="Q746" s="88"/>
      <c r="R746" s="88"/>
      <c r="S746" s="88"/>
      <c r="T746" s="54"/>
      <c r="U746" s="54"/>
      <c r="V746" s="88"/>
    </row>
    <row r="747" spans="1:22" s="168" customFormat="1" ht="22.500000" customHeight="1">
      <c r="A747" s="34">
        <v>745</v>
      </c>
      <c r="B747" s="34"/>
      <c r="C747" s="34"/>
      <c r="D747" s="34"/>
      <c r="E747" s="34"/>
      <c r="F747" s="85"/>
      <c r="G747" s="159"/>
      <c r="H747" s="155"/>
      <c r="I747" s="86"/>
      <c r="J747" s="86"/>
      <c r="K747" s="155"/>
      <c r="L747" s="85"/>
      <c r="M747" s="142"/>
      <c r="N747" s="88"/>
      <c r="O747" s="141"/>
      <c r="P747" s="31"/>
      <c r="Q747" s="88"/>
      <c r="R747" s="88"/>
      <c r="S747" s="88"/>
      <c r="T747" s="54"/>
      <c r="U747" s="54"/>
      <c r="V747" s="88"/>
    </row>
    <row r="748" spans="1:22" s="168" customFormat="1" ht="22.500000" customHeight="1">
      <c r="A748" s="34">
        <v>746</v>
      </c>
      <c r="B748" s="34"/>
      <c r="C748" s="34"/>
      <c r="D748" s="34"/>
      <c r="E748" s="34"/>
      <c r="F748" s="85"/>
      <c r="G748" s="159"/>
      <c r="H748" s="155"/>
      <c r="I748" s="86"/>
      <c r="J748" s="86"/>
      <c r="K748" s="155"/>
      <c r="L748" s="85"/>
      <c r="M748" s="143"/>
      <c r="N748" s="88"/>
      <c r="O748" s="141"/>
      <c r="P748" s="31"/>
      <c r="Q748" s="88"/>
      <c r="R748" s="88"/>
      <c r="S748" s="88"/>
      <c r="T748" s="54"/>
      <c r="U748" s="54"/>
      <c r="V748" s="88"/>
    </row>
    <row r="749" spans="1:22" s="168" customFormat="1" ht="22.500000" customHeight="1">
      <c r="A749" s="34">
        <v>747</v>
      </c>
      <c r="B749" s="34"/>
      <c r="C749" s="34"/>
      <c r="D749" s="34"/>
      <c r="E749" s="34"/>
      <c r="F749" s="85"/>
      <c r="G749" s="159"/>
      <c r="H749" s="155"/>
      <c r="I749" s="86"/>
      <c r="J749" s="86"/>
      <c r="K749" s="155"/>
      <c r="L749" s="85"/>
      <c r="M749" s="142"/>
      <c r="N749" s="88"/>
      <c r="O749" s="141"/>
      <c r="P749" s="31"/>
      <c r="Q749" s="88"/>
      <c r="R749" s="88"/>
      <c r="S749" s="88"/>
      <c r="T749" s="54"/>
      <c r="U749" s="54"/>
      <c r="V749" s="88"/>
    </row>
    <row r="750" spans="1:22" s="168" customFormat="1" ht="22.500000" customHeight="1">
      <c r="A750" s="34">
        <v>748</v>
      </c>
      <c r="B750" s="34"/>
      <c r="C750" s="34"/>
      <c r="D750" s="34"/>
      <c r="E750" s="34"/>
      <c r="F750" s="85"/>
      <c r="G750" s="159"/>
      <c r="H750" s="155"/>
      <c r="I750" s="86"/>
      <c r="J750" s="86"/>
      <c r="K750" s="155"/>
      <c r="L750" s="85"/>
      <c r="M750" s="143"/>
      <c r="N750" s="88"/>
      <c r="O750" s="141"/>
      <c r="P750" s="31"/>
      <c r="Q750" s="88"/>
      <c r="R750" s="88"/>
      <c r="S750" s="88"/>
      <c r="T750" s="54"/>
      <c r="U750" s="54"/>
      <c r="V750" s="88"/>
    </row>
    <row r="751" spans="1:22" s="168" customFormat="1" ht="22.500000" customHeight="1">
      <c r="A751" s="34">
        <v>749</v>
      </c>
      <c r="B751" s="34"/>
      <c r="C751" s="34"/>
      <c r="D751" s="34"/>
      <c r="E751" s="34"/>
      <c r="F751" s="85"/>
      <c r="G751" s="159"/>
      <c r="H751" s="155"/>
      <c r="I751" s="86"/>
      <c r="J751" s="86"/>
      <c r="K751" s="155"/>
      <c r="L751" s="85"/>
      <c r="M751" s="142"/>
      <c r="N751" s="88"/>
      <c r="O751" s="141"/>
      <c r="P751" s="31"/>
      <c r="Q751" s="88"/>
      <c r="R751" s="88"/>
      <c r="S751" s="88"/>
      <c r="T751" s="54"/>
      <c r="U751" s="54"/>
      <c r="V751" s="88"/>
    </row>
    <row r="752" spans="1:22" s="168" customFormat="1" ht="22.500000" customHeight="1">
      <c r="A752" s="34">
        <v>750</v>
      </c>
      <c r="B752" s="34"/>
      <c r="C752" s="34"/>
      <c r="D752" s="34"/>
      <c r="E752" s="34"/>
      <c r="F752" s="85"/>
      <c r="G752" s="159"/>
      <c r="H752" s="155"/>
      <c r="I752" s="86"/>
      <c r="J752" s="86"/>
      <c r="K752" s="155"/>
      <c r="L752" s="85"/>
      <c r="M752" s="143"/>
      <c r="N752" s="88"/>
      <c r="O752" s="141"/>
      <c r="P752" s="31"/>
      <c r="Q752" s="88"/>
      <c r="R752" s="88"/>
      <c r="S752" s="88"/>
      <c r="T752" s="54"/>
      <c r="U752" s="54"/>
      <c r="V752" s="88"/>
    </row>
    <row r="753" spans="1:22" s="168" customFormat="1" ht="22.500000" customHeight="1">
      <c r="A753" s="34">
        <v>751</v>
      </c>
      <c r="B753" s="34"/>
      <c r="C753" s="34"/>
      <c r="D753" s="34"/>
      <c r="E753" s="34"/>
      <c r="F753" s="85"/>
      <c r="G753" s="159"/>
      <c r="H753" s="155"/>
      <c r="I753" s="86"/>
      <c r="J753" s="86"/>
      <c r="K753" s="155"/>
      <c r="L753" s="85"/>
      <c r="M753" s="142"/>
      <c r="N753" s="88"/>
      <c r="O753" s="141"/>
      <c r="P753" s="31"/>
      <c r="Q753" s="88"/>
      <c r="R753" s="88"/>
      <c r="S753" s="88"/>
      <c r="T753" s="54"/>
      <c r="U753" s="54"/>
      <c r="V753" s="88"/>
    </row>
    <row r="754" spans="1:22" s="168" customFormat="1" ht="22.500000" customHeight="1">
      <c r="A754" s="34">
        <v>752</v>
      </c>
      <c r="B754" s="34"/>
      <c r="C754" s="34"/>
      <c r="D754" s="34"/>
      <c r="E754" s="34"/>
      <c r="F754" s="85"/>
      <c r="G754" s="159"/>
      <c r="H754" s="155"/>
      <c r="I754" s="86"/>
      <c r="J754" s="86"/>
      <c r="K754" s="155"/>
      <c r="L754" s="85"/>
      <c r="M754" s="143"/>
      <c r="N754" s="88"/>
      <c r="O754" s="141"/>
      <c r="P754" s="31"/>
      <c r="Q754" s="88"/>
      <c r="R754" s="88"/>
      <c r="S754" s="88"/>
      <c r="T754" s="54"/>
      <c r="U754" s="54"/>
      <c r="V754" s="88"/>
    </row>
    <row r="755" spans="1:22" s="168" customFormat="1" ht="22.500000" customHeight="1">
      <c r="A755" s="34">
        <v>753</v>
      </c>
      <c r="B755" s="34"/>
      <c r="C755" s="34"/>
      <c r="D755" s="34"/>
      <c r="E755" s="34"/>
      <c r="F755" s="85"/>
      <c r="G755" s="159"/>
      <c r="H755" s="155"/>
      <c r="I755" s="86"/>
      <c r="J755" s="86"/>
      <c r="K755" s="155"/>
      <c r="L755" s="85"/>
      <c r="M755" s="142"/>
      <c r="N755" s="88"/>
      <c r="O755" s="141"/>
      <c r="P755" s="31"/>
      <c r="Q755" s="88"/>
      <c r="R755" s="88"/>
      <c r="S755" s="88"/>
      <c r="T755" s="54"/>
      <c r="U755" s="54"/>
      <c r="V755" s="88"/>
    </row>
    <row r="756" spans="1:22" s="168" customFormat="1" ht="22.500000" customHeight="1">
      <c r="A756" s="34">
        <v>754</v>
      </c>
      <c r="B756" s="34"/>
      <c r="C756" s="34"/>
      <c r="D756" s="34"/>
      <c r="E756" s="34"/>
      <c r="F756" s="85"/>
      <c r="G756" s="159"/>
      <c r="H756" s="155"/>
      <c r="I756" s="86"/>
      <c r="J756" s="86"/>
      <c r="K756" s="155"/>
      <c r="L756" s="85"/>
      <c r="M756" s="143"/>
      <c r="N756" s="88"/>
      <c r="O756" s="141"/>
      <c r="P756" s="31"/>
      <c r="Q756" s="88"/>
      <c r="R756" s="88"/>
      <c r="S756" s="88"/>
      <c r="T756" s="54"/>
      <c r="U756" s="54"/>
      <c r="V756" s="88"/>
    </row>
    <row r="757" spans="1:22" s="168" customFormat="1" ht="22.500000" customHeight="1">
      <c r="A757" s="34">
        <v>755</v>
      </c>
      <c r="B757" s="34"/>
      <c r="C757" s="34"/>
      <c r="D757" s="34"/>
      <c r="E757" s="34"/>
      <c r="F757" s="85"/>
      <c r="G757" s="159"/>
      <c r="H757" s="155"/>
      <c r="I757" s="86"/>
      <c r="J757" s="86"/>
      <c r="K757" s="155"/>
      <c r="L757" s="85"/>
      <c r="M757" s="142"/>
      <c r="N757" s="88"/>
      <c r="O757" s="141"/>
      <c r="P757" s="31"/>
      <c r="Q757" s="88"/>
      <c r="R757" s="88"/>
      <c r="S757" s="88"/>
      <c r="T757" s="54"/>
      <c r="U757" s="54"/>
      <c r="V757" s="88"/>
    </row>
    <row r="758" spans="1:22" s="168" customFormat="1" ht="22.500000" customHeight="1">
      <c r="A758" s="34">
        <v>756</v>
      </c>
      <c r="B758" s="34"/>
      <c r="C758" s="34"/>
      <c r="D758" s="34"/>
      <c r="E758" s="34"/>
      <c r="F758" s="85"/>
      <c r="G758" s="159"/>
      <c r="H758" s="155"/>
      <c r="I758" s="86"/>
      <c r="J758" s="86"/>
      <c r="K758" s="155"/>
      <c r="L758" s="85"/>
      <c r="M758" s="143"/>
      <c r="N758" s="88"/>
      <c r="O758" s="141"/>
      <c r="P758" s="31"/>
      <c r="Q758" s="88"/>
      <c r="R758" s="88"/>
      <c r="S758" s="88"/>
      <c r="T758" s="54"/>
      <c r="U758" s="54"/>
      <c r="V758" s="88"/>
    </row>
    <row r="759" spans="1:22" s="168" customFormat="1" ht="22.500000" customHeight="1">
      <c r="A759" s="34">
        <v>757</v>
      </c>
      <c r="B759" s="34"/>
      <c r="C759" s="34"/>
      <c r="D759" s="34"/>
      <c r="E759" s="34"/>
      <c r="F759" s="85"/>
      <c r="G759" s="159"/>
      <c r="H759" s="155"/>
      <c r="I759" s="86"/>
      <c r="J759" s="86"/>
      <c r="K759" s="155"/>
      <c r="L759" s="85"/>
      <c r="M759" s="142"/>
      <c r="N759" s="88"/>
      <c r="O759" s="141"/>
      <c r="P759" s="31"/>
      <c r="Q759" s="88"/>
      <c r="R759" s="88"/>
      <c r="S759" s="88"/>
      <c r="T759" s="54"/>
      <c r="U759" s="54"/>
      <c r="V759" s="88"/>
    </row>
    <row r="760" spans="1:22" s="168" customFormat="1" ht="22.500000" customHeight="1">
      <c r="A760" s="34">
        <v>758</v>
      </c>
      <c r="B760" s="34"/>
      <c r="C760" s="34"/>
      <c r="D760" s="34"/>
      <c r="E760" s="34"/>
      <c r="F760" s="85"/>
      <c r="G760" s="159"/>
      <c r="H760" s="155"/>
      <c r="I760" s="86"/>
      <c r="J760" s="86"/>
      <c r="K760" s="155"/>
      <c r="L760" s="85"/>
      <c r="M760" s="143"/>
      <c r="N760" s="88"/>
      <c r="O760" s="141"/>
      <c r="P760" s="31"/>
      <c r="Q760" s="88"/>
      <c r="R760" s="88"/>
      <c r="S760" s="88"/>
      <c r="T760" s="54"/>
      <c r="U760" s="54"/>
      <c r="V760" s="88"/>
    </row>
    <row r="761" spans="1:22" s="168" customFormat="1" ht="22.500000" customHeight="1">
      <c r="A761" s="34">
        <v>759</v>
      </c>
      <c r="B761" s="34"/>
      <c r="C761" s="34"/>
      <c r="D761" s="34"/>
      <c r="E761" s="34"/>
      <c r="F761" s="85"/>
      <c r="G761" s="159"/>
      <c r="H761" s="155"/>
      <c r="I761" s="86"/>
      <c r="J761" s="86"/>
      <c r="K761" s="155"/>
      <c r="L761" s="85"/>
      <c r="M761" s="142"/>
      <c r="N761" s="88"/>
      <c r="O761" s="141"/>
      <c r="P761" s="31"/>
      <c r="Q761" s="88"/>
      <c r="R761" s="88"/>
      <c r="S761" s="88"/>
      <c r="T761" s="54"/>
      <c r="U761" s="54"/>
      <c r="V761" s="88"/>
    </row>
    <row r="762" spans="1:22" s="168" customFormat="1" ht="22.500000" customHeight="1">
      <c r="A762" s="34">
        <v>760</v>
      </c>
      <c r="B762" s="34"/>
      <c r="C762" s="34"/>
      <c r="D762" s="34"/>
      <c r="E762" s="34"/>
      <c r="F762" s="85"/>
      <c r="G762" s="159"/>
      <c r="H762" s="155"/>
      <c r="I762" s="86"/>
      <c r="J762" s="86"/>
      <c r="K762" s="155"/>
      <c r="L762" s="85"/>
      <c r="M762" s="143"/>
      <c r="N762" s="88"/>
      <c r="O762" s="141"/>
      <c r="P762" s="31"/>
      <c r="Q762" s="88"/>
      <c r="R762" s="88"/>
      <c r="S762" s="88"/>
      <c r="T762" s="54"/>
      <c r="U762" s="54"/>
      <c r="V762" s="88"/>
    </row>
    <row r="763" spans="1:22" s="168" customFormat="1" ht="22.500000" customHeight="1">
      <c r="A763" s="34">
        <v>761</v>
      </c>
      <c r="B763" s="34"/>
      <c r="C763" s="34"/>
      <c r="D763" s="34"/>
      <c r="E763" s="34"/>
      <c r="F763" s="85"/>
      <c r="G763" s="159"/>
      <c r="H763" s="155"/>
      <c r="I763" s="86"/>
      <c r="J763" s="86"/>
      <c r="K763" s="155"/>
      <c r="L763" s="85"/>
      <c r="M763" s="142"/>
      <c r="N763" s="88"/>
      <c r="O763" s="141"/>
      <c r="P763" s="31"/>
      <c r="Q763" s="88"/>
      <c r="R763" s="88"/>
      <c r="S763" s="88"/>
      <c r="T763" s="54"/>
      <c r="U763" s="54"/>
      <c r="V763" s="88"/>
    </row>
    <row r="764" spans="1:22" s="168" customFormat="1" ht="22.500000" customHeight="1">
      <c r="A764" s="34">
        <v>762</v>
      </c>
      <c r="B764" s="34"/>
      <c r="C764" s="34"/>
      <c r="D764" s="34"/>
      <c r="E764" s="34"/>
      <c r="F764" s="85"/>
      <c r="G764" s="159"/>
      <c r="H764" s="155"/>
      <c r="I764" s="86"/>
      <c r="J764" s="86"/>
      <c r="K764" s="155"/>
      <c r="L764" s="85"/>
      <c r="M764" s="143"/>
      <c r="N764" s="88"/>
      <c r="O764" s="141"/>
      <c r="P764" s="31"/>
      <c r="Q764" s="88"/>
      <c r="R764" s="88"/>
      <c r="S764" s="88"/>
      <c r="T764" s="54"/>
      <c r="U764" s="54"/>
      <c r="V764" s="88"/>
    </row>
    <row r="765" spans="1:22" s="168" customFormat="1" ht="22.500000" customHeight="1">
      <c r="A765" s="34">
        <v>763</v>
      </c>
      <c r="B765" s="34"/>
      <c r="C765" s="34"/>
      <c r="D765" s="34"/>
      <c r="E765" s="34"/>
      <c r="F765" s="85"/>
      <c r="G765" s="159"/>
      <c r="H765" s="155"/>
      <c r="I765" s="86"/>
      <c r="J765" s="86"/>
      <c r="K765" s="155"/>
      <c r="L765" s="85"/>
      <c r="M765" s="142"/>
      <c r="N765" s="88"/>
      <c r="O765" s="141"/>
      <c r="P765" s="31"/>
      <c r="Q765" s="88"/>
      <c r="R765" s="88"/>
      <c r="S765" s="88"/>
      <c r="T765" s="54"/>
      <c r="U765" s="54"/>
      <c r="V765" s="88"/>
    </row>
    <row r="766" spans="1:22" s="168" customFormat="1" ht="22.500000" customHeight="1">
      <c r="A766" s="34">
        <v>764</v>
      </c>
      <c r="B766" s="34"/>
      <c r="C766" s="34"/>
      <c r="D766" s="34"/>
      <c r="E766" s="34"/>
      <c r="F766" s="85"/>
      <c r="G766" s="159"/>
      <c r="H766" s="155"/>
      <c r="I766" s="86"/>
      <c r="J766" s="86"/>
      <c r="K766" s="155"/>
      <c r="L766" s="85"/>
      <c r="M766" s="143"/>
      <c r="N766" s="88"/>
      <c r="O766" s="141"/>
      <c r="P766" s="31"/>
      <c r="Q766" s="88"/>
      <c r="R766" s="88"/>
      <c r="S766" s="88"/>
      <c r="T766" s="54"/>
      <c r="U766" s="54"/>
      <c r="V766" s="88"/>
    </row>
    <row r="767" spans="1:22" s="168" customFormat="1" ht="22.500000" customHeight="1">
      <c r="A767" s="34">
        <v>765</v>
      </c>
      <c r="B767" s="34"/>
      <c r="C767" s="34"/>
      <c r="D767" s="34"/>
      <c r="E767" s="34"/>
      <c r="F767" s="85"/>
      <c r="G767" s="159"/>
      <c r="H767" s="155"/>
      <c r="I767" s="86"/>
      <c r="J767" s="86"/>
      <c r="K767" s="155"/>
      <c r="L767" s="85"/>
      <c r="M767" s="142"/>
      <c r="N767" s="88"/>
      <c r="O767" s="141"/>
      <c r="P767" s="31"/>
      <c r="Q767" s="88"/>
      <c r="R767" s="88"/>
      <c r="S767" s="88"/>
      <c r="T767" s="54"/>
      <c r="U767" s="54"/>
      <c r="V767" s="88"/>
    </row>
    <row r="768" spans="1:22" s="168" customFormat="1" ht="22.500000" customHeight="1">
      <c r="A768" s="34">
        <v>766</v>
      </c>
      <c r="B768" s="34"/>
      <c r="C768" s="34"/>
      <c r="D768" s="34"/>
      <c r="E768" s="34"/>
      <c r="F768" s="85"/>
      <c r="G768" s="159"/>
      <c r="H768" s="155"/>
      <c r="I768" s="86"/>
      <c r="J768" s="86"/>
      <c r="K768" s="155"/>
      <c r="L768" s="85"/>
      <c r="M768" s="143"/>
      <c r="N768" s="88"/>
      <c r="O768" s="141"/>
      <c r="P768" s="31"/>
      <c r="Q768" s="88"/>
      <c r="R768" s="88"/>
      <c r="S768" s="88"/>
      <c r="T768" s="54"/>
      <c r="U768" s="54"/>
      <c r="V768" s="88"/>
    </row>
    <row r="769" spans="1:22" s="168" customFormat="1" ht="22.500000" customHeight="1">
      <c r="A769" s="34">
        <v>767</v>
      </c>
      <c r="B769" s="34"/>
      <c r="C769" s="34"/>
      <c r="D769" s="34"/>
      <c r="E769" s="34"/>
      <c r="F769" s="85"/>
      <c r="G769" s="159"/>
      <c r="H769" s="155"/>
      <c r="I769" s="86"/>
      <c r="J769" s="86"/>
      <c r="K769" s="155"/>
      <c r="L769" s="85"/>
      <c r="M769" s="142"/>
      <c r="N769" s="88"/>
      <c r="O769" s="141"/>
      <c r="P769" s="31"/>
      <c r="Q769" s="88"/>
      <c r="R769" s="88"/>
      <c r="S769" s="88"/>
      <c r="T769" s="54"/>
      <c r="U769" s="54"/>
      <c r="V769" s="88"/>
    </row>
    <row r="770" spans="1:22" s="168" customFormat="1" ht="22.500000" customHeight="1">
      <c r="A770" s="34">
        <v>768</v>
      </c>
      <c r="B770" s="34"/>
      <c r="C770" s="34"/>
      <c r="D770" s="34"/>
      <c r="E770" s="34"/>
      <c r="F770" s="85"/>
      <c r="G770" s="159"/>
      <c r="H770" s="155"/>
      <c r="I770" s="86"/>
      <c r="J770" s="86"/>
      <c r="K770" s="155"/>
      <c r="L770" s="85"/>
      <c r="M770" s="143"/>
      <c r="N770" s="88"/>
      <c r="O770" s="141"/>
      <c r="P770" s="31"/>
      <c r="Q770" s="88"/>
      <c r="R770" s="88"/>
      <c r="S770" s="88"/>
      <c r="T770" s="54"/>
      <c r="U770" s="54"/>
      <c r="V770" s="88"/>
    </row>
    <row r="771" spans="1:22" s="168" customFormat="1" ht="22.500000" customHeight="1">
      <c r="A771" s="34">
        <v>769</v>
      </c>
      <c r="B771" s="34"/>
      <c r="C771" s="34"/>
      <c r="D771" s="34"/>
      <c r="E771" s="34"/>
      <c r="F771" s="85"/>
      <c r="G771" s="159"/>
      <c r="H771" s="155"/>
      <c r="I771" s="86"/>
      <c r="J771" s="86"/>
      <c r="K771" s="155"/>
      <c r="L771" s="85"/>
      <c r="M771" s="142"/>
      <c r="N771" s="88"/>
      <c r="O771" s="141"/>
      <c r="P771" s="31"/>
      <c r="Q771" s="88"/>
      <c r="R771" s="88"/>
      <c r="S771" s="88"/>
      <c r="T771" s="54"/>
      <c r="U771" s="54"/>
      <c r="V771" s="88"/>
    </row>
    <row r="772" spans="1:22" s="168" customFormat="1" ht="22.500000" customHeight="1">
      <c r="A772" s="34">
        <v>770</v>
      </c>
      <c r="B772" s="34"/>
      <c r="C772" s="34"/>
      <c r="D772" s="34"/>
      <c r="E772" s="34"/>
      <c r="F772" s="85"/>
      <c r="G772" s="159"/>
      <c r="H772" s="155"/>
      <c r="I772" s="86"/>
      <c r="J772" s="86"/>
      <c r="K772" s="155"/>
      <c r="L772" s="85"/>
      <c r="M772" s="143"/>
      <c r="N772" s="88"/>
      <c r="O772" s="141"/>
      <c r="P772" s="31"/>
      <c r="Q772" s="88"/>
      <c r="R772" s="88"/>
      <c r="S772" s="88"/>
      <c r="T772" s="54"/>
      <c r="U772" s="54"/>
      <c r="V772" s="88"/>
    </row>
    <row r="773" spans="1:22" s="168" customFormat="1" ht="22.500000" customHeight="1">
      <c r="A773" s="34">
        <v>771</v>
      </c>
      <c r="B773" s="34"/>
      <c r="C773" s="34"/>
      <c r="D773" s="34"/>
      <c r="E773" s="34"/>
      <c r="F773" s="85"/>
      <c r="G773" s="159"/>
      <c r="H773" s="155"/>
      <c r="I773" s="86"/>
      <c r="J773" s="86"/>
      <c r="K773" s="155"/>
      <c r="L773" s="85"/>
      <c r="M773" s="142"/>
      <c r="N773" s="88"/>
      <c r="O773" s="141"/>
      <c r="P773" s="31"/>
      <c r="Q773" s="88"/>
      <c r="R773" s="88"/>
      <c r="S773" s="88"/>
      <c r="T773" s="54"/>
      <c r="U773" s="54"/>
      <c r="V773" s="88"/>
    </row>
    <row r="774" spans="1:22" s="168" customFormat="1" ht="22.500000" customHeight="1">
      <c r="A774" s="34">
        <v>772</v>
      </c>
      <c r="B774" s="34"/>
      <c r="C774" s="34"/>
      <c r="D774" s="34"/>
      <c r="E774" s="34"/>
      <c r="F774" s="85"/>
      <c r="G774" s="159"/>
      <c r="H774" s="155"/>
      <c r="I774" s="86"/>
      <c r="J774" s="86"/>
      <c r="K774" s="155"/>
      <c r="L774" s="85"/>
      <c r="M774" s="143"/>
      <c r="N774" s="88"/>
      <c r="O774" s="141"/>
      <c r="P774" s="31"/>
      <c r="Q774" s="88"/>
      <c r="R774" s="88"/>
      <c r="S774" s="88"/>
      <c r="T774" s="54"/>
      <c r="U774" s="54"/>
      <c r="V774" s="88"/>
    </row>
    <row r="775" spans="1:22" s="168" customFormat="1" ht="22.500000" customHeight="1">
      <c r="A775" s="34">
        <v>773</v>
      </c>
      <c r="B775" s="34"/>
      <c r="C775" s="34"/>
      <c r="D775" s="34"/>
      <c r="E775" s="34"/>
      <c r="F775" s="85"/>
      <c r="G775" s="159"/>
      <c r="H775" s="155"/>
      <c r="I775" s="86"/>
      <c r="J775" s="86"/>
      <c r="K775" s="155"/>
      <c r="L775" s="85"/>
      <c r="M775" s="142"/>
      <c r="N775" s="88"/>
      <c r="O775" s="141"/>
      <c r="P775" s="31"/>
      <c r="Q775" s="88"/>
      <c r="R775" s="88"/>
      <c r="S775" s="88"/>
      <c r="T775" s="54"/>
      <c r="U775" s="54"/>
      <c r="V775" s="88"/>
    </row>
    <row r="776" spans="1:22" s="168" customFormat="1" ht="22.500000" customHeight="1">
      <c r="A776" s="34">
        <v>774</v>
      </c>
      <c r="B776" s="34"/>
      <c r="C776" s="34"/>
      <c r="D776" s="34"/>
      <c r="E776" s="34"/>
      <c r="F776" s="85"/>
      <c r="G776" s="159"/>
      <c r="H776" s="155"/>
      <c r="I776" s="86"/>
      <c r="J776" s="86"/>
      <c r="K776" s="155"/>
      <c r="L776" s="85"/>
      <c r="M776" s="143"/>
      <c r="N776" s="88"/>
      <c r="O776" s="141"/>
      <c r="P776" s="31"/>
      <c r="Q776" s="88"/>
      <c r="R776" s="88"/>
      <c r="S776" s="88"/>
      <c r="T776" s="54"/>
      <c r="U776" s="54"/>
      <c r="V776" s="88"/>
    </row>
    <row r="777" spans="1:22" s="168" customFormat="1" ht="22.500000" customHeight="1">
      <c r="A777" s="34">
        <v>775</v>
      </c>
      <c r="B777" s="34"/>
      <c r="C777" s="34"/>
      <c r="D777" s="34"/>
      <c r="E777" s="34"/>
      <c r="F777" s="85"/>
      <c r="G777" s="159"/>
      <c r="H777" s="155"/>
      <c r="I777" s="86"/>
      <c r="J777" s="86"/>
      <c r="K777" s="155"/>
      <c r="L777" s="85"/>
      <c r="M777" s="142"/>
      <c r="N777" s="88"/>
      <c r="O777" s="141"/>
      <c r="P777" s="31"/>
      <c r="Q777" s="88"/>
      <c r="R777" s="88"/>
      <c r="S777" s="88"/>
      <c r="T777" s="54"/>
      <c r="U777" s="54"/>
      <c r="V777" s="88"/>
    </row>
    <row r="778" spans="1:22" s="168" customFormat="1" ht="22.500000" customHeight="1">
      <c r="A778" s="34">
        <v>776</v>
      </c>
      <c r="B778" s="34"/>
      <c r="C778" s="34"/>
      <c r="D778" s="34"/>
      <c r="E778" s="34"/>
      <c r="F778" s="85"/>
      <c r="G778" s="159"/>
      <c r="H778" s="155"/>
      <c r="I778" s="86"/>
      <c r="J778" s="86"/>
      <c r="K778" s="155"/>
      <c r="L778" s="85"/>
      <c r="M778" s="143"/>
      <c r="N778" s="88"/>
      <c r="O778" s="141"/>
      <c r="P778" s="31"/>
      <c r="Q778" s="88"/>
      <c r="R778" s="88"/>
      <c r="S778" s="88"/>
      <c r="T778" s="54"/>
      <c r="U778" s="54"/>
      <c r="V778" s="88"/>
    </row>
    <row r="779" spans="1:22" s="168" customFormat="1" ht="22.500000" customHeight="1">
      <c r="A779" s="34">
        <v>777</v>
      </c>
      <c r="B779" s="34"/>
      <c r="C779" s="34"/>
      <c r="D779" s="34"/>
      <c r="E779" s="34"/>
      <c r="F779" s="85"/>
      <c r="G779" s="159"/>
      <c r="H779" s="155"/>
      <c r="I779" s="86"/>
      <c r="J779" s="86"/>
      <c r="K779" s="155"/>
      <c r="L779" s="85"/>
      <c r="M779" s="142"/>
      <c r="N779" s="88"/>
      <c r="O779" s="141"/>
      <c r="P779" s="31"/>
      <c r="Q779" s="88"/>
      <c r="R779" s="88"/>
      <c r="S779" s="88"/>
      <c r="T779" s="54"/>
      <c r="U779" s="54"/>
      <c r="V779" s="88"/>
    </row>
    <row r="780" spans="1:22" s="168" customFormat="1" ht="22.500000" customHeight="1">
      <c r="A780" s="34">
        <v>778</v>
      </c>
      <c r="B780" s="34"/>
      <c r="C780" s="34"/>
      <c r="D780" s="34"/>
      <c r="E780" s="34"/>
      <c r="F780" s="85"/>
      <c r="G780" s="159"/>
      <c r="H780" s="155"/>
      <c r="I780" s="86"/>
      <c r="J780" s="86"/>
      <c r="K780" s="155"/>
      <c r="L780" s="85"/>
      <c r="M780" s="143"/>
      <c r="N780" s="88"/>
      <c r="O780" s="141"/>
      <c r="P780" s="31"/>
      <c r="Q780" s="88"/>
      <c r="R780" s="88"/>
      <c r="S780" s="88"/>
      <c r="T780" s="54"/>
      <c r="U780" s="54"/>
      <c r="V780" s="88"/>
    </row>
    <row r="781" spans="1:22" s="168" customFormat="1" ht="22.500000" customHeight="1">
      <c r="A781" s="34">
        <v>779</v>
      </c>
      <c r="B781" s="34"/>
      <c r="C781" s="34"/>
      <c r="D781" s="34"/>
      <c r="E781" s="34"/>
      <c r="F781" s="85"/>
      <c r="G781" s="159"/>
      <c r="H781" s="155"/>
      <c r="I781" s="86"/>
      <c r="J781" s="86"/>
      <c r="K781" s="155"/>
      <c r="L781" s="85"/>
      <c r="M781" s="142"/>
      <c r="N781" s="88"/>
      <c r="O781" s="141"/>
      <c r="P781" s="31"/>
      <c r="Q781" s="88"/>
      <c r="R781" s="88"/>
      <c r="S781" s="88"/>
      <c r="T781" s="54"/>
      <c r="U781" s="54"/>
      <c r="V781" s="88"/>
    </row>
    <row r="782" spans="1:22" s="168" customFormat="1" ht="22.500000" customHeight="1">
      <c r="A782" s="34">
        <v>780</v>
      </c>
      <c r="B782" s="34"/>
      <c r="C782" s="34"/>
      <c r="D782" s="34"/>
      <c r="E782" s="34"/>
      <c r="F782" s="85"/>
      <c r="G782" s="159"/>
      <c r="H782" s="155"/>
      <c r="I782" s="86"/>
      <c r="J782" s="86"/>
      <c r="K782" s="155"/>
      <c r="L782" s="85"/>
      <c r="M782" s="143"/>
      <c r="N782" s="88"/>
      <c r="O782" s="141"/>
      <c r="P782" s="31"/>
      <c r="Q782" s="88"/>
      <c r="R782" s="88"/>
      <c r="S782" s="88"/>
      <c r="T782" s="54"/>
      <c r="U782" s="54"/>
      <c r="V782" s="88"/>
    </row>
    <row r="783" spans="1:22" s="168" customFormat="1" ht="22.500000" customHeight="1">
      <c r="A783" s="34">
        <v>781</v>
      </c>
      <c r="B783" s="34"/>
      <c r="C783" s="34"/>
      <c r="D783" s="34"/>
      <c r="E783" s="34"/>
      <c r="F783" s="85"/>
      <c r="G783" s="159"/>
      <c r="H783" s="155"/>
      <c r="I783" s="86"/>
      <c r="J783" s="86"/>
      <c r="K783" s="155"/>
      <c r="L783" s="85"/>
      <c r="M783" s="142"/>
      <c r="N783" s="88"/>
      <c r="O783" s="141"/>
      <c r="P783" s="31"/>
      <c r="Q783" s="88"/>
      <c r="R783" s="88"/>
      <c r="S783" s="88"/>
      <c r="T783" s="54"/>
      <c r="U783" s="54"/>
      <c r="V783" s="88"/>
    </row>
    <row r="784" spans="1:22" s="168" customFormat="1" ht="22.500000" customHeight="1">
      <c r="A784" s="34">
        <v>782</v>
      </c>
      <c r="B784" s="34"/>
      <c r="C784" s="34"/>
      <c r="D784" s="34"/>
      <c r="E784" s="34"/>
      <c r="F784" s="85"/>
      <c r="G784" s="159"/>
      <c r="H784" s="155"/>
      <c r="I784" s="86"/>
      <c r="J784" s="86"/>
      <c r="K784" s="155"/>
      <c r="L784" s="85"/>
      <c r="M784" s="143"/>
      <c r="N784" s="88"/>
      <c r="O784" s="141"/>
      <c r="P784" s="31"/>
      <c r="Q784" s="88"/>
      <c r="R784" s="88"/>
      <c r="S784" s="88"/>
      <c r="T784" s="54"/>
      <c r="U784" s="54"/>
      <c r="V784" s="88"/>
    </row>
    <row r="785" spans="1:22" s="168" customFormat="1" ht="22.500000" customHeight="1">
      <c r="A785" s="34">
        <v>783</v>
      </c>
      <c r="B785" s="34"/>
      <c r="C785" s="34"/>
      <c r="D785" s="34"/>
      <c r="E785" s="34"/>
      <c r="F785" s="85"/>
      <c r="G785" s="159"/>
      <c r="H785" s="155"/>
      <c r="I785" s="86"/>
      <c r="J785" s="86"/>
      <c r="K785" s="155"/>
      <c r="L785" s="85"/>
      <c r="M785" s="142"/>
      <c r="N785" s="88"/>
      <c r="O785" s="141"/>
      <c r="P785" s="31"/>
      <c r="Q785" s="88"/>
      <c r="R785" s="88"/>
      <c r="S785" s="88"/>
      <c r="T785" s="54"/>
      <c r="U785" s="54"/>
      <c r="V785" s="88"/>
    </row>
    <row r="786" spans="1:22" s="168" customFormat="1" ht="22.500000" customHeight="1">
      <c r="A786" s="34">
        <v>784</v>
      </c>
      <c r="B786" s="34"/>
      <c r="C786" s="34"/>
      <c r="D786" s="34"/>
      <c r="E786" s="34"/>
      <c r="F786" s="85"/>
      <c r="G786" s="159"/>
      <c r="H786" s="155"/>
      <c r="I786" s="86"/>
      <c r="J786" s="86"/>
      <c r="K786" s="155"/>
      <c r="L786" s="85"/>
      <c r="M786" s="143"/>
      <c r="N786" s="88"/>
      <c r="O786" s="141"/>
      <c r="P786" s="31"/>
      <c r="Q786" s="88"/>
      <c r="R786" s="88"/>
      <c r="S786" s="88"/>
      <c r="T786" s="54"/>
      <c r="U786" s="54"/>
      <c r="V786" s="88"/>
    </row>
    <row r="787" spans="1:22" s="168" customFormat="1" ht="22.500000" customHeight="1">
      <c r="A787" s="34">
        <v>785</v>
      </c>
      <c r="B787" s="34"/>
      <c r="C787" s="34"/>
      <c r="D787" s="34"/>
      <c r="E787" s="34"/>
      <c r="F787" s="85"/>
      <c r="G787" s="159"/>
      <c r="H787" s="155"/>
      <c r="I787" s="86"/>
      <c r="J787" s="86"/>
      <c r="K787" s="155"/>
      <c r="L787" s="85"/>
      <c r="M787" s="142"/>
      <c r="N787" s="88"/>
      <c r="O787" s="141"/>
      <c r="P787" s="31"/>
      <c r="Q787" s="88"/>
      <c r="R787" s="88"/>
      <c r="S787" s="88"/>
      <c r="T787" s="54"/>
      <c r="U787" s="54"/>
      <c r="V787" s="88"/>
    </row>
    <row r="788" spans="1:22" s="168" customFormat="1" ht="22.500000" customHeight="1">
      <c r="A788" s="34">
        <v>786</v>
      </c>
      <c r="B788" s="34"/>
      <c r="C788" s="34"/>
      <c r="D788" s="34"/>
      <c r="E788" s="34"/>
      <c r="F788" s="85"/>
      <c r="G788" s="159"/>
      <c r="H788" s="155"/>
      <c r="I788" s="86"/>
      <c r="J788" s="86"/>
      <c r="K788" s="155"/>
      <c r="L788" s="85"/>
      <c r="M788" s="143"/>
      <c r="N788" s="88"/>
      <c r="O788" s="141"/>
      <c r="P788" s="31"/>
      <c r="Q788" s="88"/>
      <c r="R788" s="88"/>
      <c r="S788" s="88"/>
      <c r="T788" s="54"/>
      <c r="U788" s="54"/>
      <c r="V788" s="88"/>
    </row>
    <row r="789" spans="1:22" s="168" customFormat="1" ht="22.500000" customHeight="1">
      <c r="A789" s="34">
        <v>787</v>
      </c>
      <c r="B789" s="34"/>
      <c r="C789" s="34"/>
      <c r="D789" s="34"/>
      <c r="E789" s="34"/>
      <c r="F789" s="85"/>
      <c r="G789" s="159"/>
      <c r="H789" s="155"/>
      <c r="I789" s="86"/>
      <c r="J789" s="86"/>
      <c r="K789" s="155"/>
      <c r="L789" s="85"/>
      <c r="M789" s="142"/>
      <c r="N789" s="88"/>
      <c r="O789" s="141"/>
      <c r="P789" s="31"/>
      <c r="Q789" s="88"/>
      <c r="R789" s="88"/>
      <c r="S789" s="88"/>
      <c r="T789" s="54"/>
      <c r="U789" s="54"/>
      <c r="V789" s="88"/>
    </row>
    <row r="790" spans="1:22" s="168" customFormat="1" ht="22.500000" customHeight="1">
      <c r="A790" s="34">
        <v>788</v>
      </c>
      <c r="B790" s="34"/>
      <c r="C790" s="34"/>
      <c r="D790" s="34"/>
      <c r="E790" s="34"/>
      <c r="F790" s="85"/>
      <c r="G790" s="159"/>
      <c r="H790" s="155"/>
      <c r="I790" s="86"/>
      <c r="J790" s="86"/>
      <c r="K790" s="155"/>
      <c r="L790" s="85"/>
      <c r="M790" s="143"/>
      <c r="N790" s="88"/>
      <c r="O790" s="141"/>
      <c r="P790" s="31"/>
      <c r="Q790" s="88"/>
      <c r="R790" s="88"/>
      <c r="S790" s="88"/>
      <c r="T790" s="54"/>
      <c r="U790" s="54"/>
      <c r="V790" s="88"/>
    </row>
    <row r="791" spans="1:22" s="168" customFormat="1" ht="22.500000" customHeight="1">
      <c r="A791" s="34">
        <v>789</v>
      </c>
      <c r="B791" s="34"/>
      <c r="C791" s="34"/>
      <c r="D791" s="34"/>
      <c r="E791" s="34"/>
      <c r="F791" s="85"/>
      <c r="G791" s="159"/>
      <c r="H791" s="155"/>
      <c r="I791" s="86"/>
      <c r="J791" s="86"/>
      <c r="K791" s="155"/>
      <c r="L791" s="85"/>
      <c r="M791" s="142"/>
      <c r="N791" s="88"/>
      <c r="O791" s="141"/>
      <c r="P791" s="31"/>
      <c r="Q791" s="88"/>
      <c r="R791" s="88"/>
      <c r="S791" s="88"/>
      <c r="T791" s="54"/>
      <c r="U791" s="54"/>
      <c r="V791" s="88"/>
    </row>
    <row r="792" spans="1:22" s="168" customFormat="1" ht="22.500000" customHeight="1">
      <c r="A792" s="34">
        <v>790</v>
      </c>
      <c r="B792" s="34"/>
      <c r="C792" s="34"/>
      <c r="D792" s="34"/>
      <c r="E792" s="34"/>
      <c r="F792" s="85"/>
      <c r="G792" s="159"/>
      <c r="H792" s="155"/>
      <c r="I792" s="86"/>
      <c r="J792" s="86"/>
      <c r="K792" s="155"/>
      <c r="L792" s="85"/>
      <c r="M792" s="143"/>
      <c r="N792" s="88"/>
      <c r="O792" s="141"/>
      <c r="P792" s="31"/>
      <c r="Q792" s="88"/>
      <c r="R792" s="88"/>
      <c r="S792" s="88"/>
      <c r="T792" s="54"/>
      <c r="U792" s="54"/>
      <c r="V792" s="88"/>
    </row>
    <row r="793" spans="1:22" s="168" customFormat="1" ht="22.500000" customHeight="1">
      <c r="A793" s="34">
        <v>791</v>
      </c>
      <c r="B793" s="34"/>
      <c r="C793" s="34"/>
      <c r="D793" s="34"/>
      <c r="E793" s="34"/>
      <c r="F793" s="85"/>
      <c r="G793" s="159"/>
      <c r="H793" s="155"/>
      <c r="I793" s="86"/>
      <c r="J793" s="86"/>
      <c r="K793" s="155"/>
      <c r="L793" s="85"/>
      <c r="M793" s="142"/>
      <c r="N793" s="88"/>
      <c r="O793" s="141"/>
      <c r="P793" s="31"/>
      <c r="Q793" s="88"/>
      <c r="R793" s="88"/>
      <c r="S793" s="88"/>
      <c r="T793" s="54"/>
      <c r="U793" s="54"/>
      <c r="V793" s="88"/>
    </row>
    <row r="794" spans="1:22" s="168" customFormat="1" ht="22.500000" customHeight="1">
      <c r="A794" s="34">
        <v>792</v>
      </c>
      <c r="B794" s="34"/>
      <c r="C794" s="34"/>
      <c r="D794" s="34"/>
      <c r="E794" s="34"/>
      <c r="F794" s="85"/>
      <c r="G794" s="159"/>
      <c r="H794" s="155"/>
      <c r="I794" s="86"/>
      <c r="J794" s="86"/>
      <c r="K794" s="155"/>
      <c r="L794" s="85"/>
      <c r="M794" s="143"/>
      <c r="N794" s="88"/>
      <c r="O794" s="141"/>
      <c r="P794" s="31"/>
      <c r="Q794" s="88"/>
      <c r="R794" s="88"/>
      <c r="S794" s="88"/>
      <c r="T794" s="54"/>
      <c r="U794" s="54"/>
      <c r="V794" s="88"/>
    </row>
    <row r="795" spans="1:22" s="168" customFormat="1" ht="22.500000" customHeight="1">
      <c r="A795" s="34">
        <v>793</v>
      </c>
      <c r="B795" s="34"/>
      <c r="C795" s="34"/>
      <c r="D795" s="34"/>
      <c r="E795" s="34"/>
      <c r="F795" s="85"/>
      <c r="G795" s="159"/>
      <c r="H795" s="155"/>
      <c r="I795" s="86"/>
      <c r="J795" s="86"/>
      <c r="K795" s="155"/>
      <c r="L795" s="85"/>
      <c r="M795" s="142"/>
      <c r="N795" s="88"/>
      <c r="O795" s="141"/>
      <c r="P795" s="31"/>
      <c r="Q795" s="88"/>
      <c r="R795" s="88"/>
      <c r="S795" s="88"/>
      <c r="T795" s="54"/>
      <c r="U795" s="54"/>
      <c r="V795" s="88"/>
    </row>
    <row r="796" spans="1:22" s="168" customFormat="1" ht="22.500000" customHeight="1">
      <c r="A796" s="34">
        <v>794</v>
      </c>
      <c r="B796" s="34"/>
      <c r="C796" s="34"/>
      <c r="D796" s="34"/>
      <c r="E796" s="34"/>
      <c r="F796" s="85"/>
      <c r="G796" s="159"/>
      <c r="H796" s="155"/>
      <c r="I796" s="86"/>
      <c r="J796" s="86"/>
      <c r="K796" s="155"/>
      <c r="L796" s="85"/>
      <c r="M796" s="143"/>
      <c r="N796" s="88"/>
      <c r="O796" s="141"/>
      <c r="P796" s="31"/>
      <c r="Q796" s="88"/>
      <c r="R796" s="88"/>
      <c r="S796" s="88"/>
      <c r="T796" s="54"/>
      <c r="U796" s="54"/>
      <c r="V796" s="88"/>
    </row>
    <row r="797" spans="1:22" s="168" customFormat="1" ht="22.500000" customHeight="1">
      <c r="A797" s="34">
        <v>795</v>
      </c>
      <c r="B797" s="34"/>
      <c r="C797" s="34"/>
      <c r="D797" s="34"/>
      <c r="E797" s="34"/>
      <c r="F797" s="85"/>
      <c r="G797" s="159"/>
      <c r="H797" s="155"/>
      <c r="I797" s="86"/>
      <c r="J797" s="86"/>
      <c r="K797" s="155"/>
      <c r="L797" s="85"/>
      <c r="M797" s="142"/>
      <c r="N797" s="88"/>
      <c r="O797" s="141"/>
      <c r="P797" s="31"/>
      <c r="Q797" s="88"/>
      <c r="R797" s="88"/>
      <c r="S797" s="88"/>
      <c r="T797" s="54"/>
      <c r="U797" s="54"/>
      <c r="V797" s="88"/>
    </row>
    <row r="798" spans="1:22" s="168" customFormat="1" ht="22.500000" customHeight="1">
      <c r="A798" s="34">
        <v>796</v>
      </c>
      <c r="B798" s="34"/>
      <c r="C798" s="34"/>
      <c r="D798" s="34"/>
      <c r="E798" s="34"/>
      <c r="F798" s="85"/>
      <c r="G798" s="159"/>
      <c r="H798" s="155"/>
      <c r="I798" s="86"/>
      <c r="J798" s="86"/>
      <c r="K798" s="155"/>
      <c r="L798" s="85"/>
      <c r="M798" s="143"/>
      <c r="N798" s="88"/>
      <c r="O798" s="141"/>
      <c r="P798" s="31"/>
      <c r="Q798" s="88"/>
      <c r="R798" s="88"/>
      <c r="S798" s="88"/>
      <c r="T798" s="54"/>
      <c r="U798" s="54"/>
      <c r="V798" s="88"/>
    </row>
    <row r="799" spans="1:22" s="168" customFormat="1" ht="22.500000" customHeight="1">
      <c r="A799" s="34">
        <v>797</v>
      </c>
      <c r="B799" s="34"/>
      <c r="C799" s="34"/>
      <c r="D799" s="34"/>
      <c r="E799" s="34"/>
      <c r="F799" s="85"/>
      <c r="G799" s="159"/>
      <c r="H799" s="155"/>
      <c r="I799" s="86"/>
      <c r="J799" s="86"/>
      <c r="K799" s="155"/>
      <c r="L799" s="85"/>
      <c r="M799" s="142"/>
      <c r="N799" s="88"/>
      <c r="O799" s="141"/>
      <c r="P799" s="31"/>
      <c r="Q799" s="88"/>
      <c r="R799" s="88"/>
      <c r="S799" s="88"/>
      <c r="T799" s="54"/>
      <c r="U799" s="54"/>
      <c r="V799" s="88"/>
    </row>
    <row r="800" spans="1:22" s="168" customFormat="1" ht="22.500000" customHeight="1">
      <c r="A800" s="34">
        <v>798</v>
      </c>
      <c r="B800" s="34"/>
      <c r="C800" s="34"/>
      <c r="D800" s="34"/>
      <c r="E800" s="34"/>
      <c r="F800" s="85"/>
      <c r="G800" s="159"/>
      <c r="H800" s="155"/>
      <c r="I800" s="86"/>
      <c r="J800" s="86"/>
      <c r="K800" s="155"/>
      <c r="L800" s="85"/>
      <c r="M800" s="143"/>
      <c r="N800" s="88"/>
      <c r="O800" s="141"/>
      <c r="P800" s="31"/>
      <c r="Q800" s="88"/>
      <c r="R800" s="88"/>
      <c r="S800" s="88"/>
      <c r="T800" s="54"/>
      <c r="U800" s="54"/>
      <c r="V800" s="88"/>
    </row>
    <row r="801" spans="1:22" s="168" customFormat="1" ht="22.500000" customHeight="1">
      <c r="A801" s="34">
        <v>799</v>
      </c>
      <c r="B801" s="34"/>
      <c r="C801" s="34"/>
      <c r="D801" s="34"/>
      <c r="E801" s="34"/>
      <c r="F801" s="85"/>
      <c r="G801" s="159"/>
      <c r="H801" s="155"/>
      <c r="I801" s="86"/>
      <c r="J801" s="86"/>
      <c r="K801" s="155"/>
      <c r="L801" s="85"/>
      <c r="M801" s="142"/>
      <c r="N801" s="88"/>
      <c r="O801" s="141"/>
      <c r="P801" s="31"/>
      <c r="Q801" s="88"/>
      <c r="R801" s="88"/>
      <c r="S801" s="88"/>
      <c r="T801" s="54"/>
      <c r="U801" s="54"/>
      <c r="V801" s="88"/>
    </row>
    <row r="802" spans="1:22" s="168" customFormat="1" ht="22.500000" customHeight="1">
      <c r="A802" s="34">
        <v>800</v>
      </c>
      <c r="B802" s="34"/>
      <c r="C802" s="34"/>
      <c r="D802" s="34"/>
      <c r="E802" s="34"/>
      <c r="F802" s="85"/>
      <c r="G802" s="159"/>
      <c r="H802" s="155"/>
      <c r="I802" s="86"/>
      <c r="J802" s="86"/>
      <c r="K802" s="155"/>
      <c r="L802" s="85"/>
      <c r="M802" s="143"/>
      <c r="N802" s="88"/>
      <c r="O802" s="141"/>
      <c r="P802" s="31"/>
      <c r="Q802" s="88"/>
      <c r="R802" s="88"/>
      <c r="S802" s="88"/>
      <c r="T802" s="54"/>
      <c r="U802" s="54"/>
      <c r="V802" s="88"/>
    </row>
    <row r="803" spans="1:22" s="168" customFormat="1" ht="22.500000" customHeight="1">
      <c r="A803" s="34">
        <v>801</v>
      </c>
      <c r="B803" s="34"/>
      <c r="C803" s="34"/>
      <c r="D803" s="34"/>
      <c r="E803" s="34"/>
      <c r="F803" s="85"/>
      <c r="G803" s="159"/>
      <c r="H803" s="155"/>
      <c r="I803" s="86"/>
      <c r="J803" s="86"/>
      <c r="K803" s="155"/>
      <c r="L803" s="85"/>
      <c r="M803" s="142"/>
      <c r="N803" s="88"/>
      <c r="O803" s="141"/>
      <c r="P803" s="31"/>
      <c r="Q803" s="88"/>
      <c r="R803" s="88"/>
      <c r="S803" s="88"/>
      <c r="T803" s="54"/>
      <c r="U803" s="54"/>
      <c r="V803" s="88"/>
    </row>
    <row r="804" spans="1:22" s="168" customFormat="1" ht="22.500000" customHeight="1">
      <c r="A804" s="34">
        <v>802</v>
      </c>
      <c r="B804" s="34"/>
      <c r="C804" s="34"/>
      <c r="D804" s="34"/>
      <c r="E804" s="34"/>
      <c r="F804" s="85"/>
      <c r="G804" s="159"/>
      <c r="H804" s="155"/>
      <c r="I804" s="86"/>
      <c r="J804" s="86"/>
      <c r="K804" s="155"/>
      <c r="L804" s="85"/>
      <c r="M804" s="143"/>
      <c r="N804" s="88"/>
      <c r="O804" s="141"/>
      <c r="P804" s="31"/>
      <c r="Q804" s="88"/>
      <c r="R804" s="88"/>
      <c r="S804" s="88"/>
      <c r="T804" s="54"/>
      <c r="U804" s="54"/>
      <c r="V804" s="88"/>
    </row>
    <row r="805" spans="1:22" s="168" customFormat="1" ht="22.500000" customHeight="1">
      <c r="A805" s="34">
        <v>803</v>
      </c>
      <c r="B805" s="34"/>
      <c r="C805" s="34"/>
      <c r="D805" s="34"/>
      <c r="E805" s="34"/>
      <c r="F805" s="85"/>
      <c r="G805" s="159"/>
      <c r="H805" s="155"/>
      <c r="I805" s="86"/>
      <c r="J805" s="86"/>
      <c r="K805" s="155"/>
      <c r="L805" s="85"/>
      <c r="M805" s="142"/>
      <c r="N805" s="88"/>
      <c r="O805" s="141"/>
      <c r="P805" s="31"/>
      <c r="Q805" s="88"/>
      <c r="R805" s="88"/>
      <c r="S805" s="88"/>
      <c r="T805" s="54"/>
      <c r="U805" s="54"/>
      <c r="V805" s="88"/>
    </row>
    <row r="806" spans="1:22" s="168" customFormat="1" ht="22.500000" customHeight="1">
      <c r="A806" s="34">
        <v>804</v>
      </c>
      <c r="B806" s="34"/>
      <c r="C806" s="34"/>
      <c r="D806" s="34"/>
      <c r="E806" s="34"/>
      <c r="F806" s="85"/>
      <c r="G806" s="159"/>
      <c r="H806" s="155"/>
      <c r="I806" s="86"/>
      <c r="J806" s="86"/>
      <c r="K806" s="155"/>
      <c r="L806" s="85"/>
      <c r="M806" s="143"/>
      <c r="N806" s="88"/>
      <c r="O806" s="141"/>
      <c r="P806" s="31"/>
      <c r="Q806" s="88"/>
      <c r="R806" s="88"/>
      <c r="S806" s="88"/>
      <c r="T806" s="54"/>
      <c r="U806" s="54"/>
      <c r="V806" s="88"/>
    </row>
    <row r="807" spans="1:22" s="168" customFormat="1" ht="22.500000" customHeight="1">
      <c r="A807" s="34">
        <v>805</v>
      </c>
      <c r="B807" s="34"/>
      <c r="C807" s="34"/>
      <c r="D807" s="34"/>
      <c r="E807" s="34"/>
      <c r="F807" s="85"/>
      <c r="G807" s="159"/>
      <c r="H807" s="155"/>
      <c r="I807" s="86"/>
      <c r="J807" s="86"/>
      <c r="K807" s="155"/>
      <c r="L807" s="85"/>
      <c r="M807" s="142"/>
      <c r="N807" s="88"/>
      <c r="O807" s="141"/>
      <c r="P807" s="31"/>
      <c r="Q807" s="88"/>
      <c r="R807" s="88"/>
      <c r="S807" s="88"/>
      <c r="T807" s="54"/>
      <c r="U807" s="54"/>
      <c r="V807" s="88"/>
    </row>
    <row r="808" spans="1:22" s="168" customFormat="1" ht="22.500000" customHeight="1">
      <c r="A808" s="34">
        <v>806</v>
      </c>
      <c r="B808" s="34"/>
      <c r="C808" s="34"/>
      <c r="D808" s="34"/>
      <c r="E808" s="34"/>
      <c r="F808" s="85"/>
      <c r="G808" s="159"/>
      <c r="H808" s="155"/>
      <c r="I808" s="86"/>
      <c r="J808" s="86"/>
      <c r="K808" s="155"/>
      <c r="L808" s="85"/>
      <c r="M808" s="143"/>
      <c r="N808" s="88"/>
      <c r="O808" s="141"/>
      <c r="P808" s="31"/>
      <c r="Q808" s="88"/>
      <c r="R808" s="88"/>
      <c r="S808" s="88"/>
      <c r="T808" s="54"/>
      <c r="U808" s="54"/>
      <c r="V808" s="88"/>
    </row>
    <row r="809" spans="1:22" s="168" customFormat="1" ht="22.500000" customHeight="1">
      <c r="A809" s="34">
        <v>807</v>
      </c>
      <c r="B809" s="34"/>
      <c r="C809" s="34"/>
      <c r="D809" s="34"/>
      <c r="E809" s="34"/>
      <c r="F809" s="85"/>
      <c r="G809" s="159"/>
      <c r="H809" s="155"/>
      <c r="I809" s="86"/>
      <c r="J809" s="86"/>
      <c r="K809" s="155"/>
      <c r="L809" s="85"/>
      <c r="M809" s="142"/>
      <c r="N809" s="88"/>
      <c r="O809" s="141"/>
      <c r="P809" s="31"/>
      <c r="Q809" s="88"/>
      <c r="R809" s="88"/>
      <c r="S809" s="88"/>
      <c r="T809" s="54"/>
      <c r="U809" s="54"/>
      <c r="V809" s="88"/>
    </row>
    <row r="810" spans="1:22" s="168" customFormat="1" ht="22.500000" customHeight="1">
      <c r="A810" s="34">
        <v>808</v>
      </c>
      <c r="B810" s="34"/>
      <c r="C810" s="34"/>
      <c r="D810" s="34"/>
      <c r="E810" s="34"/>
      <c r="F810" s="85"/>
      <c r="G810" s="159"/>
      <c r="H810" s="155"/>
      <c r="I810" s="86"/>
      <c r="J810" s="86"/>
      <c r="K810" s="155"/>
      <c r="L810" s="85"/>
      <c r="M810" s="143"/>
      <c r="N810" s="88"/>
      <c r="O810" s="141"/>
      <c r="P810" s="31"/>
      <c r="Q810" s="88"/>
      <c r="R810" s="88"/>
      <c r="S810" s="88"/>
      <c r="T810" s="54"/>
      <c r="U810" s="54"/>
      <c r="V810" s="88"/>
    </row>
    <row r="811" spans="1:22" s="168" customFormat="1" ht="22.500000" customHeight="1">
      <c r="A811" s="34">
        <v>809</v>
      </c>
      <c r="B811" s="34"/>
      <c r="C811" s="34"/>
      <c r="D811" s="34"/>
      <c r="E811" s="34"/>
      <c r="F811" s="85"/>
      <c r="G811" s="159"/>
      <c r="H811" s="155"/>
      <c r="I811" s="86"/>
      <c r="J811" s="86"/>
      <c r="K811" s="155"/>
      <c r="L811" s="85"/>
      <c r="M811" s="142"/>
      <c r="N811" s="88"/>
      <c r="O811" s="141"/>
      <c r="P811" s="31"/>
      <c r="Q811" s="88"/>
      <c r="R811" s="88"/>
      <c r="S811" s="88"/>
      <c r="T811" s="54"/>
      <c r="U811" s="54"/>
      <c r="V811" s="88"/>
    </row>
    <row r="812" spans="1:22" s="168" customFormat="1" ht="22.500000" customHeight="1">
      <c r="A812" s="34">
        <v>810</v>
      </c>
      <c r="B812" s="34"/>
      <c r="C812" s="34"/>
      <c r="D812" s="34"/>
      <c r="E812" s="34"/>
      <c r="F812" s="85"/>
      <c r="G812" s="159"/>
      <c r="H812" s="155"/>
      <c r="I812" s="86"/>
      <c r="J812" s="86"/>
      <c r="K812" s="155"/>
      <c r="L812" s="85"/>
      <c r="M812" s="143"/>
      <c r="N812" s="88"/>
      <c r="O812" s="141"/>
      <c r="P812" s="31"/>
      <c r="Q812" s="88"/>
      <c r="R812" s="88"/>
      <c r="S812" s="88"/>
      <c r="T812" s="54"/>
      <c r="U812" s="54"/>
      <c r="V812" s="88"/>
    </row>
    <row r="813" spans="1:22" s="168" customFormat="1" ht="22.500000" customHeight="1">
      <c r="A813" s="34">
        <v>811</v>
      </c>
      <c r="B813" s="34"/>
      <c r="C813" s="34"/>
      <c r="D813" s="34"/>
      <c r="E813" s="34"/>
      <c r="F813" s="85"/>
      <c r="G813" s="159"/>
      <c r="H813" s="155"/>
      <c r="I813" s="86"/>
      <c r="J813" s="86"/>
      <c r="K813" s="155"/>
      <c r="L813" s="85"/>
      <c r="M813" s="142"/>
      <c r="N813" s="88"/>
      <c r="O813" s="141"/>
      <c r="P813" s="31"/>
      <c r="Q813" s="88"/>
      <c r="R813" s="88"/>
      <c r="S813" s="88"/>
      <c r="T813" s="54"/>
      <c r="U813" s="54"/>
      <c r="V813" s="88"/>
    </row>
    <row r="814" spans="1:22" s="168" customFormat="1" ht="22.500000" customHeight="1">
      <c r="A814" s="34">
        <v>812</v>
      </c>
      <c r="B814" s="34"/>
      <c r="C814" s="34"/>
      <c r="D814" s="34"/>
      <c r="E814" s="34"/>
      <c r="F814" s="85"/>
      <c r="G814" s="159"/>
      <c r="H814" s="155"/>
      <c r="I814" s="86"/>
      <c r="J814" s="86"/>
      <c r="K814" s="155"/>
      <c r="L814" s="85"/>
      <c r="M814" s="143"/>
      <c r="N814" s="88"/>
      <c r="O814" s="141"/>
      <c r="P814" s="31"/>
      <c r="Q814" s="88"/>
      <c r="R814" s="88"/>
      <c r="S814" s="88"/>
      <c r="T814" s="54"/>
      <c r="U814" s="54"/>
      <c r="V814" s="88"/>
    </row>
    <row r="815" spans="1:22" s="168" customFormat="1" ht="22.500000" customHeight="1">
      <c r="A815" s="34">
        <v>813</v>
      </c>
      <c r="B815" s="34"/>
      <c r="C815" s="34"/>
      <c r="D815" s="34"/>
      <c r="E815" s="34"/>
      <c r="F815" s="85"/>
      <c r="G815" s="159"/>
      <c r="H815" s="155"/>
      <c r="I815" s="86"/>
      <c r="J815" s="86"/>
      <c r="K815" s="155"/>
      <c r="L815" s="85"/>
      <c r="M815" s="142"/>
      <c r="N815" s="88"/>
      <c r="O815" s="141"/>
      <c r="P815" s="31"/>
      <c r="Q815" s="88"/>
      <c r="R815" s="88"/>
      <c r="S815" s="88"/>
      <c r="T815" s="54"/>
      <c r="U815" s="54"/>
      <c r="V815" s="88"/>
    </row>
    <row r="816" spans="1:22" s="168" customFormat="1" ht="22.500000" customHeight="1">
      <c r="A816" s="34">
        <v>814</v>
      </c>
      <c r="B816" s="34"/>
      <c r="C816" s="34"/>
      <c r="D816" s="34"/>
      <c r="E816" s="34"/>
      <c r="F816" s="85"/>
      <c r="G816" s="159"/>
      <c r="H816" s="155"/>
      <c r="I816" s="86"/>
      <c r="J816" s="86"/>
      <c r="K816" s="155"/>
      <c r="L816" s="85"/>
      <c r="M816" s="143"/>
      <c r="N816" s="88"/>
      <c r="O816" s="141"/>
      <c r="P816" s="31"/>
      <c r="Q816" s="88"/>
      <c r="R816" s="88"/>
      <c r="S816" s="88"/>
      <c r="T816" s="54"/>
      <c r="U816" s="54"/>
      <c r="V816" s="88"/>
    </row>
    <row r="817" spans="1:22" s="168" customFormat="1" ht="22.500000" customHeight="1">
      <c r="A817" s="34">
        <v>815</v>
      </c>
      <c r="B817" s="34"/>
      <c r="C817" s="34"/>
      <c r="D817" s="34"/>
      <c r="E817" s="34"/>
      <c r="F817" s="85"/>
      <c r="G817" s="159"/>
      <c r="H817" s="155"/>
      <c r="I817" s="86"/>
      <c r="J817" s="86"/>
      <c r="K817" s="155"/>
      <c r="L817" s="85"/>
      <c r="M817" s="142"/>
      <c r="N817" s="88"/>
      <c r="O817" s="141"/>
      <c r="P817" s="31"/>
      <c r="Q817" s="88"/>
      <c r="R817" s="88"/>
      <c r="S817" s="88"/>
      <c r="T817" s="54"/>
      <c r="U817" s="54"/>
      <c r="V817" s="88"/>
    </row>
    <row r="818" spans="1:22" s="168" customFormat="1" ht="22.500000" customHeight="1">
      <c r="A818" s="34">
        <v>816</v>
      </c>
      <c r="B818" s="34"/>
      <c r="C818" s="34"/>
      <c r="D818" s="34"/>
      <c r="E818" s="34"/>
      <c r="F818" s="85"/>
      <c r="G818" s="159"/>
      <c r="H818" s="155"/>
      <c r="I818" s="86"/>
      <c r="J818" s="86"/>
      <c r="K818" s="155"/>
      <c r="L818" s="85"/>
      <c r="M818" s="143"/>
      <c r="N818" s="88"/>
      <c r="O818" s="141"/>
      <c r="P818" s="31"/>
      <c r="Q818" s="88"/>
      <c r="R818" s="88"/>
      <c r="S818" s="88"/>
      <c r="T818" s="54"/>
      <c r="U818" s="54"/>
      <c r="V818" s="88"/>
    </row>
    <row r="819" spans="1:22" s="168" customFormat="1" ht="22.500000" customHeight="1">
      <c r="A819" s="34">
        <v>817</v>
      </c>
      <c r="B819" s="34"/>
      <c r="C819" s="34"/>
      <c r="D819" s="34"/>
      <c r="E819" s="34"/>
      <c r="F819" s="85"/>
      <c r="G819" s="159"/>
      <c r="H819" s="155"/>
      <c r="I819" s="86"/>
      <c r="J819" s="86"/>
      <c r="K819" s="155"/>
      <c r="L819" s="85"/>
      <c r="M819" s="142"/>
      <c r="N819" s="88"/>
      <c r="O819" s="141"/>
      <c r="P819" s="31"/>
      <c r="Q819" s="88"/>
      <c r="R819" s="88"/>
      <c r="S819" s="88"/>
      <c r="T819" s="54"/>
      <c r="U819" s="54"/>
      <c r="V819" s="88"/>
    </row>
    <row r="820" spans="1:22" s="168" customFormat="1" ht="22.500000" customHeight="1">
      <c r="A820" s="34">
        <v>818</v>
      </c>
      <c r="B820" s="34"/>
      <c r="C820" s="34"/>
      <c r="D820" s="34"/>
      <c r="E820" s="34"/>
      <c r="F820" s="85"/>
      <c r="G820" s="159"/>
      <c r="H820" s="155"/>
      <c r="I820" s="86"/>
      <c r="J820" s="86"/>
      <c r="K820" s="155"/>
      <c r="L820" s="85"/>
      <c r="M820" s="143"/>
      <c r="N820" s="88"/>
      <c r="O820" s="141"/>
      <c r="P820" s="31"/>
      <c r="Q820" s="88"/>
      <c r="R820" s="88"/>
      <c r="S820" s="88"/>
      <c r="T820" s="54"/>
      <c r="U820" s="54"/>
      <c r="V820" s="88"/>
    </row>
    <row r="821" spans="1:22" s="168" customFormat="1" ht="22.500000" customHeight="1">
      <c r="A821" s="34">
        <v>819</v>
      </c>
      <c r="B821" s="34"/>
      <c r="C821" s="34"/>
      <c r="D821" s="34"/>
      <c r="E821" s="34"/>
      <c r="F821" s="85"/>
      <c r="G821" s="159"/>
      <c r="H821" s="155"/>
      <c r="I821" s="86"/>
      <c r="J821" s="86"/>
      <c r="K821" s="155"/>
      <c r="L821" s="85"/>
      <c r="M821" s="142"/>
      <c r="N821" s="88"/>
      <c r="O821" s="141"/>
      <c r="P821" s="31"/>
      <c r="Q821" s="88"/>
      <c r="R821" s="88"/>
      <c r="S821" s="88"/>
      <c r="T821" s="54"/>
      <c r="U821" s="54"/>
      <c r="V821" s="88"/>
    </row>
    <row r="822" spans="1:22" s="168" customFormat="1" ht="22.500000" customHeight="1">
      <c r="A822" s="34">
        <v>820</v>
      </c>
      <c r="B822" s="34"/>
      <c r="C822" s="34"/>
      <c r="D822" s="34"/>
      <c r="E822" s="34"/>
      <c r="F822" s="85"/>
      <c r="G822" s="159"/>
      <c r="H822" s="155"/>
      <c r="I822" s="86"/>
      <c r="J822" s="86"/>
      <c r="K822" s="155"/>
      <c r="L822" s="85"/>
      <c r="M822" s="143"/>
      <c r="N822" s="88"/>
      <c r="O822" s="141"/>
      <c r="P822" s="31"/>
      <c r="Q822" s="88"/>
      <c r="R822" s="88"/>
      <c r="S822" s="88"/>
      <c r="T822" s="54"/>
      <c r="U822" s="54"/>
      <c r="V822" s="88"/>
    </row>
    <row r="823" spans="1:22" s="168" customFormat="1" ht="22.500000" customHeight="1">
      <c r="A823" s="34">
        <v>821</v>
      </c>
      <c r="B823" s="34"/>
      <c r="C823" s="34"/>
      <c r="D823" s="34"/>
      <c r="E823" s="34"/>
      <c r="F823" s="85"/>
      <c r="G823" s="159"/>
      <c r="H823" s="155"/>
      <c r="I823" s="86"/>
      <c r="J823" s="86"/>
      <c r="K823" s="155"/>
      <c r="L823" s="85"/>
      <c r="M823" s="142"/>
      <c r="N823" s="88"/>
      <c r="O823" s="141"/>
      <c r="P823" s="31"/>
      <c r="Q823" s="88"/>
      <c r="R823" s="88"/>
      <c r="S823" s="88"/>
      <c r="T823" s="54"/>
      <c r="U823" s="54"/>
      <c r="V823" s="88"/>
    </row>
    <row r="824" spans="1:22" s="168" customFormat="1" ht="22.500000" customHeight="1">
      <c r="A824" s="34">
        <v>822</v>
      </c>
      <c r="B824" s="34"/>
      <c r="C824" s="34"/>
      <c r="D824" s="34"/>
      <c r="E824" s="34"/>
      <c r="F824" s="85"/>
      <c r="G824" s="159"/>
      <c r="H824" s="155"/>
      <c r="I824" s="86"/>
      <c r="J824" s="86"/>
      <c r="K824" s="155"/>
      <c r="L824" s="85"/>
      <c r="M824" s="143"/>
      <c r="N824" s="88"/>
      <c r="O824" s="141"/>
      <c r="P824" s="31"/>
      <c r="Q824" s="88"/>
      <c r="R824" s="88"/>
      <c r="S824" s="88"/>
      <c r="T824" s="54"/>
      <c r="U824" s="54"/>
      <c r="V824" s="88"/>
    </row>
    <row r="825" spans="1:22" s="168" customFormat="1" ht="22.500000" customHeight="1">
      <c r="A825" s="34">
        <v>823</v>
      </c>
      <c r="B825" s="34"/>
      <c r="C825" s="34"/>
      <c r="D825" s="34"/>
      <c r="E825" s="34"/>
      <c r="F825" s="85"/>
      <c r="G825" s="159"/>
      <c r="H825" s="155"/>
      <c r="I825" s="86"/>
      <c r="J825" s="86"/>
      <c r="K825" s="155"/>
      <c r="L825" s="85"/>
      <c r="M825" s="142"/>
      <c r="N825" s="88"/>
      <c r="O825" s="141"/>
      <c r="P825" s="31"/>
      <c r="Q825" s="88"/>
      <c r="R825" s="88"/>
      <c r="S825" s="88"/>
      <c r="T825" s="54"/>
      <c r="U825" s="54"/>
      <c r="V825" s="88"/>
    </row>
    <row r="826" spans="1:22" s="168" customFormat="1" ht="22.500000" customHeight="1">
      <c r="A826" s="34">
        <v>824</v>
      </c>
      <c r="B826" s="34"/>
      <c r="C826" s="34"/>
      <c r="D826" s="34"/>
      <c r="E826" s="34"/>
      <c r="F826" s="85"/>
      <c r="G826" s="159"/>
      <c r="H826" s="155"/>
      <c r="I826" s="86"/>
      <c r="J826" s="86"/>
      <c r="K826" s="155"/>
      <c r="L826" s="85"/>
      <c r="M826" s="143"/>
      <c r="N826" s="88"/>
      <c r="O826" s="141"/>
      <c r="P826" s="31"/>
      <c r="Q826" s="88"/>
      <c r="R826" s="88"/>
      <c r="S826" s="88"/>
      <c r="T826" s="54"/>
      <c r="U826" s="54"/>
      <c r="V826" s="88"/>
    </row>
    <row r="827" spans="1:22" s="168" customFormat="1" ht="22.500000" customHeight="1">
      <c r="A827" s="34">
        <v>825</v>
      </c>
      <c r="B827" s="34"/>
      <c r="C827" s="34"/>
      <c r="D827" s="34"/>
      <c r="E827" s="34"/>
      <c r="F827" s="85"/>
      <c r="G827" s="159"/>
      <c r="H827" s="155"/>
      <c r="I827" s="86"/>
      <c r="J827" s="86"/>
      <c r="K827" s="155"/>
      <c r="L827" s="85"/>
      <c r="M827" s="142"/>
      <c r="N827" s="88"/>
      <c r="O827" s="141"/>
      <c r="P827" s="31"/>
      <c r="Q827" s="88"/>
      <c r="R827" s="88"/>
      <c r="S827" s="88"/>
      <c r="T827" s="54"/>
      <c r="U827" s="54"/>
      <c r="V827" s="88"/>
    </row>
    <row r="828" spans="1:22" s="168" customFormat="1" ht="22.500000" customHeight="1">
      <c r="A828" s="34">
        <v>826</v>
      </c>
      <c r="B828" s="34"/>
      <c r="C828" s="34"/>
      <c r="D828" s="34"/>
      <c r="E828" s="34"/>
      <c r="F828" s="85"/>
      <c r="G828" s="159"/>
      <c r="H828" s="155"/>
      <c r="I828" s="86"/>
      <c r="J828" s="86"/>
      <c r="K828" s="155"/>
      <c r="L828" s="85"/>
      <c r="M828" s="143"/>
      <c r="N828" s="88"/>
      <c r="O828" s="141"/>
      <c r="P828" s="31"/>
      <c r="Q828" s="88"/>
      <c r="R828" s="88"/>
      <c r="S828" s="88"/>
      <c r="T828" s="54"/>
      <c r="U828" s="54"/>
      <c r="V828" s="88"/>
    </row>
    <row r="829" spans="1:22" s="168" customFormat="1" ht="22.500000" customHeight="1">
      <c r="A829" s="34">
        <v>827</v>
      </c>
      <c r="B829" s="34"/>
      <c r="C829" s="34"/>
      <c r="D829" s="34"/>
      <c r="E829" s="34"/>
      <c r="F829" s="85"/>
      <c r="G829" s="159"/>
      <c r="H829" s="155"/>
      <c r="I829" s="86"/>
      <c r="J829" s="86"/>
      <c r="K829" s="155"/>
      <c r="L829" s="85"/>
      <c r="M829" s="142"/>
      <c r="N829" s="88"/>
      <c r="O829" s="141"/>
      <c r="P829" s="31"/>
      <c r="Q829" s="88"/>
      <c r="R829" s="88"/>
      <c r="S829" s="88"/>
      <c r="T829" s="54"/>
      <c r="U829" s="54"/>
      <c r="V829" s="88"/>
    </row>
    <row r="830" spans="1:22" s="168" customFormat="1" ht="22.500000" customHeight="1">
      <c r="A830" s="34">
        <v>828</v>
      </c>
      <c r="B830" s="34"/>
      <c r="C830" s="34"/>
      <c r="D830" s="34"/>
      <c r="E830" s="34"/>
      <c r="F830" s="85"/>
      <c r="G830" s="159"/>
      <c r="H830" s="155"/>
      <c r="I830" s="86"/>
      <c r="J830" s="86"/>
      <c r="K830" s="155"/>
      <c r="L830" s="85"/>
      <c r="M830" s="143"/>
      <c r="N830" s="88"/>
      <c r="O830" s="141"/>
      <c r="P830" s="31"/>
      <c r="Q830" s="88"/>
      <c r="R830" s="88"/>
      <c r="S830" s="88"/>
      <c r="T830" s="54"/>
      <c r="U830" s="54"/>
      <c r="V830" s="88"/>
    </row>
    <row r="831" spans="1:22" s="168" customFormat="1" ht="22.500000" customHeight="1">
      <c r="A831" s="34">
        <v>829</v>
      </c>
      <c r="B831" s="34"/>
      <c r="C831" s="34"/>
      <c r="D831" s="34"/>
      <c r="E831" s="34"/>
      <c r="F831" s="85"/>
      <c r="G831" s="159"/>
      <c r="H831" s="155"/>
      <c r="I831" s="86"/>
      <c r="J831" s="86"/>
      <c r="K831" s="155"/>
      <c r="L831" s="85"/>
      <c r="M831" s="142"/>
      <c r="N831" s="88"/>
      <c r="O831" s="141"/>
      <c r="P831" s="31"/>
      <c r="Q831" s="88"/>
      <c r="R831" s="88"/>
      <c r="S831" s="88"/>
      <c r="T831" s="54"/>
      <c r="U831" s="54"/>
      <c r="V831" s="88"/>
    </row>
    <row r="832" spans="1:22" s="168" customFormat="1" ht="22.500000" customHeight="1">
      <c r="A832" s="34">
        <v>830</v>
      </c>
      <c r="B832" s="34"/>
      <c r="C832" s="34"/>
      <c r="D832" s="34"/>
      <c r="E832" s="34"/>
      <c r="F832" s="85"/>
      <c r="G832" s="159"/>
      <c r="H832" s="155"/>
      <c r="I832" s="86"/>
      <c r="J832" s="86"/>
      <c r="K832" s="155"/>
      <c r="L832" s="85"/>
      <c r="M832" s="143"/>
      <c r="N832" s="88"/>
      <c r="O832" s="141"/>
      <c r="P832" s="31"/>
      <c r="Q832" s="88"/>
      <c r="R832" s="88"/>
      <c r="S832" s="88"/>
      <c r="T832" s="54"/>
      <c r="U832" s="54"/>
      <c r="V832" s="88"/>
    </row>
    <row r="833" spans="1:22" s="168" customFormat="1" ht="22.500000" customHeight="1">
      <c r="A833" s="34">
        <v>831</v>
      </c>
      <c r="B833" s="34"/>
      <c r="C833" s="34"/>
      <c r="D833" s="34"/>
      <c r="E833" s="34"/>
      <c r="F833" s="85"/>
      <c r="G833" s="159"/>
      <c r="H833" s="155"/>
      <c r="I833" s="86"/>
      <c r="J833" s="86"/>
      <c r="K833" s="155"/>
      <c r="L833" s="85"/>
      <c r="M833" s="142"/>
      <c r="N833" s="88"/>
      <c r="O833" s="141"/>
      <c r="P833" s="31"/>
      <c r="Q833" s="88"/>
      <c r="R833" s="88"/>
      <c r="S833" s="88"/>
      <c r="T833" s="54"/>
      <c r="U833" s="54"/>
      <c r="V833" s="88"/>
    </row>
    <row r="834" spans="1:22" s="168" customFormat="1" ht="22.500000" customHeight="1">
      <c r="A834" s="34">
        <v>832</v>
      </c>
      <c r="B834" s="34"/>
      <c r="C834" s="34"/>
      <c r="D834" s="34"/>
      <c r="E834" s="34"/>
      <c r="F834" s="85"/>
      <c r="G834" s="159"/>
      <c r="H834" s="155"/>
      <c r="I834" s="86"/>
      <c r="J834" s="86"/>
      <c r="K834" s="155"/>
      <c r="L834" s="85"/>
      <c r="M834" s="143"/>
      <c r="N834" s="88"/>
      <c r="O834" s="141"/>
      <c r="P834" s="31"/>
      <c r="Q834" s="88"/>
      <c r="R834" s="88"/>
      <c r="S834" s="88"/>
      <c r="T834" s="54"/>
      <c r="U834" s="54"/>
      <c r="V834" s="88"/>
    </row>
    <row r="835" spans="1:22" s="168" customFormat="1" ht="22.500000" customHeight="1">
      <c r="A835" s="34">
        <v>833</v>
      </c>
      <c r="B835" s="34"/>
      <c r="C835" s="34"/>
      <c r="D835" s="34"/>
      <c r="E835" s="34"/>
      <c r="F835" s="85"/>
      <c r="G835" s="159"/>
      <c r="H835" s="155"/>
      <c r="I835" s="86"/>
      <c r="J835" s="86"/>
      <c r="K835" s="155"/>
      <c r="L835" s="85"/>
      <c r="M835" s="142"/>
      <c r="N835" s="88"/>
      <c r="O835" s="141"/>
      <c r="P835" s="31"/>
      <c r="Q835" s="88"/>
      <c r="R835" s="88"/>
      <c r="S835" s="88"/>
      <c r="T835" s="54"/>
      <c r="U835" s="54"/>
      <c r="V835" s="88"/>
    </row>
    <row r="836" spans="1:22" s="168" customFormat="1" ht="22.500000" customHeight="1">
      <c r="A836" s="34">
        <v>834</v>
      </c>
      <c r="B836" s="34"/>
      <c r="C836" s="34"/>
      <c r="D836" s="34"/>
      <c r="E836" s="34"/>
      <c r="F836" s="85"/>
      <c r="G836" s="159"/>
      <c r="H836" s="155"/>
      <c r="I836" s="86"/>
      <c r="J836" s="86"/>
      <c r="K836" s="155"/>
      <c r="L836" s="85"/>
      <c r="M836" s="143"/>
      <c r="N836" s="88"/>
      <c r="O836" s="141"/>
      <c r="P836" s="31"/>
      <c r="Q836" s="88"/>
      <c r="R836" s="88"/>
      <c r="S836" s="88"/>
      <c r="T836" s="54"/>
      <c r="U836" s="54"/>
      <c r="V836" s="88"/>
    </row>
    <row r="837" spans="1:22" s="168" customFormat="1" ht="22.500000" customHeight="1">
      <c r="A837" s="34">
        <v>835</v>
      </c>
      <c r="B837" s="34"/>
      <c r="C837" s="34"/>
      <c r="D837" s="34"/>
      <c r="E837" s="34"/>
      <c r="F837" s="85"/>
      <c r="G837" s="159"/>
      <c r="H837" s="155"/>
      <c r="I837" s="86"/>
      <c r="J837" s="86"/>
      <c r="K837" s="155"/>
      <c r="L837" s="85"/>
      <c r="M837" s="142"/>
      <c r="N837" s="88"/>
      <c r="O837" s="141"/>
      <c r="P837" s="31"/>
      <c r="Q837" s="88"/>
      <c r="R837" s="88"/>
      <c r="S837" s="88"/>
      <c r="T837" s="54"/>
      <c r="U837" s="54"/>
      <c r="V837" s="88"/>
    </row>
    <row r="838" spans="1:22" s="168" customFormat="1" ht="22.500000" customHeight="1">
      <c r="A838" s="34">
        <v>836</v>
      </c>
      <c r="B838" s="34"/>
      <c r="C838" s="34"/>
      <c r="D838" s="34"/>
      <c r="E838" s="34"/>
      <c r="F838" s="85"/>
      <c r="G838" s="159"/>
      <c r="H838" s="155"/>
      <c r="I838" s="86"/>
      <c r="J838" s="86"/>
      <c r="K838" s="155"/>
      <c r="L838" s="85"/>
      <c r="M838" s="143"/>
      <c r="N838" s="88"/>
      <c r="O838" s="141"/>
      <c r="P838" s="31"/>
      <c r="Q838" s="88"/>
      <c r="R838" s="88"/>
      <c r="S838" s="88"/>
      <c r="T838" s="54"/>
      <c r="U838" s="54"/>
      <c r="V838" s="88"/>
    </row>
    <row r="839" spans="1:22" s="168" customFormat="1" ht="22.500000" customHeight="1">
      <c r="A839" s="34">
        <v>837</v>
      </c>
      <c r="B839" s="34"/>
      <c r="C839" s="34"/>
      <c r="D839" s="34"/>
      <c r="E839" s="34"/>
      <c r="F839" s="85"/>
      <c r="G839" s="159"/>
      <c r="H839" s="155"/>
      <c r="I839" s="86"/>
      <c r="J839" s="86"/>
      <c r="K839" s="155"/>
      <c r="L839" s="85"/>
      <c r="M839" s="142"/>
      <c r="N839" s="88"/>
      <c r="O839" s="141"/>
      <c r="P839" s="31"/>
      <c r="Q839" s="88"/>
      <c r="R839" s="88"/>
      <c r="S839" s="88"/>
      <c r="T839" s="54"/>
      <c r="U839" s="54"/>
      <c r="V839" s="88"/>
    </row>
    <row r="840" spans="1:22" s="168" customFormat="1" ht="22.500000" customHeight="1">
      <c r="A840" s="34">
        <v>838</v>
      </c>
      <c r="B840" s="34"/>
      <c r="C840" s="34"/>
      <c r="D840" s="34"/>
      <c r="E840" s="34"/>
      <c r="F840" s="85"/>
      <c r="G840" s="159"/>
      <c r="H840" s="155"/>
      <c r="I840" s="86"/>
      <c r="J840" s="86"/>
      <c r="K840" s="155"/>
      <c r="L840" s="85"/>
      <c r="M840" s="143"/>
      <c r="N840" s="88"/>
      <c r="O840" s="141"/>
      <c r="P840" s="31"/>
      <c r="Q840" s="88"/>
      <c r="R840" s="88"/>
      <c r="S840" s="88"/>
      <c r="T840" s="54"/>
      <c r="U840" s="54"/>
      <c r="V840" s="88"/>
    </row>
    <row r="841" spans="1:22" s="168" customFormat="1" ht="22.500000" customHeight="1">
      <c r="A841" s="34">
        <v>839</v>
      </c>
      <c r="B841" s="34"/>
      <c r="C841" s="34"/>
      <c r="D841" s="34"/>
      <c r="E841" s="34"/>
      <c r="F841" s="85"/>
      <c r="G841" s="159"/>
      <c r="H841" s="155"/>
      <c r="I841" s="86"/>
      <c r="J841" s="86"/>
      <c r="K841" s="155"/>
      <c r="L841" s="85"/>
      <c r="M841" s="142"/>
      <c r="N841" s="88"/>
      <c r="O841" s="141"/>
      <c r="P841" s="31"/>
      <c r="Q841" s="88"/>
      <c r="R841" s="88"/>
      <c r="S841" s="88"/>
      <c r="T841" s="54"/>
      <c r="U841" s="54"/>
      <c r="V841" s="88"/>
    </row>
    <row r="842" spans="1:22" s="168" customFormat="1" ht="22.500000" customHeight="1">
      <c r="A842" s="34">
        <v>840</v>
      </c>
      <c r="B842" s="34"/>
      <c r="C842" s="34"/>
      <c r="D842" s="34"/>
      <c r="E842" s="34"/>
      <c r="F842" s="85"/>
      <c r="G842" s="159"/>
      <c r="H842" s="155"/>
      <c r="I842" s="86"/>
      <c r="J842" s="86"/>
      <c r="K842" s="155"/>
      <c r="L842" s="85"/>
      <c r="M842" s="143"/>
      <c r="N842" s="88"/>
      <c r="O842" s="141"/>
      <c r="P842" s="31"/>
      <c r="Q842" s="88"/>
      <c r="R842" s="88"/>
      <c r="S842" s="88"/>
      <c r="T842" s="54"/>
      <c r="U842" s="54"/>
      <c r="V842" s="88"/>
    </row>
    <row r="843" spans="1:22" s="168" customFormat="1" ht="22.500000" customHeight="1">
      <c r="A843" s="34">
        <v>841</v>
      </c>
      <c r="B843" s="34"/>
      <c r="C843" s="34"/>
      <c r="D843" s="34"/>
      <c r="E843" s="34"/>
      <c r="F843" s="85"/>
      <c r="G843" s="159"/>
      <c r="H843" s="155"/>
      <c r="I843" s="86"/>
      <c r="J843" s="86"/>
      <c r="K843" s="155"/>
      <c r="L843" s="85"/>
      <c r="M843" s="142"/>
      <c r="N843" s="88"/>
      <c r="O843" s="141"/>
      <c r="P843" s="31"/>
      <c r="Q843" s="88"/>
      <c r="R843" s="88"/>
      <c r="S843" s="88"/>
      <c r="T843" s="54"/>
      <c r="U843" s="54"/>
      <c r="V843" s="88"/>
    </row>
    <row r="844" spans="1:22" s="168" customFormat="1" ht="22.500000" customHeight="1">
      <c r="A844" s="34">
        <v>842</v>
      </c>
      <c r="B844" s="34"/>
      <c r="C844" s="34"/>
      <c r="D844" s="34"/>
      <c r="E844" s="34"/>
      <c r="F844" s="85"/>
      <c r="G844" s="159"/>
      <c r="H844" s="155"/>
      <c r="I844" s="86"/>
      <c r="J844" s="86"/>
      <c r="K844" s="155"/>
      <c r="L844" s="85"/>
      <c r="M844" s="143"/>
      <c r="N844" s="88"/>
      <c r="O844" s="141"/>
      <c r="P844" s="31"/>
      <c r="Q844" s="88"/>
      <c r="R844" s="88"/>
      <c r="S844" s="88"/>
      <c r="T844" s="54"/>
      <c r="U844" s="54"/>
      <c r="V844" s="88"/>
    </row>
    <row r="845" spans="1:22" s="168" customFormat="1" ht="22.500000" customHeight="1">
      <c r="A845" s="34">
        <v>843</v>
      </c>
      <c r="B845" s="34"/>
      <c r="C845" s="34"/>
      <c r="D845" s="34"/>
      <c r="E845" s="34"/>
      <c r="F845" s="85"/>
      <c r="G845" s="159"/>
      <c r="H845" s="155"/>
      <c r="I845" s="86"/>
      <c r="J845" s="86"/>
      <c r="K845" s="155"/>
      <c r="L845" s="85"/>
      <c r="M845" s="142"/>
      <c r="N845" s="88"/>
      <c r="O845" s="141"/>
      <c r="P845" s="31"/>
      <c r="Q845" s="88"/>
      <c r="R845" s="88"/>
      <c r="S845" s="88"/>
      <c r="T845" s="54"/>
      <c r="U845" s="54"/>
      <c r="V845" s="88"/>
    </row>
    <row r="846" spans="1:22" s="168" customFormat="1" ht="22.500000" customHeight="1">
      <c r="A846" s="34">
        <v>844</v>
      </c>
      <c r="B846" s="34"/>
      <c r="C846" s="34"/>
      <c r="D846" s="34"/>
      <c r="E846" s="34"/>
      <c r="F846" s="85"/>
      <c r="G846" s="159"/>
      <c r="H846" s="155"/>
      <c r="I846" s="86"/>
      <c r="J846" s="86"/>
      <c r="K846" s="155"/>
      <c r="L846" s="85"/>
      <c r="M846" s="143"/>
      <c r="N846" s="88"/>
      <c r="O846" s="141"/>
      <c r="P846" s="31"/>
      <c r="Q846" s="88"/>
      <c r="R846" s="88"/>
      <c r="S846" s="88"/>
      <c r="T846" s="54"/>
      <c r="U846" s="54"/>
      <c r="V846" s="88"/>
    </row>
    <row r="847" spans="1:22" s="168" customFormat="1" ht="22.500000" customHeight="1">
      <c r="A847" s="34">
        <v>845</v>
      </c>
      <c r="B847" s="34"/>
      <c r="C847" s="34"/>
      <c r="D847" s="34"/>
      <c r="E847" s="34"/>
      <c r="F847" s="85"/>
      <c r="G847" s="159"/>
      <c r="H847" s="155"/>
      <c r="I847" s="86"/>
      <c r="J847" s="86"/>
      <c r="K847" s="155"/>
      <c r="L847" s="85"/>
      <c r="M847" s="142"/>
      <c r="N847" s="88"/>
      <c r="O847" s="141"/>
      <c r="P847" s="31"/>
      <c r="Q847" s="88"/>
      <c r="R847" s="88"/>
      <c r="S847" s="88"/>
      <c r="T847" s="54"/>
      <c r="U847" s="54"/>
      <c r="V847" s="88"/>
    </row>
    <row r="848" spans="1:22" s="168" customFormat="1" ht="22.500000" customHeight="1">
      <c r="A848" s="34">
        <v>846</v>
      </c>
      <c r="B848" s="34"/>
      <c r="C848" s="34"/>
      <c r="D848" s="34"/>
      <c r="E848" s="34"/>
      <c r="F848" s="85"/>
      <c r="G848" s="159"/>
      <c r="H848" s="155"/>
      <c r="I848" s="86"/>
      <c r="J848" s="86"/>
      <c r="K848" s="155"/>
      <c r="L848" s="85"/>
      <c r="M848" s="143"/>
      <c r="N848" s="88"/>
      <c r="O848" s="141"/>
      <c r="P848" s="31"/>
      <c r="Q848" s="88"/>
      <c r="R848" s="88"/>
      <c r="S848" s="88"/>
      <c r="T848" s="54"/>
      <c r="U848" s="54"/>
      <c r="V848" s="88"/>
    </row>
    <row r="849" spans="1:22" s="168" customFormat="1" ht="22.500000" customHeight="1">
      <c r="A849" s="34">
        <v>847</v>
      </c>
      <c r="B849" s="34"/>
      <c r="C849" s="34"/>
      <c r="D849" s="34"/>
      <c r="E849" s="34"/>
      <c r="F849" s="85"/>
      <c r="G849" s="159"/>
      <c r="H849" s="155"/>
      <c r="I849" s="86"/>
      <c r="J849" s="86"/>
      <c r="K849" s="155"/>
      <c r="L849" s="85"/>
      <c r="M849" s="142"/>
      <c r="N849" s="88"/>
      <c r="O849" s="141"/>
      <c r="P849" s="31"/>
      <c r="Q849" s="88"/>
      <c r="R849" s="88"/>
      <c r="S849" s="88"/>
      <c r="T849" s="54"/>
      <c r="U849" s="54"/>
      <c r="V849" s="88"/>
    </row>
    <row r="850" spans="1:22" s="168" customFormat="1" ht="22.500000" customHeight="1">
      <c r="A850" s="34">
        <v>848</v>
      </c>
      <c r="B850" s="34"/>
      <c r="C850" s="34"/>
      <c r="D850" s="34"/>
      <c r="E850" s="34"/>
      <c r="F850" s="85"/>
      <c r="G850" s="159"/>
      <c r="H850" s="155"/>
      <c r="I850" s="86"/>
      <c r="J850" s="86"/>
      <c r="K850" s="155"/>
      <c r="L850" s="85"/>
      <c r="M850" s="143"/>
      <c r="N850" s="88"/>
      <c r="O850" s="141"/>
      <c r="P850" s="31"/>
      <c r="Q850" s="88"/>
      <c r="R850" s="88"/>
      <c r="S850" s="88"/>
      <c r="T850" s="54"/>
      <c r="U850" s="54"/>
      <c r="V850" s="88"/>
    </row>
    <row r="851" spans="1:22" s="168" customFormat="1" ht="22.500000" customHeight="1">
      <c r="A851" s="34">
        <v>849</v>
      </c>
      <c r="B851" s="34"/>
      <c r="C851" s="34"/>
      <c r="D851" s="34"/>
      <c r="E851" s="34"/>
      <c r="F851" s="85"/>
      <c r="G851" s="159"/>
      <c r="H851" s="155"/>
      <c r="I851" s="86"/>
      <c r="J851" s="86"/>
      <c r="K851" s="155"/>
      <c r="L851" s="85"/>
      <c r="M851" s="142"/>
      <c r="N851" s="88"/>
      <c r="O851" s="141"/>
      <c r="P851" s="31"/>
      <c r="Q851" s="88"/>
      <c r="R851" s="88"/>
      <c r="S851" s="88"/>
      <c r="T851" s="54"/>
      <c r="U851" s="54"/>
      <c r="V851" s="88"/>
    </row>
    <row r="852" spans="1:22" s="168" customFormat="1" ht="22.500000" customHeight="1">
      <c r="A852" s="34">
        <v>850</v>
      </c>
      <c r="B852" s="34"/>
      <c r="C852" s="34"/>
      <c r="D852" s="34"/>
      <c r="E852" s="34"/>
      <c r="F852" s="85"/>
      <c r="G852" s="159"/>
      <c r="H852" s="155"/>
      <c r="I852" s="86"/>
      <c r="J852" s="86"/>
      <c r="K852" s="155"/>
      <c r="L852" s="85"/>
      <c r="M852" s="143"/>
      <c r="N852" s="88"/>
      <c r="O852" s="141"/>
      <c r="P852" s="31"/>
      <c r="Q852" s="88"/>
      <c r="R852" s="88"/>
      <c r="S852" s="88"/>
      <c r="T852" s="54"/>
      <c r="U852" s="54"/>
      <c r="V852" s="88"/>
    </row>
    <row r="853" spans="1:22" s="168" customFormat="1" ht="22.500000" customHeight="1">
      <c r="A853" s="34">
        <v>851</v>
      </c>
      <c r="B853" s="34"/>
      <c r="C853" s="34"/>
      <c r="D853" s="34"/>
      <c r="E853" s="34"/>
      <c r="F853" s="85"/>
      <c r="G853" s="159"/>
      <c r="H853" s="155"/>
      <c r="I853" s="86"/>
      <c r="J853" s="86"/>
      <c r="K853" s="155"/>
      <c r="L853" s="85"/>
      <c r="M853" s="142"/>
      <c r="N853" s="88"/>
      <c r="O853" s="141"/>
      <c r="P853" s="31"/>
      <c r="Q853" s="88"/>
      <c r="R853" s="88"/>
      <c r="S853" s="88"/>
      <c r="T853" s="54"/>
      <c r="U853" s="54"/>
      <c r="V853" s="88"/>
    </row>
    <row r="854" spans="1:22" s="168" customFormat="1" ht="22.500000" customHeight="1">
      <c r="A854" s="34">
        <v>852</v>
      </c>
      <c r="B854" s="34"/>
      <c r="C854" s="34"/>
      <c r="D854" s="34"/>
      <c r="E854" s="34"/>
      <c r="F854" s="85"/>
      <c r="G854" s="159"/>
      <c r="H854" s="155"/>
      <c r="I854" s="86"/>
      <c r="J854" s="86"/>
      <c r="K854" s="155"/>
      <c r="L854" s="85"/>
      <c r="M854" s="143"/>
      <c r="N854" s="88"/>
      <c r="O854" s="141"/>
      <c r="P854" s="31"/>
      <c r="Q854" s="88"/>
      <c r="R854" s="88"/>
      <c r="S854" s="88"/>
      <c r="T854" s="54"/>
      <c r="U854" s="54"/>
      <c r="V854" s="88"/>
    </row>
    <row r="855" spans="1:22" s="168" customFormat="1" ht="22.500000" customHeight="1">
      <c r="A855" s="34">
        <v>853</v>
      </c>
      <c r="B855" s="34"/>
      <c r="C855" s="34"/>
      <c r="D855" s="34"/>
      <c r="E855" s="34"/>
      <c r="F855" s="85"/>
      <c r="G855" s="159"/>
      <c r="H855" s="155"/>
      <c r="I855" s="86"/>
      <c r="J855" s="86"/>
      <c r="K855" s="155"/>
      <c r="L855" s="85"/>
      <c r="M855" s="142"/>
      <c r="N855" s="88"/>
      <c r="O855" s="141"/>
      <c r="P855" s="31"/>
      <c r="Q855" s="88"/>
      <c r="R855" s="88"/>
      <c r="S855" s="88"/>
      <c r="T855" s="54"/>
      <c r="U855" s="54"/>
      <c r="V855" s="88"/>
    </row>
    <row r="856" spans="1:22" s="168" customFormat="1" ht="22.500000" customHeight="1">
      <c r="A856" s="34">
        <v>854</v>
      </c>
      <c r="B856" s="34"/>
      <c r="C856" s="34"/>
      <c r="D856" s="34"/>
      <c r="E856" s="34"/>
      <c r="F856" s="85"/>
      <c r="G856" s="159"/>
      <c r="H856" s="155"/>
      <c r="I856" s="86"/>
      <c r="J856" s="86"/>
      <c r="K856" s="155"/>
      <c r="L856" s="85"/>
      <c r="M856" s="143"/>
      <c r="N856" s="88"/>
      <c r="O856" s="141"/>
      <c r="P856" s="31"/>
      <c r="Q856" s="88"/>
      <c r="R856" s="88"/>
      <c r="S856" s="88"/>
      <c r="T856" s="54"/>
      <c r="U856" s="54"/>
      <c r="V856" s="88"/>
    </row>
    <row r="857" spans="1:22" s="168" customFormat="1" ht="22.500000" customHeight="1">
      <c r="A857" s="34">
        <v>855</v>
      </c>
      <c r="B857" s="34"/>
      <c r="C857" s="34"/>
      <c r="D857" s="34"/>
      <c r="E857" s="34"/>
      <c r="F857" s="85"/>
      <c r="G857" s="159"/>
      <c r="H857" s="155"/>
      <c r="I857" s="86"/>
      <c r="J857" s="86"/>
      <c r="K857" s="155"/>
      <c r="L857" s="85"/>
      <c r="M857" s="142"/>
      <c r="N857" s="88"/>
      <c r="O857" s="141"/>
      <c r="P857" s="31"/>
      <c r="Q857" s="88"/>
      <c r="R857" s="88"/>
      <c r="S857" s="88"/>
      <c r="T857" s="54"/>
      <c r="U857" s="54"/>
      <c r="V857" s="88"/>
    </row>
    <row r="858" spans="1:22" s="168" customFormat="1" ht="22.500000" customHeight="1">
      <c r="A858" s="34">
        <v>856</v>
      </c>
      <c r="B858" s="34"/>
      <c r="C858" s="34"/>
      <c r="D858" s="34"/>
      <c r="E858" s="34"/>
      <c r="F858" s="85"/>
      <c r="G858" s="159"/>
      <c r="H858" s="155"/>
      <c r="I858" s="86"/>
      <c r="J858" s="86"/>
      <c r="K858" s="155"/>
      <c r="L858" s="85"/>
      <c r="M858" s="143"/>
      <c r="N858" s="88"/>
      <c r="O858" s="141"/>
      <c r="P858" s="31"/>
      <c r="Q858" s="88"/>
      <c r="R858" s="88"/>
      <c r="S858" s="88"/>
      <c r="T858" s="54"/>
      <c r="U858" s="54"/>
      <c r="V858" s="88"/>
    </row>
    <row r="859" spans="1:22" s="168" customFormat="1" ht="22.500000" customHeight="1">
      <c r="A859" s="34">
        <v>857</v>
      </c>
      <c r="B859" s="34"/>
      <c r="C859" s="34"/>
      <c r="D859" s="34"/>
      <c r="E859" s="34"/>
      <c r="F859" s="85"/>
      <c r="G859" s="159"/>
      <c r="H859" s="155"/>
      <c r="I859" s="86"/>
      <c r="J859" s="86"/>
      <c r="K859" s="155"/>
      <c r="L859" s="85"/>
      <c r="M859" s="142"/>
      <c r="N859" s="88"/>
      <c r="O859" s="141"/>
      <c r="P859" s="31"/>
      <c r="Q859" s="88"/>
      <c r="R859" s="88"/>
      <c r="S859" s="88"/>
      <c r="T859" s="54"/>
      <c r="U859" s="54"/>
      <c r="V859" s="88"/>
    </row>
    <row r="860" spans="1:22" s="168" customFormat="1" ht="22.500000" customHeight="1">
      <c r="A860" s="34">
        <v>858</v>
      </c>
      <c r="B860" s="34"/>
      <c r="C860" s="34"/>
      <c r="D860" s="34"/>
      <c r="E860" s="34"/>
      <c r="F860" s="85"/>
      <c r="G860" s="159"/>
      <c r="H860" s="155"/>
      <c r="I860" s="86"/>
      <c r="J860" s="86"/>
      <c r="K860" s="155"/>
      <c r="L860" s="85"/>
      <c r="M860" s="143"/>
      <c r="N860" s="88"/>
      <c r="O860" s="141"/>
      <c r="P860" s="31"/>
      <c r="Q860" s="88"/>
      <c r="R860" s="88"/>
      <c r="S860" s="88"/>
      <c r="T860" s="54"/>
      <c r="U860" s="54"/>
      <c r="V860" s="88"/>
    </row>
    <row r="861" spans="1:22" s="168" customFormat="1" ht="22.500000" customHeight="1">
      <c r="A861" s="34">
        <v>859</v>
      </c>
      <c r="B861" s="34"/>
      <c r="C861" s="34"/>
      <c r="D861" s="34"/>
      <c r="E861" s="34"/>
      <c r="F861" s="85"/>
      <c r="G861" s="159"/>
      <c r="H861" s="155"/>
      <c r="I861" s="86"/>
      <c r="J861" s="86"/>
      <c r="K861" s="155"/>
      <c r="L861" s="85"/>
      <c r="M861" s="142"/>
      <c r="N861" s="88"/>
      <c r="O861" s="141"/>
      <c r="P861" s="31"/>
      <c r="Q861" s="88"/>
      <c r="R861" s="88"/>
      <c r="S861" s="88"/>
      <c r="T861" s="54"/>
      <c r="U861" s="54"/>
      <c r="V861" s="88"/>
    </row>
    <row r="862" spans="1:22" s="168" customFormat="1" ht="22.500000" customHeight="1">
      <c r="A862" s="34">
        <v>860</v>
      </c>
      <c r="B862" s="34"/>
      <c r="C862" s="34"/>
      <c r="D862" s="34"/>
      <c r="E862" s="34"/>
      <c r="F862" s="85"/>
      <c r="G862" s="159"/>
      <c r="H862" s="155"/>
      <c r="I862" s="86"/>
      <c r="J862" s="86"/>
      <c r="K862" s="155"/>
      <c r="L862" s="85"/>
      <c r="M862" s="143"/>
      <c r="N862" s="88"/>
      <c r="O862" s="141"/>
      <c r="P862" s="31"/>
      <c r="Q862" s="88"/>
      <c r="R862" s="88"/>
      <c r="S862" s="88"/>
      <c r="T862" s="54"/>
      <c r="U862" s="54"/>
      <c r="V862" s="88"/>
    </row>
    <row r="863" spans="1:22" s="168" customFormat="1" ht="22.500000" customHeight="1">
      <c r="A863" s="34">
        <v>861</v>
      </c>
      <c r="B863" s="34"/>
      <c r="C863" s="34"/>
      <c r="D863" s="34"/>
      <c r="E863" s="34"/>
      <c r="F863" s="85"/>
      <c r="G863" s="159"/>
      <c r="H863" s="155"/>
      <c r="I863" s="86"/>
      <c r="J863" s="86"/>
      <c r="K863" s="155"/>
      <c r="L863" s="85"/>
      <c r="M863" s="142"/>
      <c r="N863" s="88"/>
      <c r="O863" s="141"/>
      <c r="P863" s="31"/>
      <c r="Q863" s="88"/>
      <c r="R863" s="88"/>
      <c r="S863" s="88"/>
      <c r="T863" s="54"/>
      <c r="U863" s="54"/>
      <c r="V863" s="88"/>
    </row>
    <row r="864" spans="1:22" s="168" customFormat="1" ht="22.500000" customHeight="1">
      <c r="A864" s="34">
        <v>862</v>
      </c>
      <c r="B864" s="34"/>
      <c r="C864" s="34"/>
      <c r="D864" s="34"/>
      <c r="E864" s="34"/>
      <c r="F864" s="85"/>
      <c r="G864" s="159"/>
      <c r="H864" s="155"/>
      <c r="I864" s="86"/>
      <c r="J864" s="86"/>
      <c r="K864" s="155"/>
      <c r="L864" s="85"/>
      <c r="M864" s="143"/>
      <c r="N864" s="88"/>
      <c r="O864" s="141"/>
      <c r="P864" s="31"/>
      <c r="Q864" s="88"/>
      <c r="R864" s="88"/>
      <c r="S864" s="88"/>
      <c r="T864" s="54"/>
      <c r="U864" s="54"/>
      <c r="V864" s="88"/>
    </row>
    <row r="865" spans="1:22" s="168" customFormat="1" ht="22.500000" customHeight="1">
      <c r="A865" s="34">
        <v>863</v>
      </c>
      <c r="B865" s="34"/>
      <c r="C865" s="34"/>
      <c r="D865" s="34"/>
      <c r="E865" s="34"/>
      <c r="F865" s="85"/>
      <c r="G865" s="159"/>
      <c r="H865" s="155"/>
      <c r="I865" s="86"/>
      <c r="J865" s="86"/>
      <c r="K865" s="155"/>
      <c r="L865" s="85"/>
      <c r="M865" s="142"/>
      <c r="N865" s="88"/>
      <c r="O865" s="141"/>
      <c r="P865" s="31"/>
      <c r="Q865" s="88"/>
      <c r="R865" s="88"/>
      <c r="S865" s="88"/>
      <c r="T865" s="54"/>
      <c r="U865" s="54"/>
      <c r="V865" s="88"/>
    </row>
    <row r="866" spans="1:22" s="168" customFormat="1" ht="22.500000" customHeight="1">
      <c r="A866" s="34">
        <v>864</v>
      </c>
      <c r="B866" s="34"/>
      <c r="C866" s="34"/>
      <c r="D866" s="34"/>
      <c r="E866" s="34"/>
      <c r="F866" s="85"/>
      <c r="G866" s="159"/>
      <c r="H866" s="155"/>
      <c r="I866" s="86"/>
      <c r="J866" s="86"/>
      <c r="K866" s="155"/>
      <c r="L866" s="85"/>
      <c r="M866" s="143"/>
      <c r="N866" s="88"/>
      <c r="O866" s="141"/>
      <c r="P866" s="31"/>
      <c r="Q866" s="88"/>
      <c r="R866" s="88"/>
      <c r="S866" s="88"/>
      <c r="T866" s="54"/>
      <c r="U866" s="54"/>
      <c r="V866" s="88"/>
    </row>
    <row r="867" spans="1:22" s="168" customFormat="1" ht="22.500000" customHeight="1">
      <c r="A867" s="34">
        <v>865</v>
      </c>
      <c r="B867" s="34"/>
      <c r="C867" s="34"/>
      <c r="D867" s="34"/>
      <c r="E867" s="34"/>
      <c r="F867" s="85"/>
      <c r="G867" s="159"/>
      <c r="H867" s="155"/>
      <c r="I867" s="86"/>
      <c r="J867" s="86"/>
      <c r="K867" s="155"/>
      <c r="L867" s="85"/>
      <c r="M867" s="142"/>
      <c r="N867" s="88"/>
      <c r="O867" s="141"/>
      <c r="P867" s="31"/>
      <c r="Q867" s="88"/>
      <c r="R867" s="88"/>
      <c r="S867" s="88"/>
      <c r="T867" s="54"/>
      <c r="U867" s="54"/>
      <c r="V867" s="88"/>
    </row>
    <row r="868" spans="1:22" s="168" customFormat="1" ht="22.500000" customHeight="1">
      <c r="A868" s="34">
        <v>866</v>
      </c>
      <c r="B868" s="34"/>
      <c r="C868" s="34"/>
      <c r="D868" s="34"/>
      <c r="E868" s="34"/>
      <c r="F868" s="85"/>
      <c r="G868" s="159"/>
      <c r="H868" s="155"/>
      <c r="I868" s="86"/>
      <c r="J868" s="86"/>
      <c r="K868" s="155"/>
      <c r="L868" s="85"/>
      <c r="M868" s="143"/>
      <c r="N868" s="88"/>
      <c r="O868" s="141"/>
      <c r="P868" s="31"/>
      <c r="Q868" s="88"/>
      <c r="R868" s="88"/>
      <c r="S868" s="88"/>
      <c r="T868" s="54"/>
      <c r="U868" s="54"/>
      <c r="V868" s="88"/>
    </row>
    <row r="869" spans="1:22" s="168" customFormat="1" ht="22.500000" customHeight="1">
      <c r="A869" s="34">
        <v>867</v>
      </c>
      <c r="B869" s="34"/>
      <c r="C869" s="34"/>
      <c r="D869" s="34"/>
      <c r="E869" s="34"/>
      <c r="F869" s="85"/>
      <c r="G869" s="159"/>
      <c r="H869" s="155"/>
      <c r="I869" s="86"/>
      <c r="J869" s="86"/>
      <c r="K869" s="155"/>
      <c r="L869" s="85"/>
      <c r="M869" s="142"/>
      <c r="N869" s="88"/>
      <c r="O869" s="141"/>
      <c r="P869" s="31"/>
      <c r="Q869" s="88"/>
      <c r="R869" s="88"/>
      <c r="S869" s="88"/>
      <c r="T869" s="54"/>
      <c r="U869" s="54"/>
      <c r="V869" s="88"/>
    </row>
    <row r="870" spans="1:22" s="168" customFormat="1" ht="22.500000" customHeight="1">
      <c r="A870" s="34">
        <v>868</v>
      </c>
      <c r="B870" s="34"/>
      <c r="C870" s="34"/>
      <c r="D870" s="34"/>
      <c r="E870" s="34"/>
      <c r="F870" s="85"/>
      <c r="G870" s="159"/>
      <c r="H870" s="155"/>
      <c r="I870" s="86"/>
      <c r="J870" s="86"/>
      <c r="K870" s="155"/>
      <c r="L870" s="85"/>
      <c r="M870" s="143"/>
      <c r="N870" s="88"/>
      <c r="O870" s="141"/>
      <c r="P870" s="31"/>
      <c r="Q870" s="88"/>
      <c r="R870" s="88"/>
      <c r="S870" s="88"/>
      <c r="T870" s="54"/>
      <c r="U870" s="54"/>
      <c r="V870" s="88"/>
    </row>
    <row r="871" spans="1:22" s="168" customFormat="1" ht="22.500000" customHeight="1">
      <c r="A871" s="34">
        <v>869</v>
      </c>
      <c r="B871" s="34"/>
      <c r="C871" s="34"/>
      <c r="D871" s="34"/>
      <c r="E871" s="34"/>
      <c r="F871" s="85"/>
      <c r="G871" s="159"/>
      <c r="H871" s="155"/>
      <c r="I871" s="86"/>
      <c r="J871" s="86"/>
      <c r="K871" s="155"/>
      <c r="L871" s="85"/>
      <c r="M871" s="142"/>
      <c r="N871" s="88"/>
      <c r="O871" s="141"/>
      <c r="P871" s="31"/>
      <c r="Q871" s="88"/>
      <c r="R871" s="88"/>
      <c r="S871" s="88"/>
      <c r="T871" s="54"/>
      <c r="U871" s="54"/>
      <c r="V871" s="88"/>
    </row>
    <row r="872" spans="1:22" s="168" customFormat="1" ht="22.500000" customHeight="1">
      <c r="A872" s="34">
        <v>870</v>
      </c>
      <c r="B872" s="34"/>
      <c r="C872" s="34"/>
      <c r="D872" s="34"/>
      <c r="E872" s="34"/>
      <c r="F872" s="85"/>
      <c r="G872" s="159"/>
      <c r="H872" s="155"/>
      <c r="I872" s="86"/>
      <c r="J872" s="86"/>
      <c r="K872" s="155"/>
      <c r="L872" s="85"/>
      <c r="M872" s="143"/>
      <c r="N872" s="88"/>
      <c r="O872" s="141"/>
      <c r="P872" s="31"/>
      <c r="Q872" s="88"/>
      <c r="R872" s="88"/>
      <c r="S872" s="88"/>
      <c r="T872" s="54"/>
      <c r="U872" s="54"/>
      <c r="V872" s="88"/>
    </row>
    <row r="873" spans="1:22" s="168" customFormat="1" ht="22.500000" customHeight="1">
      <c r="A873" s="34">
        <v>871</v>
      </c>
      <c r="B873" s="34"/>
      <c r="C873" s="34"/>
      <c r="D873" s="34"/>
      <c r="E873" s="34"/>
      <c r="F873" s="85"/>
      <c r="G873" s="159"/>
      <c r="H873" s="155"/>
      <c r="I873" s="86"/>
      <c r="J873" s="86"/>
      <c r="K873" s="155"/>
      <c r="L873" s="85"/>
      <c r="M873" s="142"/>
      <c r="N873" s="88"/>
      <c r="O873" s="141"/>
      <c r="P873" s="31"/>
      <c r="Q873" s="88"/>
      <c r="R873" s="88"/>
      <c r="S873" s="88"/>
      <c r="T873" s="54"/>
      <c r="U873" s="54"/>
      <c r="V873" s="88"/>
    </row>
    <row r="874" spans="1:22" s="168" customFormat="1" ht="22.500000" customHeight="1">
      <c r="A874" s="34">
        <v>872</v>
      </c>
      <c r="B874" s="34"/>
      <c r="C874" s="34"/>
      <c r="D874" s="34"/>
      <c r="E874" s="34"/>
      <c r="F874" s="85"/>
      <c r="G874" s="159"/>
      <c r="H874" s="155"/>
      <c r="I874" s="86"/>
      <c r="J874" s="86"/>
      <c r="K874" s="155"/>
      <c r="L874" s="85"/>
      <c r="M874" s="143"/>
      <c r="N874" s="88"/>
      <c r="O874" s="141"/>
      <c r="P874" s="31"/>
      <c r="Q874" s="88"/>
      <c r="R874" s="88"/>
      <c r="S874" s="88"/>
      <c r="T874" s="54"/>
      <c r="U874" s="54"/>
      <c r="V874" s="88"/>
    </row>
    <row r="875" spans="1:22" s="168" customFormat="1" ht="22.500000" customHeight="1">
      <c r="A875" s="34">
        <v>873</v>
      </c>
      <c r="B875" s="34"/>
      <c r="C875" s="34"/>
      <c r="D875" s="34"/>
      <c r="E875" s="34"/>
      <c r="F875" s="85"/>
      <c r="G875" s="159"/>
      <c r="H875" s="155"/>
      <c r="I875" s="86"/>
      <c r="J875" s="86"/>
      <c r="K875" s="155"/>
      <c r="L875" s="85"/>
      <c r="M875" s="142"/>
      <c r="N875" s="88"/>
      <c r="O875" s="141"/>
      <c r="P875" s="31"/>
      <c r="Q875" s="88"/>
      <c r="R875" s="88"/>
      <c r="S875" s="88"/>
      <c r="T875" s="54"/>
      <c r="U875" s="54"/>
      <c r="V875" s="88"/>
    </row>
    <row r="876" spans="1:22" s="168" customFormat="1" ht="22.500000" customHeight="1">
      <c r="A876" s="34">
        <v>874</v>
      </c>
      <c r="B876" s="34"/>
      <c r="C876" s="34"/>
      <c r="D876" s="34"/>
      <c r="E876" s="34"/>
      <c r="F876" s="85"/>
      <c r="G876" s="159"/>
      <c r="H876" s="155"/>
      <c r="I876" s="86"/>
      <c r="J876" s="86"/>
      <c r="K876" s="155"/>
      <c r="L876" s="85"/>
      <c r="M876" s="143"/>
      <c r="N876" s="88"/>
      <c r="O876" s="141"/>
      <c r="P876" s="31"/>
      <c r="Q876" s="88"/>
      <c r="R876" s="88"/>
      <c r="S876" s="88"/>
      <c r="T876" s="54"/>
      <c r="U876" s="54"/>
      <c r="V876" s="88"/>
    </row>
    <row r="877" spans="1:22" s="168" customFormat="1" ht="22.500000" customHeight="1">
      <c r="A877" s="34">
        <v>875</v>
      </c>
      <c r="B877" s="34"/>
      <c r="C877" s="34"/>
      <c r="D877" s="34"/>
      <c r="E877" s="34"/>
      <c r="F877" s="85"/>
      <c r="G877" s="159"/>
      <c r="H877" s="155"/>
      <c r="I877" s="86"/>
      <c r="J877" s="86"/>
      <c r="K877" s="155"/>
      <c r="L877" s="85"/>
      <c r="M877" s="142"/>
      <c r="N877" s="88"/>
      <c r="O877" s="141"/>
      <c r="P877" s="31"/>
      <c r="Q877" s="88"/>
      <c r="R877" s="88"/>
      <c r="S877" s="88"/>
      <c r="T877" s="54"/>
      <c r="U877" s="54"/>
      <c r="V877" s="88"/>
    </row>
    <row r="878" spans="1:22" s="168" customFormat="1" ht="22.500000" customHeight="1">
      <c r="A878" s="34">
        <v>876</v>
      </c>
      <c r="B878" s="34"/>
      <c r="C878" s="34"/>
      <c r="D878" s="34"/>
      <c r="E878" s="34"/>
      <c r="F878" s="85"/>
      <c r="G878" s="159"/>
      <c r="H878" s="155"/>
      <c r="I878" s="86"/>
      <c r="J878" s="86"/>
      <c r="K878" s="155"/>
      <c r="L878" s="85"/>
      <c r="M878" s="143"/>
      <c r="N878" s="88"/>
      <c r="O878" s="141"/>
      <c r="P878" s="31"/>
      <c r="Q878" s="88"/>
      <c r="R878" s="88"/>
      <c r="S878" s="88"/>
      <c r="T878" s="54"/>
      <c r="U878" s="54"/>
      <c r="V878" s="88"/>
    </row>
    <row r="879" spans="1:22" s="168" customFormat="1" ht="22.500000" customHeight="1">
      <c r="A879" s="34">
        <v>877</v>
      </c>
      <c r="B879" s="34"/>
      <c r="C879" s="34"/>
      <c r="D879" s="34"/>
      <c r="E879" s="34"/>
      <c r="F879" s="85"/>
      <c r="G879" s="159"/>
      <c r="H879" s="155"/>
      <c r="I879" s="86"/>
      <c r="J879" s="86"/>
      <c r="K879" s="155"/>
      <c r="L879" s="85"/>
      <c r="M879" s="142"/>
      <c r="N879" s="88"/>
      <c r="O879" s="141"/>
      <c r="P879" s="31"/>
      <c r="Q879" s="88"/>
      <c r="R879" s="88"/>
      <c r="S879" s="88"/>
      <c r="T879" s="54"/>
      <c r="U879" s="54"/>
      <c r="V879" s="88"/>
    </row>
    <row r="880" spans="1:22" s="168" customFormat="1" ht="22.500000" customHeight="1">
      <c r="A880" s="34">
        <v>878</v>
      </c>
      <c r="B880" s="34"/>
      <c r="C880" s="34"/>
      <c r="D880" s="34"/>
      <c r="E880" s="34"/>
      <c r="F880" s="85"/>
      <c r="G880" s="159"/>
      <c r="H880" s="155"/>
      <c r="I880" s="86"/>
      <c r="J880" s="86"/>
      <c r="K880" s="155"/>
      <c r="L880" s="85"/>
      <c r="M880" s="143"/>
      <c r="N880" s="88"/>
      <c r="O880" s="141"/>
      <c r="P880" s="31"/>
      <c r="Q880" s="88"/>
      <c r="R880" s="88"/>
      <c r="S880" s="88"/>
      <c r="T880" s="54"/>
      <c r="U880" s="54"/>
      <c r="V880" s="88"/>
    </row>
    <row r="881" spans="1:22" s="168" customFormat="1" ht="22.500000" customHeight="1">
      <c r="A881" s="34">
        <v>879</v>
      </c>
      <c r="B881" s="34"/>
      <c r="C881" s="34"/>
      <c r="D881" s="34"/>
      <c r="E881" s="34"/>
      <c r="F881" s="85"/>
      <c r="G881" s="159"/>
      <c r="H881" s="155"/>
      <c r="I881" s="86"/>
      <c r="J881" s="86"/>
      <c r="K881" s="155"/>
      <c r="L881" s="85"/>
      <c r="M881" s="142"/>
      <c r="N881" s="88"/>
      <c r="O881" s="141"/>
      <c r="P881" s="31"/>
      <c r="Q881" s="88"/>
      <c r="R881" s="88"/>
      <c r="S881" s="88"/>
      <c r="T881" s="54"/>
      <c r="U881" s="54"/>
      <c r="V881" s="88"/>
    </row>
    <row r="882" spans="1:22" s="168" customFormat="1" ht="22.500000" customHeight="1">
      <c r="A882" s="34">
        <v>880</v>
      </c>
      <c r="B882" s="34"/>
      <c r="C882" s="34"/>
      <c r="D882" s="34"/>
      <c r="E882" s="34"/>
      <c r="F882" s="85"/>
      <c r="G882" s="159"/>
      <c r="H882" s="155"/>
      <c r="I882" s="86"/>
      <c r="J882" s="86"/>
      <c r="K882" s="155"/>
      <c r="L882" s="85"/>
      <c r="M882" s="143"/>
      <c r="N882" s="88"/>
      <c r="O882" s="141"/>
      <c r="P882" s="31"/>
      <c r="Q882" s="88"/>
      <c r="R882" s="88"/>
      <c r="S882" s="88"/>
      <c r="T882" s="54"/>
      <c r="U882" s="54"/>
      <c r="V882" s="88"/>
    </row>
    <row r="883" spans="1:22" s="168" customFormat="1" ht="22.500000" customHeight="1">
      <c r="A883" s="34">
        <v>881</v>
      </c>
      <c r="B883" s="34"/>
      <c r="C883" s="34"/>
      <c r="D883" s="34"/>
      <c r="E883" s="34"/>
      <c r="F883" s="85"/>
      <c r="G883" s="159"/>
      <c r="H883" s="155"/>
      <c r="I883" s="86"/>
      <c r="J883" s="86"/>
      <c r="K883" s="155"/>
      <c r="L883" s="85"/>
      <c r="M883" s="142"/>
      <c r="N883" s="88"/>
      <c r="O883" s="141"/>
      <c r="P883" s="31"/>
      <c r="Q883" s="88"/>
      <c r="R883" s="88"/>
      <c r="S883" s="88"/>
      <c r="T883" s="54"/>
      <c r="U883" s="54"/>
      <c r="V883" s="88"/>
    </row>
    <row r="884" spans="1:22" s="168" customFormat="1" ht="22.500000" customHeight="1">
      <c r="A884" s="34">
        <v>882</v>
      </c>
      <c r="B884" s="34"/>
      <c r="C884" s="34"/>
      <c r="D884" s="34"/>
      <c r="E884" s="34"/>
      <c r="F884" s="85"/>
      <c r="G884" s="159"/>
      <c r="H884" s="155"/>
      <c r="I884" s="86"/>
      <c r="J884" s="86"/>
      <c r="K884" s="155"/>
      <c r="L884" s="85"/>
      <c r="M884" s="143"/>
      <c r="N884" s="88"/>
      <c r="O884" s="141"/>
      <c r="P884" s="31"/>
      <c r="Q884" s="88"/>
      <c r="R884" s="88"/>
      <c r="S884" s="88"/>
      <c r="T884" s="54"/>
      <c r="U884" s="54"/>
      <c r="V884" s="88"/>
    </row>
    <row r="885" spans="1:22" s="168" customFormat="1" ht="22.500000" customHeight="1">
      <c r="A885" s="34">
        <v>883</v>
      </c>
      <c r="B885" s="34"/>
      <c r="C885" s="34"/>
      <c r="D885" s="34"/>
      <c r="E885" s="34"/>
      <c r="F885" s="85"/>
      <c r="G885" s="159"/>
      <c r="H885" s="155"/>
      <c r="I885" s="86"/>
      <c r="J885" s="86"/>
      <c r="K885" s="155"/>
      <c r="L885" s="85"/>
      <c r="M885" s="142"/>
      <c r="N885" s="88"/>
      <c r="O885" s="141"/>
      <c r="P885" s="31"/>
      <c r="Q885" s="88"/>
      <c r="R885" s="88"/>
      <c r="S885" s="88"/>
      <c r="T885" s="54"/>
      <c r="U885" s="54"/>
      <c r="V885" s="88"/>
    </row>
    <row r="886" spans="1:22" s="168" customFormat="1" ht="22.500000" customHeight="1">
      <c r="A886" s="34">
        <v>884</v>
      </c>
      <c r="B886" s="34"/>
      <c r="C886" s="34"/>
      <c r="D886" s="34"/>
      <c r="E886" s="34"/>
      <c r="F886" s="85"/>
      <c r="G886" s="159"/>
      <c r="H886" s="155"/>
      <c r="I886" s="86"/>
      <c r="J886" s="86"/>
      <c r="K886" s="155"/>
      <c r="L886" s="85"/>
      <c r="M886" s="143"/>
      <c r="N886" s="88"/>
      <c r="O886" s="141"/>
      <c r="P886" s="31"/>
      <c r="Q886" s="88"/>
      <c r="R886" s="88"/>
      <c r="S886" s="88"/>
      <c r="T886" s="54"/>
      <c r="U886" s="54"/>
      <c r="V886" s="88"/>
    </row>
    <row r="887" spans="1:22" s="168" customFormat="1" ht="22.500000" customHeight="1">
      <c r="A887" s="34">
        <v>885</v>
      </c>
      <c r="B887" s="34"/>
      <c r="C887" s="34"/>
      <c r="D887" s="34"/>
      <c r="E887" s="34"/>
      <c r="F887" s="85"/>
      <c r="G887" s="159"/>
      <c r="H887" s="155"/>
      <c r="I887" s="86"/>
      <c r="J887" s="86"/>
      <c r="K887" s="155"/>
      <c r="L887" s="85"/>
      <c r="M887" s="142"/>
      <c r="N887" s="88"/>
      <c r="O887" s="141"/>
      <c r="P887" s="31"/>
      <c r="Q887" s="88"/>
      <c r="R887" s="88"/>
      <c r="S887" s="88"/>
      <c r="T887" s="54"/>
      <c r="U887" s="54"/>
      <c r="V887" s="88"/>
    </row>
    <row r="888" spans="1:22" s="168" customFormat="1" ht="22.500000" customHeight="1">
      <c r="A888" s="34">
        <v>886</v>
      </c>
      <c r="B888" s="34"/>
      <c r="C888" s="34"/>
      <c r="D888" s="34"/>
      <c r="E888" s="34"/>
      <c r="F888" s="85"/>
      <c r="G888" s="159"/>
      <c r="H888" s="155"/>
      <c r="I888" s="86"/>
      <c r="J888" s="86"/>
      <c r="K888" s="155"/>
      <c r="L888" s="85"/>
      <c r="M888" s="143"/>
      <c r="N888" s="88"/>
      <c r="O888" s="141"/>
      <c r="P888" s="31"/>
      <c r="Q888" s="88"/>
      <c r="R888" s="88"/>
      <c r="S888" s="88"/>
      <c r="T888" s="54"/>
      <c r="U888" s="54"/>
      <c r="V888" s="88"/>
    </row>
    <row r="889" spans="1:22" s="168" customFormat="1" ht="22.500000" customHeight="1">
      <c r="A889" s="34">
        <v>887</v>
      </c>
      <c r="B889" s="34"/>
      <c r="C889" s="34"/>
      <c r="D889" s="34"/>
      <c r="E889" s="34"/>
      <c r="F889" s="85"/>
      <c r="G889" s="159"/>
      <c r="H889" s="155"/>
      <c r="I889" s="86"/>
      <c r="J889" s="86"/>
      <c r="K889" s="155"/>
      <c r="L889" s="85"/>
      <c r="M889" s="142"/>
      <c r="N889" s="88"/>
      <c r="O889" s="141"/>
      <c r="P889" s="31"/>
      <c r="Q889" s="88"/>
      <c r="R889" s="88"/>
      <c r="S889" s="88"/>
      <c r="T889" s="54"/>
      <c r="U889" s="54"/>
      <c r="V889" s="88"/>
    </row>
    <row r="890" spans="1:22" s="168" customFormat="1" ht="22.500000" customHeight="1">
      <c r="A890" s="34">
        <v>888</v>
      </c>
      <c r="B890" s="34"/>
      <c r="C890" s="34"/>
      <c r="D890" s="34"/>
      <c r="E890" s="34"/>
      <c r="F890" s="85"/>
      <c r="G890" s="159"/>
      <c r="H890" s="155"/>
      <c r="I890" s="86"/>
      <c r="J890" s="86"/>
      <c r="K890" s="155"/>
      <c r="L890" s="85"/>
      <c r="M890" s="143"/>
      <c r="N890" s="88"/>
      <c r="O890" s="141"/>
      <c r="P890" s="31"/>
      <c r="Q890" s="88"/>
      <c r="R890" s="88"/>
      <c r="S890" s="88"/>
      <c r="T890" s="54"/>
      <c r="U890" s="54"/>
      <c r="V890" s="88"/>
    </row>
    <row r="891" spans="1:22" s="168" customFormat="1" ht="22.500000" customHeight="1">
      <c r="A891" s="34">
        <v>889</v>
      </c>
      <c r="B891" s="34"/>
      <c r="C891" s="34"/>
      <c r="D891" s="34"/>
      <c r="E891" s="34"/>
      <c r="F891" s="85"/>
      <c r="G891" s="159"/>
      <c r="H891" s="155"/>
      <c r="I891" s="86"/>
      <c r="J891" s="86"/>
      <c r="K891" s="155"/>
      <c r="L891" s="85"/>
      <c r="M891" s="142"/>
      <c r="N891" s="88"/>
      <c r="O891" s="141"/>
      <c r="P891" s="31"/>
      <c r="Q891" s="88"/>
      <c r="R891" s="88"/>
      <c r="S891" s="88"/>
      <c r="T891" s="54"/>
      <c r="U891" s="54"/>
      <c r="V891" s="88"/>
    </row>
    <row r="892" spans="1:22" s="168" customFormat="1" ht="22.500000" customHeight="1">
      <c r="A892" s="34">
        <v>890</v>
      </c>
      <c r="B892" s="34"/>
      <c r="C892" s="34"/>
      <c r="D892" s="34"/>
      <c r="E892" s="34"/>
      <c r="F892" s="85"/>
      <c r="G892" s="159"/>
      <c r="H892" s="155"/>
      <c r="I892" s="86"/>
      <c r="J892" s="86"/>
      <c r="K892" s="155"/>
      <c r="L892" s="85"/>
      <c r="M892" s="143"/>
      <c r="N892" s="88"/>
      <c r="O892" s="141"/>
      <c r="P892" s="31"/>
      <c r="Q892" s="88"/>
      <c r="R892" s="88"/>
      <c r="S892" s="88"/>
      <c r="T892" s="54"/>
      <c r="U892" s="54"/>
      <c r="V892" s="88"/>
    </row>
    <row r="893" spans="1:22" s="168" customFormat="1" ht="22.500000" customHeight="1">
      <c r="A893" s="34">
        <v>891</v>
      </c>
      <c r="B893" s="34"/>
      <c r="C893" s="34"/>
      <c r="D893" s="34"/>
      <c r="E893" s="34"/>
      <c r="F893" s="85"/>
      <c r="G893" s="159"/>
      <c r="H893" s="155"/>
      <c r="I893" s="86"/>
      <c r="J893" s="86"/>
      <c r="K893" s="155"/>
      <c r="L893" s="85"/>
      <c r="M893" s="142"/>
      <c r="N893" s="88"/>
      <c r="O893" s="141"/>
      <c r="P893" s="31"/>
      <c r="Q893" s="88"/>
      <c r="R893" s="88"/>
      <c r="S893" s="88"/>
      <c r="T893" s="54"/>
      <c r="U893" s="54"/>
      <c r="V893" s="88"/>
    </row>
    <row r="894" spans="1:22" s="168" customFormat="1" ht="22.500000" customHeight="1">
      <c r="A894" s="34">
        <v>892</v>
      </c>
      <c r="B894" s="34"/>
      <c r="C894" s="34"/>
      <c r="D894" s="34"/>
      <c r="E894" s="34"/>
      <c r="F894" s="85"/>
      <c r="G894" s="159"/>
      <c r="H894" s="155"/>
      <c r="I894" s="86"/>
      <c r="J894" s="86"/>
      <c r="K894" s="155"/>
      <c r="L894" s="85"/>
      <c r="M894" s="143"/>
      <c r="N894" s="88"/>
      <c r="O894" s="141"/>
      <c r="P894" s="31"/>
      <c r="Q894" s="88"/>
      <c r="R894" s="88"/>
      <c r="S894" s="88"/>
      <c r="T894" s="54"/>
      <c r="U894" s="54"/>
      <c r="V894" s="88"/>
    </row>
    <row r="895" spans="1:22" s="168" customFormat="1" ht="22.500000" customHeight="1">
      <c r="A895" s="34">
        <v>893</v>
      </c>
      <c r="B895" s="34"/>
      <c r="C895" s="34"/>
      <c r="D895" s="34"/>
      <c r="E895" s="34"/>
      <c r="F895" s="85"/>
      <c r="G895" s="159"/>
      <c r="H895" s="155"/>
      <c r="I895" s="86"/>
      <c r="J895" s="86"/>
      <c r="K895" s="155"/>
      <c r="L895" s="85"/>
      <c r="M895" s="142"/>
      <c r="N895" s="88"/>
      <c r="O895" s="141"/>
      <c r="P895" s="31"/>
      <c r="Q895" s="88"/>
      <c r="R895" s="88"/>
      <c r="S895" s="88"/>
      <c r="T895" s="54"/>
      <c r="U895" s="54"/>
      <c r="V895" s="88"/>
    </row>
    <row r="896" spans="1:22" s="168" customFormat="1" ht="22.500000" customHeight="1">
      <c r="A896" s="34">
        <v>894</v>
      </c>
      <c r="B896" s="34"/>
      <c r="C896" s="34"/>
      <c r="D896" s="34"/>
      <c r="E896" s="34"/>
      <c r="F896" s="85"/>
      <c r="G896" s="159"/>
      <c r="H896" s="155"/>
      <c r="I896" s="86"/>
      <c r="J896" s="86"/>
      <c r="K896" s="155"/>
      <c r="L896" s="85"/>
      <c r="M896" s="143"/>
      <c r="N896" s="88"/>
      <c r="O896" s="141"/>
      <c r="P896" s="31"/>
      <c r="Q896" s="88"/>
      <c r="R896" s="88"/>
      <c r="S896" s="88"/>
      <c r="T896" s="54"/>
      <c r="U896" s="54"/>
      <c r="V896" s="88"/>
    </row>
    <row r="897" spans="1:22" s="168" customFormat="1" ht="22.500000" customHeight="1">
      <c r="A897" s="34">
        <v>895</v>
      </c>
      <c r="B897" s="34"/>
      <c r="C897" s="34"/>
      <c r="D897" s="34"/>
      <c r="E897" s="34"/>
      <c r="F897" s="85"/>
      <c r="G897" s="159"/>
      <c r="H897" s="155"/>
      <c r="I897" s="86"/>
      <c r="J897" s="86"/>
      <c r="K897" s="155"/>
      <c r="L897" s="85"/>
      <c r="M897" s="142"/>
      <c r="N897" s="88"/>
      <c r="O897" s="141"/>
      <c r="P897" s="31"/>
      <c r="Q897" s="88"/>
      <c r="R897" s="88"/>
      <c r="S897" s="88"/>
      <c r="T897" s="54"/>
      <c r="U897" s="54"/>
      <c r="V897" s="88"/>
    </row>
    <row r="898" spans="1:22" s="168" customFormat="1" ht="22.500000" customHeight="1">
      <c r="A898" s="34">
        <v>896</v>
      </c>
      <c r="B898" s="34"/>
      <c r="C898" s="34"/>
      <c r="D898" s="34"/>
      <c r="E898" s="34"/>
      <c r="F898" s="85"/>
      <c r="G898" s="159"/>
      <c r="H898" s="155"/>
      <c r="I898" s="86"/>
      <c r="J898" s="86"/>
      <c r="K898" s="155"/>
      <c r="L898" s="85"/>
      <c r="M898" s="143"/>
      <c r="N898" s="88"/>
      <c r="O898" s="141"/>
      <c r="P898" s="31"/>
      <c r="Q898" s="88"/>
      <c r="R898" s="88"/>
      <c r="S898" s="88"/>
      <c r="T898" s="54"/>
      <c r="U898" s="54"/>
      <c r="V898" s="88"/>
    </row>
    <row r="899" spans="1:22" s="168" customFormat="1" ht="22.500000" customHeight="1">
      <c r="A899" s="34">
        <v>897</v>
      </c>
      <c r="B899" s="34"/>
      <c r="C899" s="34"/>
      <c r="D899" s="34"/>
      <c r="E899" s="34"/>
      <c r="F899" s="85"/>
      <c r="G899" s="159"/>
      <c r="H899" s="155"/>
      <c r="I899" s="86"/>
      <c r="J899" s="86"/>
      <c r="K899" s="155"/>
      <c r="L899" s="85"/>
      <c r="M899" s="142"/>
      <c r="N899" s="88"/>
      <c r="O899" s="141"/>
      <c r="P899" s="31"/>
      <c r="Q899" s="88"/>
      <c r="R899" s="88"/>
      <c r="S899" s="88"/>
      <c r="T899" s="54"/>
      <c r="U899" s="54"/>
      <c r="V899" s="88"/>
    </row>
    <row r="900" spans="1:22" s="168" customFormat="1" ht="22.500000" customHeight="1">
      <c r="A900" s="34">
        <v>898</v>
      </c>
      <c r="B900" s="34"/>
      <c r="C900" s="34"/>
      <c r="D900" s="34"/>
      <c r="E900" s="34"/>
      <c r="F900" s="85"/>
      <c r="G900" s="159"/>
      <c r="H900" s="155"/>
      <c r="I900" s="86"/>
      <c r="J900" s="86"/>
      <c r="K900" s="155"/>
      <c r="L900" s="85"/>
      <c r="M900" s="143"/>
      <c r="N900" s="88"/>
      <c r="O900" s="141"/>
      <c r="P900" s="31"/>
      <c r="Q900" s="88"/>
      <c r="R900" s="88"/>
      <c r="S900" s="88"/>
      <c r="T900" s="54"/>
      <c r="U900" s="54"/>
      <c r="V900" s="88"/>
    </row>
    <row r="901" spans="1:22" s="168" customFormat="1" ht="22.500000" customHeight="1">
      <c r="A901" s="34">
        <v>899</v>
      </c>
      <c r="B901" s="34"/>
      <c r="C901" s="34"/>
      <c r="D901" s="34"/>
      <c r="E901" s="34"/>
      <c r="F901" s="85"/>
      <c r="G901" s="159"/>
      <c r="H901" s="155"/>
      <c r="I901" s="86"/>
      <c r="J901" s="86"/>
      <c r="K901" s="155"/>
      <c r="L901" s="85"/>
      <c r="M901" s="142"/>
      <c r="N901" s="88"/>
      <c r="O901" s="141"/>
      <c r="P901" s="31"/>
      <c r="Q901" s="88"/>
      <c r="R901" s="88"/>
      <c r="S901" s="88"/>
      <c r="T901" s="54"/>
      <c r="U901" s="54"/>
      <c r="V901" s="88"/>
    </row>
    <row r="902" spans="1:22" s="168" customFormat="1" ht="22.500000" customHeight="1">
      <c r="A902" s="34">
        <v>900</v>
      </c>
      <c r="B902" s="34"/>
      <c r="C902" s="34"/>
      <c r="D902" s="34"/>
      <c r="E902" s="34"/>
      <c r="F902" s="85"/>
      <c r="G902" s="159"/>
      <c r="H902" s="155"/>
      <c r="I902" s="86"/>
      <c r="J902" s="86"/>
      <c r="K902" s="155"/>
      <c r="L902" s="85"/>
      <c r="M902" s="143"/>
      <c r="N902" s="88"/>
      <c r="O902" s="141"/>
      <c r="P902" s="31"/>
      <c r="Q902" s="88"/>
      <c r="R902" s="88"/>
      <c r="S902" s="88"/>
      <c r="T902" s="54"/>
      <c r="U902" s="54"/>
      <c r="V902" s="88"/>
    </row>
    <row r="903" spans="1:22" s="168" customFormat="1" ht="22.500000" customHeight="1">
      <c r="A903" s="34">
        <v>901</v>
      </c>
      <c r="B903" s="34"/>
      <c r="C903" s="34"/>
      <c r="D903" s="34"/>
      <c r="E903" s="34"/>
      <c r="F903" s="85"/>
      <c r="G903" s="159"/>
      <c r="H903" s="155"/>
      <c r="I903" s="86"/>
      <c r="J903" s="86"/>
      <c r="K903" s="155"/>
      <c r="L903" s="85"/>
      <c r="M903" s="142"/>
      <c r="N903" s="88"/>
      <c r="O903" s="141"/>
      <c r="P903" s="31"/>
      <c r="Q903" s="88"/>
      <c r="R903" s="88"/>
      <c r="S903" s="88"/>
      <c r="T903" s="54"/>
      <c r="U903" s="54"/>
      <c r="V903" s="88"/>
    </row>
    <row r="904" spans="1:22" s="168" customFormat="1" ht="22.500000" customHeight="1">
      <c r="A904" s="34">
        <v>902</v>
      </c>
      <c r="B904" s="34"/>
      <c r="C904" s="34"/>
      <c r="D904" s="34"/>
      <c r="E904" s="34"/>
      <c r="F904" s="85"/>
      <c r="G904" s="159"/>
      <c r="H904" s="155"/>
      <c r="I904" s="86"/>
      <c r="J904" s="86"/>
      <c r="K904" s="155"/>
      <c r="L904" s="85"/>
      <c r="M904" s="143"/>
      <c r="N904" s="88"/>
      <c r="O904" s="141"/>
      <c r="P904" s="31"/>
      <c r="Q904" s="88"/>
      <c r="R904" s="88"/>
      <c r="S904" s="88"/>
      <c r="T904" s="54"/>
      <c r="U904" s="54"/>
      <c r="V904" s="88"/>
    </row>
    <row r="905" spans="1:22" s="168" customFormat="1" ht="22.500000" customHeight="1">
      <c r="A905" s="34">
        <v>903</v>
      </c>
      <c r="B905" s="34"/>
      <c r="C905" s="34"/>
      <c r="D905" s="34"/>
      <c r="E905" s="34"/>
      <c r="F905" s="85"/>
      <c r="G905" s="159"/>
      <c r="H905" s="155"/>
      <c r="I905" s="86"/>
      <c r="J905" s="86"/>
      <c r="K905" s="155"/>
      <c r="L905" s="85"/>
      <c r="M905" s="142"/>
      <c r="N905" s="88"/>
      <c r="O905" s="141"/>
      <c r="P905" s="31"/>
      <c r="Q905" s="88"/>
      <c r="R905" s="88"/>
      <c r="S905" s="88"/>
      <c r="T905" s="54"/>
      <c r="U905" s="54"/>
      <c r="V905" s="88"/>
    </row>
    <row r="906" spans="1:22" s="168" customFormat="1" ht="22.500000" customHeight="1">
      <c r="A906" s="34">
        <v>904</v>
      </c>
      <c r="B906" s="34"/>
      <c r="C906" s="34"/>
      <c r="D906" s="34"/>
      <c r="E906" s="34"/>
      <c r="F906" s="85"/>
      <c r="G906" s="159"/>
      <c r="H906" s="155"/>
      <c r="I906" s="86"/>
      <c r="J906" s="86"/>
      <c r="K906" s="155"/>
      <c r="L906" s="85"/>
      <c r="M906" s="143"/>
      <c r="N906" s="88"/>
      <c r="O906" s="141"/>
      <c r="P906" s="31"/>
      <c r="Q906" s="88"/>
      <c r="R906" s="88"/>
      <c r="S906" s="88"/>
      <c r="T906" s="54"/>
      <c r="U906" s="54"/>
      <c r="V906" s="88"/>
    </row>
    <row r="907" spans="1:22" s="168" customFormat="1" ht="22.500000" customHeight="1">
      <c r="A907" s="34">
        <v>905</v>
      </c>
      <c r="B907" s="34"/>
      <c r="C907" s="34"/>
      <c r="D907" s="34"/>
      <c r="E907" s="34"/>
      <c r="F907" s="85"/>
      <c r="G907" s="159"/>
      <c r="H907" s="155"/>
      <c r="I907" s="86"/>
      <c r="J907" s="86"/>
      <c r="K907" s="155"/>
      <c r="L907" s="85"/>
      <c r="M907" s="142"/>
      <c r="N907" s="88"/>
      <c r="O907" s="141"/>
      <c r="P907" s="31"/>
      <c r="Q907" s="88"/>
      <c r="R907" s="88"/>
      <c r="S907" s="88"/>
      <c r="T907" s="54"/>
      <c r="U907" s="54"/>
      <c r="V907" s="88"/>
    </row>
    <row r="908" spans="1:22" s="168" customFormat="1" ht="22.500000" customHeight="1">
      <c r="A908" s="34">
        <v>906</v>
      </c>
      <c r="B908" s="34"/>
      <c r="C908" s="34"/>
      <c r="D908" s="34"/>
      <c r="E908" s="34"/>
      <c r="F908" s="85"/>
      <c r="G908" s="159"/>
      <c r="H908" s="155"/>
      <c r="I908" s="86"/>
      <c r="J908" s="86"/>
      <c r="K908" s="155"/>
      <c r="L908" s="85"/>
      <c r="M908" s="143"/>
      <c r="N908" s="88"/>
      <c r="O908" s="141"/>
      <c r="P908" s="31"/>
      <c r="Q908" s="88"/>
      <c r="R908" s="88"/>
      <c r="S908" s="88"/>
      <c r="T908" s="54"/>
      <c r="U908" s="54"/>
      <c r="V908" s="88"/>
    </row>
    <row r="909" spans="1:22" s="168" customFormat="1" ht="22.500000" customHeight="1">
      <c r="A909" s="34">
        <v>907</v>
      </c>
      <c r="B909" s="34"/>
      <c r="C909" s="34"/>
      <c r="D909" s="34"/>
      <c r="E909" s="34"/>
      <c r="F909" s="85"/>
      <c r="G909" s="159"/>
      <c r="H909" s="155"/>
      <c r="I909" s="86"/>
      <c r="J909" s="86"/>
      <c r="K909" s="155"/>
      <c r="L909" s="85"/>
      <c r="M909" s="142"/>
      <c r="N909" s="88"/>
      <c r="O909" s="141"/>
      <c r="P909" s="31"/>
      <c r="Q909" s="88"/>
      <c r="R909" s="88"/>
      <c r="S909" s="88"/>
      <c r="T909" s="54"/>
      <c r="U909" s="54"/>
      <c r="V909" s="88"/>
    </row>
    <row r="910" spans="1:22" s="168" customFormat="1" ht="22.500000" customHeight="1">
      <c r="A910" s="34">
        <v>908</v>
      </c>
      <c r="B910" s="34"/>
      <c r="C910" s="34"/>
      <c r="D910" s="34"/>
      <c r="E910" s="34"/>
      <c r="F910" s="85"/>
      <c r="G910" s="159"/>
      <c r="H910" s="155"/>
      <c r="I910" s="86"/>
      <c r="J910" s="86"/>
      <c r="K910" s="155"/>
      <c r="L910" s="85"/>
      <c r="M910" s="143"/>
      <c r="N910" s="88"/>
      <c r="O910" s="141"/>
      <c r="P910" s="31"/>
      <c r="Q910" s="88"/>
      <c r="R910" s="88"/>
      <c r="S910" s="88"/>
      <c r="T910" s="54"/>
      <c r="U910" s="54"/>
      <c r="V910" s="88"/>
    </row>
    <row r="911" spans="1:22" s="168" customFormat="1" ht="22.500000" customHeight="1">
      <c r="A911" s="34">
        <v>909</v>
      </c>
      <c r="B911" s="34"/>
      <c r="C911" s="34"/>
      <c r="D911" s="34"/>
      <c r="E911" s="34"/>
      <c r="F911" s="85"/>
      <c r="G911" s="159"/>
      <c r="H911" s="155"/>
      <c r="I911" s="86"/>
      <c r="J911" s="86"/>
      <c r="K911" s="155"/>
      <c r="L911" s="85"/>
      <c r="M911" s="142"/>
      <c r="N911" s="88"/>
      <c r="O911" s="141"/>
      <c r="P911" s="31"/>
      <c r="Q911" s="88"/>
      <c r="R911" s="88"/>
      <c r="S911" s="88"/>
      <c r="T911" s="54"/>
      <c r="U911" s="54"/>
      <c r="V911" s="88"/>
    </row>
    <row r="912" spans="1:22" s="168" customFormat="1" ht="22.500000" customHeight="1">
      <c r="A912" s="34">
        <v>910</v>
      </c>
      <c r="B912" s="34"/>
      <c r="C912" s="34"/>
      <c r="D912" s="34"/>
      <c r="E912" s="34"/>
      <c r="F912" s="85"/>
      <c r="G912" s="159"/>
      <c r="H912" s="155"/>
      <c r="I912" s="86"/>
      <c r="J912" s="86"/>
      <c r="K912" s="155"/>
      <c r="L912" s="85"/>
      <c r="M912" s="143"/>
      <c r="N912" s="88"/>
      <c r="O912" s="141"/>
      <c r="P912" s="31"/>
      <c r="Q912" s="88"/>
      <c r="R912" s="88"/>
      <c r="S912" s="88"/>
      <c r="T912" s="54"/>
      <c r="U912" s="54"/>
      <c r="V912" s="88"/>
    </row>
    <row r="913" spans="1:22" s="168" customFormat="1" ht="22.500000" customHeight="1">
      <c r="A913" s="34">
        <v>911</v>
      </c>
      <c r="B913" s="34"/>
      <c r="C913" s="34"/>
      <c r="D913" s="34"/>
      <c r="E913" s="34"/>
      <c r="F913" s="85"/>
      <c r="G913" s="159"/>
      <c r="H913" s="155"/>
      <c r="I913" s="86"/>
      <c r="J913" s="86"/>
      <c r="K913" s="155"/>
      <c r="L913" s="85"/>
      <c r="M913" s="142"/>
      <c r="N913" s="88"/>
      <c r="O913" s="141"/>
      <c r="P913" s="31"/>
      <c r="Q913" s="88"/>
      <c r="R913" s="88"/>
      <c r="S913" s="88"/>
      <c r="T913" s="54"/>
      <c r="U913" s="54"/>
      <c r="V913" s="88"/>
    </row>
    <row r="914" spans="1:22" s="168" customFormat="1" ht="22.500000" customHeight="1">
      <c r="A914" s="34">
        <v>912</v>
      </c>
      <c r="B914" s="34"/>
      <c r="C914" s="34"/>
      <c r="D914" s="34"/>
      <c r="E914" s="34"/>
      <c r="F914" s="85"/>
      <c r="G914" s="159"/>
      <c r="H914" s="155"/>
      <c r="I914" s="86"/>
      <c r="J914" s="86"/>
      <c r="K914" s="155"/>
      <c r="L914" s="85"/>
      <c r="M914" s="143"/>
      <c r="N914" s="88"/>
      <c r="O914" s="141"/>
      <c r="P914" s="31"/>
      <c r="Q914" s="88"/>
      <c r="R914" s="88"/>
      <c r="S914" s="88"/>
      <c r="T914" s="54"/>
      <c r="U914" s="54"/>
      <c r="V914" s="88"/>
    </row>
    <row r="915" spans="1:22" s="168" customFormat="1" ht="22.500000" customHeight="1">
      <c r="A915" s="34">
        <v>913</v>
      </c>
      <c r="B915" s="34"/>
      <c r="C915" s="34"/>
      <c r="D915" s="34"/>
      <c r="E915" s="34"/>
      <c r="F915" s="85"/>
      <c r="G915" s="159"/>
      <c r="H915" s="155"/>
      <c r="I915" s="86"/>
      <c r="J915" s="86"/>
      <c r="K915" s="155"/>
      <c r="L915" s="85"/>
      <c r="M915" s="142"/>
      <c r="N915" s="88"/>
      <c r="O915" s="141"/>
      <c r="P915" s="31"/>
      <c r="Q915" s="88"/>
      <c r="R915" s="88"/>
      <c r="S915" s="88"/>
      <c r="T915" s="54"/>
      <c r="U915" s="54"/>
      <c r="V915" s="88"/>
    </row>
    <row r="916" spans="1:22" s="168" customFormat="1" ht="22.500000" customHeight="1">
      <c r="A916" s="34">
        <v>914</v>
      </c>
      <c r="B916" s="34"/>
      <c r="C916" s="34"/>
      <c r="D916" s="34"/>
      <c r="E916" s="34"/>
      <c r="F916" s="85"/>
      <c r="G916" s="159"/>
      <c r="H916" s="155"/>
      <c r="I916" s="86"/>
      <c r="J916" s="86"/>
      <c r="K916" s="155"/>
      <c r="L916" s="85"/>
      <c r="M916" s="143"/>
      <c r="N916" s="88"/>
      <c r="O916" s="141"/>
      <c r="P916" s="31"/>
      <c r="Q916" s="88"/>
      <c r="R916" s="88"/>
      <c r="S916" s="88"/>
      <c r="T916" s="54"/>
      <c r="U916" s="54"/>
      <c r="V916" s="88"/>
    </row>
    <row r="917" spans="1:22" s="168" customFormat="1" ht="22.500000" customHeight="1">
      <c r="A917" s="34">
        <v>915</v>
      </c>
      <c r="B917" s="34"/>
      <c r="C917" s="34"/>
      <c r="D917" s="34"/>
      <c r="E917" s="34"/>
      <c r="F917" s="85"/>
      <c r="G917" s="159"/>
      <c r="H917" s="155"/>
      <c r="I917" s="86"/>
      <c r="J917" s="86"/>
      <c r="K917" s="155"/>
      <c r="L917" s="85"/>
      <c r="M917" s="142"/>
      <c r="N917" s="88"/>
      <c r="O917" s="141"/>
      <c r="P917" s="31"/>
      <c r="Q917" s="88"/>
      <c r="R917" s="88"/>
      <c r="S917" s="88"/>
      <c r="T917" s="54"/>
      <c r="U917" s="54"/>
      <c r="V917" s="88"/>
    </row>
    <row r="918" spans="1:22" s="168" customFormat="1" ht="22.500000" customHeight="1">
      <c r="A918" s="34">
        <v>916</v>
      </c>
      <c r="B918" s="34"/>
      <c r="C918" s="34"/>
      <c r="D918" s="34"/>
      <c r="E918" s="34"/>
      <c r="F918" s="85"/>
      <c r="G918" s="159"/>
      <c r="H918" s="155"/>
      <c r="I918" s="86"/>
      <c r="J918" s="86"/>
      <c r="K918" s="155"/>
      <c r="L918" s="85"/>
      <c r="M918" s="143"/>
      <c r="N918" s="88"/>
      <c r="O918" s="141"/>
      <c r="P918" s="31"/>
      <c r="Q918" s="88"/>
      <c r="R918" s="88"/>
      <c r="S918" s="88"/>
      <c r="T918" s="54"/>
      <c r="U918" s="54"/>
      <c r="V918" s="88"/>
    </row>
    <row r="919" spans="1:22" s="168" customFormat="1" ht="22.500000" customHeight="1">
      <c r="A919" s="34">
        <v>917</v>
      </c>
      <c r="B919" s="34"/>
      <c r="C919" s="34"/>
      <c r="D919" s="34"/>
      <c r="E919" s="34"/>
      <c r="F919" s="85"/>
      <c r="G919" s="159"/>
      <c r="H919" s="155"/>
      <c r="I919" s="86"/>
      <c r="J919" s="86"/>
      <c r="K919" s="155"/>
      <c r="L919" s="85"/>
      <c r="M919" s="142"/>
      <c r="N919" s="88"/>
      <c r="O919" s="141"/>
      <c r="P919" s="31"/>
      <c r="Q919" s="88"/>
      <c r="R919" s="88"/>
      <c r="S919" s="88"/>
      <c r="T919" s="54"/>
      <c r="U919" s="54"/>
      <c r="V919" s="88"/>
    </row>
    <row r="920" spans="1:22" s="168" customFormat="1" ht="22.500000" customHeight="1">
      <c r="A920" s="34">
        <v>918</v>
      </c>
      <c r="B920" s="34"/>
      <c r="C920" s="34"/>
      <c r="D920" s="34"/>
      <c r="E920" s="34"/>
      <c r="F920" s="85"/>
      <c r="G920" s="159"/>
      <c r="H920" s="155"/>
      <c r="I920" s="86"/>
      <c r="J920" s="86"/>
      <c r="K920" s="155"/>
      <c r="L920" s="85"/>
      <c r="M920" s="143"/>
      <c r="N920" s="88"/>
      <c r="O920" s="141"/>
      <c r="P920" s="31"/>
      <c r="Q920" s="88"/>
      <c r="R920" s="88"/>
      <c r="S920" s="88"/>
      <c r="T920" s="54"/>
      <c r="U920" s="54"/>
      <c r="V920" s="88"/>
    </row>
    <row r="921" spans="1:22" s="168" customFormat="1" ht="22.500000" customHeight="1">
      <c r="A921" s="34">
        <v>919</v>
      </c>
      <c r="B921" s="34"/>
      <c r="C921" s="34"/>
      <c r="D921" s="34"/>
      <c r="E921" s="34"/>
      <c r="F921" s="85"/>
      <c r="G921" s="159"/>
      <c r="H921" s="155"/>
      <c r="I921" s="86"/>
      <c r="J921" s="86"/>
      <c r="K921" s="155"/>
      <c r="L921" s="85"/>
      <c r="M921" s="142"/>
      <c r="N921" s="88"/>
      <c r="O921" s="141"/>
      <c r="P921" s="31"/>
      <c r="Q921" s="88"/>
      <c r="R921" s="88"/>
      <c r="S921" s="88"/>
      <c r="T921" s="54"/>
      <c r="U921" s="54"/>
      <c r="V921" s="88"/>
    </row>
    <row r="922" spans="1:22" s="168" customFormat="1" ht="22.500000" customHeight="1">
      <c r="A922" s="34">
        <v>920</v>
      </c>
      <c r="B922" s="34"/>
      <c r="C922" s="34"/>
      <c r="D922" s="34"/>
      <c r="E922" s="34"/>
      <c r="F922" s="85"/>
      <c r="G922" s="159"/>
      <c r="H922" s="155"/>
      <c r="I922" s="86"/>
      <c r="J922" s="86"/>
      <c r="K922" s="155"/>
      <c r="L922" s="85"/>
      <c r="M922" s="143"/>
      <c r="N922" s="88"/>
      <c r="O922" s="141"/>
      <c r="P922" s="31"/>
      <c r="Q922" s="88"/>
      <c r="R922" s="88"/>
      <c r="S922" s="88"/>
      <c r="T922" s="54"/>
      <c r="U922" s="54"/>
      <c r="V922" s="88"/>
    </row>
    <row r="923" spans="1:22" s="168" customFormat="1" ht="22.500000" customHeight="1">
      <c r="A923" s="34">
        <v>921</v>
      </c>
      <c r="B923" s="34"/>
      <c r="C923" s="34"/>
      <c r="D923" s="34"/>
      <c r="E923" s="34"/>
      <c r="F923" s="85"/>
      <c r="G923" s="159"/>
      <c r="H923" s="155"/>
      <c r="I923" s="86"/>
      <c r="J923" s="86"/>
      <c r="K923" s="155"/>
      <c r="L923" s="85"/>
      <c r="M923" s="142"/>
      <c r="N923" s="88"/>
      <c r="O923" s="141"/>
      <c r="P923" s="31"/>
      <c r="Q923" s="88"/>
      <c r="R923" s="88"/>
      <c r="S923" s="88"/>
      <c r="T923" s="54"/>
      <c r="U923" s="54"/>
      <c r="V923" s="88"/>
    </row>
    <row r="924" spans="1:22" s="168" customFormat="1" ht="22.500000" customHeight="1">
      <c r="A924" s="34">
        <v>922</v>
      </c>
      <c r="B924" s="34"/>
      <c r="C924" s="34"/>
      <c r="D924" s="34"/>
      <c r="E924" s="34"/>
      <c r="F924" s="85"/>
      <c r="G924" s="159"/>
      <c r="H924" s="155"/>
      <c r="I924" s="86"/>
      <c r="J924" s="86"/>
      <c r="K924" s="155"/>
      <c r="L924" s="85"/>
      <c r="M924" s="143"/>
      <c r="N924" s="88"/>
      <c r="O924" s="141"/>
      <c r="P924" s="31"/>
      <c r="Q924" s="88"/>
      <c r="R924" s="88"/>
      <c r="S924" s="88"/>
      <c r="T924" s="54"/>
      <c r="U924" s="54"/>
      <c r="V924" s="88"/>
    </row>
    <row r="925" spans="1:22" s="168" customFormat="1" ht="22.500000" customHeight="1">
      <c r="A925" s="34">
        <v>923</v>
      </c>
      <c r="B925" s="34"/>
      <c r="C925" s="34"/>
      <c r="D925" s="34"/>
      <c r="E925" s="34"/>
      <c r="F925" s="85"/>
      <c r="G925" s="159"/>
      <c r="H925" s="155"/>
      <c r="I925" s="86"/>
      <c r="J925" s="86"/>
      <c r="K925" s="155"/>
      <c r="L925" s="85"/>
      <c r="M925" s="142"/>
      <c r="N925" s="88"/>
      <c r="O925" s="141"/>
      <c r="P925" s="31"/>
      <c r="Q925" s="88"/>
      <c r="R925" s="88"/>
      <c r="S925" s="88"/>
      <c r="T925" s="54"/>
      <c r="U925" s="54"/>
      <c r="V925" s="88"/>
    </row>
    <row r="926" spans="1:22" s="168" customFormat="1" ht="22.500000" customHeight="1">
      <c r="A926" s="34">
        <v>924</v>
      </c>
      <c r="B926" s="34"/>
      <c r="C926" s="34"/>
      <c r="D926" s="34"/>
      <c r="E926" s="34"/>
      <c r="F926" s="85"/>
      <c r="G926" s="159"/>
      <c r="H926" s="155"/>
      <c r="I926" s="86"/>
      <c r="J926" s="86"/>
      <c r="K926" s="155"/>
      <c r="L926" s="85"/>
      <c r="M926" s="143"/>
      <c r="N926" s="88"/>
      <c r="O926" s="141"/>
      <c r="P926" s="31"/>
      <c r="Q926" s="88"/>
      <c r="R926" s="88"/>
      <c r="S926" s="88"/>
      <c r="T926" s="54"/>
      <c r="U926" s="54"/>
      <c r="V926" s="88"/>
    </row>
    <row r="927" spans="1:22" s="168" customFormat="1" ht="22.500000" customHeight="1">
      <c r="A927" s="34">
        <v>925</v>
      </c>
      <c r="B927" s="34"/>
      <c r="C927" s="34"/>
      <c r="D927" s="34"/>
      <c r="E927" s="34"/>
      <c r="F927" s="85"/>
      <c r="G927" s="159"/>
      <c r="H927" s="155"/>
      <c r="I927" s="86"/>
      <c r="J927" s="86"/>
      <c r="K927" s="155"/>
      <c r="L927" s="85"/>
      <c r="M927" s="142"/>
      <c r="N927" s="88"/>
      <c r="O927" s="141"/>
      <c r="P927" s="31"/>
      <c r="Q927" s="88"/>
      <c r="R927" s="88"/>
      <c r="S927" s="88"/>
      <c r="T927" s="54"/>
      <c r="U927" s="54"/>
      <c r="V927" s="88"/>
    </row>
    <row r="928" spans="1:22" s="168" customFormat="1" ht="22.500000" customHeight="1">
      <c r="A928" s="34">
        <v>926</v>
      </c>
      <c r="B928" s="34"/>
      <c r="C928" s="34"/>
      <c r="D928" s="34"/>
      <c r="E928" s="34"/>
      <c r="F928" s="85"/>
      <c r="G928" s="159"/>
      <c r="H928" s="155"/>
      <c r="I928" s="86"/>
      <c r="J928" s="86"/>
      <c r="K928" s="155"/>
      <c r="L928" s="85"/>
      <c r="M928" s="143"/>
      <c r="N928" s="88"/>
      <c r="O928" s="141"/>
      <c r="P928" s="31"/>
      <c r="Q928" s="88"/>
      <c r="R928" s="88"/>
      <c r="S928" s="88"/>
      <c r="T928" s="54"/>
      <c r="U928" s="54"/>
      <c r="V928" s="88"/>
    </row>
    <row r="929" spans="1:22" s="168" customFormat="1" ht="22.500000" customHeight="1">
      <c r="A929" s="34">
        <v>927</v>
      </c>
      <c r="B929" s="34"/>
      <c r="C929" s="34"/>
      <c r="D929" s="34"/>
      <c r="E929" s="34"/>
      <c r="F929" s="85"/>
      <c r="G929" s="159"/>
      <c r="H929" s="155"/>
      <c r="I929" s="86"/>
      <c r="J929" s="86"/>
      <c r="K929" s="155"/>
      <c r="L929" s="85"/>
      <c r="M929" s="142"/>
      <c r="N929" s="88"/>
      <c r="O929" s="141"/>
      <c r="P929" s="31"/>
      <c r="Q929" s="88"/>
      <c r="R929" s="88"/>
      <c r="S929" s="88"/>
      <c r="T929" s="54"/>
      <c r="U929" s="54"/>
      <c r="V929" s="88"/>
    </row>
    <row r="930" spans="1:22" s="168" customFormat="1" ht="22.500000" customHeight="1">
      <c r="A930" s="34">
        <v>928</v>
      </c>
      <c r="B930" s="34"/>
      <c r="C930" s="34"/>
      <c r="D930" s="34"/>
      <c r="E930" s="34"/>
      <c r="F930" s="85"/>
      <c r="G930" s="159"/>
      <c r="H930" s="155"/>
      <c r="I930" s="86"/>
      <c r="J930" s="86"/>
      <c r="K930" s="155"/>
      <c r="L930" s="85"/>
      <c r="M930" s="143"/>
      <c r="N930" s="88"/>
      <c r="O930" s="141"/>
      <c r="P930" s="31"/>
      <c r="Q930" s="88"/>
      <c r="R930" s="88"/>
      <c r="S930" s="88"/>
      <c r="T930" s="54"/>
      <c r="U930" s="54"/>
      <c r="V930" s="88"/>
    </row>
    <row r="931" spans="1:22" s="168" customFormat="1" ht="22.500000" customHeight="1">
      <c r="A931" s="34">
        <v>929</v>
      </c>
      <c r="B931" s="34"/>
      <c r="C931" s="34"/>
      <c r="D931" s="34"/>
      <c r="E931" s="34"/>
      <c r="F931" s="85"/>
      <c r="G931" s="159"/>
      <c r="H931" s="155"/>
      <c r="I931" s="86"/>
      <c r="J931" s="86"/>
      <c r="K931" s="155"/>
      <c r="L931" s="85"/>
      <c r="M931" s="142"/>
      <c r="N931" s="88"/>
      <c r="O931" s="141"/>
      <c r="P931" s="31"/>
      <c r="Q931" s="88"/>
      <c r="R931" s="88"/>
      <c r="S931" s="88"/>
      <c r="T931" s="54"/>
      <c r="U931" s="54"/>
      <c r="V931" s="88"/>
    </row>
    <row r="932" spans="1:22" s="168" customFormat="1" ht="22.500000" customHeight="1">
      <c r="A932" s="34">
        <v>930</v>
      </c>
      <c r="B932" s="34"/>
      <c r="C932" s="34"/>
      <c r="D932" s="34"/>
      <c r="E932" s="34"/>
      <c r="F932" s="85"/>
      <c r="G932" s="159"/>
      <c r="H932" s="155"/>
      <c r="I932" s="86"/>
      <c r="J932" s="86"/>
      <c r="K932" s="155"/>
      <c r="L932" s="85"/>
      <c r="M932" s="143"/>
      <c r="N932" s="88"/>
      <c r="O932" s="141"/>
      <c r="P932" s="31"/>
      <c r="Q932" s="88"/>
      <c r="R932" s="88"/>
      <c r="S932" s="88"/>
      <c r="T932" s="54"/>
      <c r="U932" s="54"/>
      <c r="V932" s="88"/>
    </row>
    <row r="933" spans="1:22" s="168" customFormat="1" ht="22.500000" customHeight="1">
      <c r="A933" s="34">
        <v>931</v>
      </c>
      <c r="B933" s="34"/>
      <c r="C933" s="34"/>
      <c r="D933" s="34"/>
      <c r="E933" s="34"/>
      <c r="F933" s="85"/>
      <c r="G933" s="159"/>
      <c r="H933" s="155"/>
      <c r="I933" s="86"/>
      <c r="J933" s="86"/>
      <c r="K933" s="155"/>
      <c r="L933" s="85"/>
      <c r="M933" s="142"/>
      <c r="N933" s="88"/>
      <c r="O933" s="141"/>
      <c r="P933" s="31"/>
      <c r="Q933" s="88"/>
      <c r="R933" s="88"/>
      <c r="S933" s="88"/>
      <c r="T933" s="54"/>
      <c r="U933" s="54"/>
      <c r="V933" s="88"/>
    </row>
    <row r="934" spans="1:22" s="168" customFormat="1" ht="22.500000" customHeight="1">
      <c r="A934" s="34">
        <v>932</v>
      </c>
      <c r="B934" s="34"/>
      <c r="C934" s="34"/>
      <c r="D934" s="34"/>
      <c r="E934" s="34"/>
      <c r="F934" s="85"/>
      <c r="G934" s="159"/>
      <c r="H934" s="155"/>
      <c r="I934" s="86"/>
      <c r="J934" s="86"/>
      <c r="K934" s="155"/>
      <c r="L934" s="85"/>
      <c r="M934" s="143"/>
      <c r="N934" s="88"/>
      <c r="O934" s="141"/>
      <c r="P934" s="31"/>
      <c r="Q934" s="88"/>
      <c r="R934" s="88"/>
      <c r="S934" s="88"/>
      <c r="T934" s="54"/>
      <c r="U934" s="54"/>
      <c r="V934" s="88"/>
    </row>
    <row r="935" spans="1:22" s="168" customFormat="1" ht="22.500000" customHeight="1">
      <c r="A935" s="34">
        <v>933</v>
      </c>
      <c r="B935" s="34"/>
      <c r="C935" s="34"/>
      <c r="D935" s="34"/>
      <c r="E935" s="34"/>
      <c r="F935" s="85"/>
      <c r="G935" s="159"/>
      <c r="H935" s="155"/>
      <c r="I935" s="86"/>
      <c r="J935" s="86"/>
      <c r="K935" s="155"/>
      <c r="L935" s="85"/>
      <c r="M935" s="142"/>
      <c r="N935" s="88"/>
      <c r="O935" s="141"/>
      <c r="P935" s="31"/>
      <c r="Q935" s="88"/>
      <c r="R935" s="88"/>
      <c r="S935" s="88"/>
      <c r="T935" s="54"/>
      <c r="U935" s="54"/>
      <c r="V935" s="88"/>
    </row>
    <row r="936" spans="1:22" s="168" customFormat="1" ht="22.500000" customHeight="1">
      <c r="A936" s="34">
        <v>934</v>
      </c>
      <c r="B936" s="34"/>
      <c r="C936" s="34"/>
      <c r="D936" s="34"/>
      <c r="E936" s="34"/>
      <c r="F936" s="85"/>
      <c r="G936" s="159"/>
      <c r="H936" s="155"/>
      <c r="I936" s="86"/>
      <c r="J936" s="86"/>
      <c r="K936" s="155"/>
      <c r="L936" s="85"/>
      <c r="M936" s="143"/>
      <c r="N936" s="88"/>
      <c r="O936" s="141"/>
      <c r="P936" s="31"/>
      <c r="Q936" s="88"/>
      <c r="R936" s="88"/>
      <c r="S936" s="88"/>
      <c r="T936" s="54"/>
      <c r="U936" s="54"/>
      <c r="V936" s="88"/>
    </row>
    <row r="937" spans="1:22" s="168" customFormat="1" ht="22.500000" customHeight="1">
      <c r="A937" s="34">
        <v>935</v>
      </c>
      <c r="B937" s="34"/>
      <c r="C937" s="34"/>
      <c r="D937" s="34"/>
      <c r="E937" s="34"/>
      <c r="F937" s="85"/>
      <c r="G937" s="159"/>
      <c r="H937" s="155"/>
      <c r="I937" s="86"/>
      <c r="J937" s="86"/>
      <c r="K937" s="155"/>
      <c r="L937" s="85"/>
      <c r="M937" s="142"/>
      <c r="N937" s="88"/>
      <c r="O937" s="141"/>
      <c r="P937" s="31"/>
      <c r="Q937" s="88"/>
      <c r="R937" s="88"/>
      <c r="S937" s="88"/>
      <c r="T937" s="54"/>
      <c r="U937" s="54"/>
      <c r="V937" s="88"/>
    </row>
    <row r="938" spans="1:22" s="168" customFormat="1" ht="22.500000" customHeight="1">
      <c r="A938" s="34">
        <v>936</v>
      </c>
      <c r="B938" s="34"/>
      <c r="C938" s="34"/>
      <c r="D938" s="34"/>
      <c r="E938" s="34"/>
      <c r="F938" s="85"/>
      <c r="G938" s="159"/>
      <c r="H938" s="155"/>
      <c r="I938" s="86"/>
      <c r="J938" s="86"/>
      <c r="K938" s="155"/>
      <c r="L938" s="85"/>
      <c r="M938" s="143"/>
      <c r="N938" s="88"/>
      <c r="O938" s="141"/>
      <c r="P938" s="31"/>
      <c r="Q938" s="88"/>
      <c r="R938" s="88"/>
      <c r="S938" s="88"/>
      <c r="T938" s="54"/>
      <c r="U938" s="54"/>
      <c r="V938" s="88"/>
    </row>
    <row r="939" spans="1:22" s="168" customFormat="1" ht="22.500000" customHeight="1">
      <c r="A939" s="34">
        <v>937</v>
      </c>
      <c r="B939" s="34"/>
      <c r="C939" s="34"/>
      <c r="D939" s="34"/>
      <c r="E939" s="34"/>
      <c r="F939" s="85"/>
      <c r="G939" s="159"/>
      <c r="H939" s="155"/>
      <c r="I939" s="86"/>
      <c r="J939" s="86"/>
      <c r="K939" s="155"/>
      <c r="L939" s="85"/>
      <c r="M939" s="142"/>
      <c r="N939" s="88"/>
      <c r="O939" s="141"/>
      <c r="P939" s="31"/>
      <c r="Q939" s="88"/>
      <c r="R939" s="88"/>
      <c r="S939" s="88"/>
      <c r="T939" s="54"/>
      <c r="U939" s="54"/>
      <c r="V939" s="88"/>
    </row>
    <row r="940" spans="1:22" s="168" customFormat="1" ht="22.500000" customHeight="1">
      <c r="A940" s="34">
        <v>938</v>
      </c>
      <c r="B940" s="34"/>
      <c r="C940" s="34"/>
      <c r="D940" s="34"/>
      <c r="E940" s="34"/>
      <c r="F940" s="85"/>
      <c r="G940" s="159"/>
      <c r="H940" s="155"/>
      <c r="I940" s="86"/>
      <c r="J940" s="86"/>
      <c r="K940" s="155"/>
      <c r="L940" s="85"/>
      <c r="M940" s="143"/>
      <c r="N940" s="88"/>
      <c r="O940" s="141"/>
      <c r="P940" s="31"/>
      <c r="Q940" s="88"/>
      <c r="R940" s="88"/>
      <c r="S940" s="88"/>
      <c r="T940" s="54"/>
      <c r="U940" s="54"/>
      <c r="V940" s="88"/>
    </row>
    <row r="941" spans="1:22" s="168" customFormat="1" ht="22.500000" customHeight="1">
      <c r="A941" s="34">
        <v>939</v>
      </c>
      <c r="B941" s="34"/>
      <c r="C941" s="34"/>
      <c r="D941" s="34"/>
      <c r="E941" s="34"/>
      <c r="F941" s="85"/>
      <c r="G941" s="159"/>
      <c r="H941" s="155"/>
      <c r="I941" s="86"/>
      <c r="J941" s="86"/>
      <c r="K941" s="155"/>
      <c r="L941" s="85"/>
      <c r="M941" s="142"/>
      <c r="N941" s="88"/>
      <c r="O941" s="141"/>
      <c r="P941" s="31"/>
      <c r="Q941" s="88"/>
      <c r="R941" s="88"/>
      <c r="S941" s="88"/>
      <c r="T941" s="54"/>
      <c r="U941" s="54"/>
      <c r="V941" s="88"/>
    </row>
    <row r="942" spans="1:22" s="168" customFormat="1" ht="22.500000" customHeight="1">
      <c r="A942" s="34">
        <v>940</v>
      </c>
      <c r="B942" s="34"/>
      <c r="C942" s="34"/>
      <c r="D942" s="34"/>
      <c r="E942" s="34"/>
      <c r="F942" s="85"/>
      <c r="G942" s="159"/>
      <c r="H942" s="155"/>
      <c r="I942" s="86"/>
      <c r="J942" s="86"/>
      <c r="K942" s="155"/>
      <c r="L942" s="85"/>
      <c r="M942" s="143"/>
      <c r="N942" s="88"/>
      <c r="O942" s="141"/>
      <c r="P942" s="31"/>
      <c r="Q942" s="88"/>
      <c r="R942" s="88"/>
      <c r="S942" s="88"/>
      <c r="T942" s="54"/>
      <c r="U942" s="54"/>
      <c r="V942" s="88"/>
    </row>
    <row r="943" spans="1:22" s="168" customFormat="1" ht="22.500000" customHeight="1">
      <c r="A943" s="34">
        <v>941</v>
      </c>
      <c r="B943" s="34"/>
      <c r="C943" s="34"/>
      <c r="D943" s="34"/>
      <c r="E943" s="34"/>
      <c r="F943" s="85"/>
      <c r="G943" s="159"/>
      <c r="H943" s="155"/>
      <c r="I943" s="86"/>
      <c r="J943" s="86"/>
      <c r="K943" s="155"/>
      <c r="L943" s="85"/>
      <c r="M943" s="142"/>
      <c r="N943" s="88"/>
      <c r="O943" s="141"/>
      <c r="P943" s="31"/>
      <c r="Q943" s="88"/>
      <c r="R943" s="88"/>
      <c r="S943" s="88"/>
      <c r="T943" s="54"/>
      <c r="U943" s="54"/>
      <c r="V943" s="88"/>
    </row>
    <row r="944" spans="1:22" s="168" customFormat="1" ht="22.500000" customHeight="1">
      <c r="A944" s="34">
        <v>942</v>
      </c>
      <c r="B944" s="34"/>
      <c r="C944" s="34"/>
      <c r="D944" s="34"/>
      <c r="E944" s="34"/>
      <c r="F944" s="85"/>
      <c r="G944" s="159"/>
      <c r="H944" s="155"/>
      <c r="I944" s="86"/>
      <c r="J944" s="86"/>
      <c r="K944" s="155"/>
      <c r="L944" s="85"/>
      <c r="M944" s="143"/>
      <c r="N944" s="88"/>
      <c r="O944" s="141"/>
      <c r="P944" s="31"/>
      <c r="Q944" s="88"/>
      <c r="R944" s="88"/>
      <c r="S944" s="88"/>
      <c r="T944" s="54"/>
      <c r="U944" s="54"/>
      <c r="V944" s="88"/>
    </row>
    <row r="945" spans="1:22" s="168" customFormat="1" ht="22.500000" customHeight="1">
      <c r="A945" s="34">
        <v>943</v>
      </c>
      <c r="B945" s="34"/>
      <c r="C945" s="34"/>
      <c r="D945" s="34"/>
      <c r="E945" s="34"/>
      <c r="F945" s="85"/>
      <c r="G945" s="159"/>
      <c r="H945" s="155"/>
      <c r="I945" s="86"/>
      <c r="J945" s="86"/>
      <c r="K945" s="155"/>
      <c r="L945" s="85"/>
      <c r="M945" s="142"/>
      <c r="N945" s="88"/>
      <c r="O945" s="141"/>
      <c r="P945" s="31"/>
      <c r="Q945" s="88"/>
      <c r="R945" s="88"/>
      <c r="S945" s="88"/>
      <c r="T945" s="54"/>
      <c r="U945" s="54"/>
      <c r="V945" s="88"/>
    </row>
    <row r="946" spans="1:22" s="168" customFormat="1" ht="22.500000" customHeight="1">
      <c r="A946" s="34">
        <v>944</v>
      </c>
      <c r="B946" s="34"/>
      <c r="C946" s="34"/>
      <c r="D946" s="34"/>
      <c r="E946" s="34"/>
      <c r="F946" s="85"/>
      <c r="G946" s="159"/>
      <c r="H946" s="155"/>
      <c r="I946" s="86"/>
      <c r="J946" s="86"/>
      <c r="K946" s="155"/>
      <c r="L946" s="85"/>
      <c r="M946" s="143"/>
      <c r="N946" s="88"/>
      <c r="O946" s="141"/>
      <c r="P946" s="31"/>
      <c r="Q946" s="88"/>
      <c r="R946" s="88"/>
      <c r="S946" s="88"/>
      <c r="T946" s="54"/>
      <c r="U946" s="54"/>
      <c r="V946" s="88"/>
    </row>
    <row r="947" spans="1:22" s="168" customFormat="1" ht="22.500000" customHeight="1">
      <c r="A947" s="34">
        <v>945</v>
      </c>
      <c r="B947" s="34"/>
      <c r="C947" s="34"/>
      <c r="D947" s="34"/>
      <c r="E947" s="34"/>
      <c r="F947" s="85"/>
      <c r="G947" s="159"/>
      <c r="H947" s="155"/>
      <c r="I947" s="86"/>
      <c r="J947" s="86"/>
      <c r="K947" s="155"/>
      <c r="L947" s="85"/>
      <c r="M947" s="142"/>
      <c r="N947" s="88"/>
      <c r="O947" s="141"/>
      <c r="P947" s="31"/>
      <c r="Q947" s="88"/>
      <c r="R947" s="88"/>
      <c r="S947" s="88"/>
      <c r="T947" s="54"/>
      <c r="U947" s="54"/>
      <c r="V947" s="88"/>
    </row>
    <row r="948" spans="1:22" s="168" customFormat="1" ht="22.500000" customHeight="1">
      <c r="A948" s="34">
        <v>946</v>
      </c>
      <c r="B948" s="34"/>
      <c r="C948" s="34"/>
      <c r="D948" s="34"/>
      <c r="E948" s="34"/>
      <c r="F948" s="85"/>
      <c r="G948" s="159"/>
      <c r="H948" s="155"/>
      <c r="I948" s="86"/>
      <c r="J948" s="86"/>
      <c r="K948" s="155"/>
      <c r="L948" s="85"/>
      <c r="M948" s="143"/>
      <c r="N948" s="88"/>
      <c r="O948" s="141"/>
      <c r="P948" s="31"/>
      <c r="Q948" s="88"/>
      <c r="R948" s="88"/>
      <c r="S948" s="88"/>
      <c r="T948" s="54"/>
      <c r="U948" s="54"/>
      <c r="V948" s="88"/>
    </row>
    <row r="949" spans="1:22" s="168" customFormat="1" ht="22.500000" customHeight="1">
      <c r="A949" s="34">
        <v>947</v>
      </c>
      <c r="B949" s="34"/>
      <c r="C949" s="34"/>
      <c r="D949" s="34"/>
      <c r="E949" s="34"/>
      <c r="F949" s="85"/>
      <c r="G949" s="159"/>
      <c r="H949" s="155"/>
      <c r="I949" s="86"/>
      <c r="J949" s="86"/>
      <c r="K949" s="155"/>
      <c r="L949" s="85"/>
      <c r="M949" s="142"/>
      <c r="N949" s="88"/>
      <c r="O949" s="141"/>
      <c r="P949" s="31"/>
      <c r="Q949" s="88"/>
      <c r="R949" s="88"/>
      <c r="S949" s="88"/>
      <c r="T949" s="54"/>
      <c r="U949" s="54"/>
      <c r="V949" s="88"/>
    </row>
    <row r="950" spans="1:22" s="168" customFormat="1" ht="22.500000" customHeight="1">
      <c r="A950" s="34">
        <v>948</v>
      </c>
      <c r="B950" s="34"/>
      <c r="C950" s="34"/>
      <c r="D950" s="34"/>
      <c r="E950" s="34"/>
      <c r="F950" s="85"/>
      <c r="G950" s="159"/>
      <c r="H950" s="155"/>
      <c r="I950" s="86"/>
      <c r="J950" s="86"/>
      <c r="K950" s="155"/>
      <c r="L950" s="85"/>
      <c r="M950" s="143"/>
      <c r="N950" s="88"/>
      <c r="O950" s="141"/>
      <c r="P950" s="31"/>
      <c r="Q950" s="88"/>
      <c r="R950" s="88"/>
      <c r="S950" s="88"/>
      <c r="T950" s="54"/>
      <c r="U950" s="54"/>
      <c r="V950" s="88"/>
    </row>
    <row r="951" spans="1:22" s="168" customFormat="1" ht="22.500000" customHeight="1">
      <c r="A951" s="34">
        <v>949</v>
      </c>
      <c r="B951" s="34"/>
      <c r="C951" s="34"/>
      <c r="D951" s="34"/>
      <c r="E951" s="34"/>
      <c r="F951" s="85"/>
      <c r="G951" s="159"/>
      <c r="H951" s="155"/>
      <c r="I951" s="86"/>
      <c r="J951" s="86"/>
      <c r="K951" s="155"/>
      <c r="L951" s="85"/>
      <c r="M951" s="142"/>
      <c r="N951" s="88"/>
      <c r="O951" s="141"/>
      <c r="P951" s="31"/>
      <c r="Q951" s="88"/>
      <c r="R951" s="88"/>
      <c r="S951" s="88"/>
      <c r="T951" s="54"/>
      <c r="U951" s="54"/>
      <c r="V951" s="88"/>
    </row>
    <row r="952" spans="1:22" s="168" customFormat="1" ht="22.500000" customHeight="1">
      <c r="A952" s="34">
        <v>950</v>
      </c>
      <c r="B952" s="34"/>
      <c r="C952" s="34"/>
      <c r="D952" s="34"/>
      <c r="E952" s="34"/>
      <c r="F952" s="85"/>
      <c r="G952" s="159"/>
      <c r="H952" s="155"/>
      <c r="I952" s="86"/>
      <c r="J952" s="86"/>
      <c r="K952" s="155"/>
      <c r="L952" s="85"/>
      <c r="M952" s="143"/>
      <c r="N952" s="88"/>
      <c r="O952" s="141"/>
      <c r="P952" s="31"/>
      <c r="Q952" s="88"/>
      <c r="R952" s="88"/>
      <c r="S952" s="88"/>
      <c r="T952" s="54"/>
      <c r="U952" s="54"/>
      <c r="V952" s="88"/>
    </row>
    <row r="953" spans="1:22" s="168" customFormat="1" ht="22.500000" customHeight="1">
      <c r="A953" s="34">
        <v>951</v>
      </c>
      <c r="B953" s="34"/>
      <c r="C953" s="34"/>
      <c r="D953" s="34"/>
      <c r="E953" s="34"/>
      <c r="F953" s="85"/>
      <c r="G953" s="159"/>
      <c r="H953" s="155"/>
      <c r="I953" s="86"/>
      <c r="J953" s="86"/>
      <c r="K953" s="155"/>
      <c r="L953" s="85"/>
      <c r="M953" s="142"/>
      <c r="N953" s="88"/>
      <c r="O953" s="141"/>
      <c r="P953" s="31"/>
      <c r="Q953" s="88"/>
      <c r="R953" s="88"/>
      <c r="S953" s="88"/>
      <c r="T953" s="54"/>
      <c r="U953" s="54"/>
      <c r="V953" s="88"/>
    </row>
    <row r="954" spans="1:22" s="168" customFormat="1" ht="22.500000" customHeight="1">
      <c r="A954" s="34">
        <v>952</v>
      </c>
      <c r="B954" s="34"/>
      <c r="C954" s="34"/>
      <c r="D954" s="34"/>
      <c r="E954" s="34"/>
      <c r="F954" s="85"/>
      <c r="G954" s="159"/>
      <c r="H954" s="155"/>
      <c r="I954" s="86"/>
      <c r="J954" s="86"/>
      <c r="K954" s="155"/>
      <c r="L954" s="85"/>
      <c r="M954" s="143"/>
      <c r="N954" s="88"/>
      <c r="O954" s="141"/>
      <c r="P954" s="31"/>
      <c r="Q954" s="88"/>
      <c r="R954" s="88"/>
      <c r="S954" s="88"/>
      <c r="T954" s="54"/>
      <c r="U954" s="54"/>
      <c r="V954" s="88"/>
    </row>
    <row r="955" spans="1:22" s="168" customFormat="1" ht="22.500000" customHeight="1">
      <c r="A955" s="34">
        <v>953</v>
      </c>
      <c r="B955" s="34"/>
      <c r="C955" s="34"/>
      <c r="D955" s="34"/>
      <c r="E955" s="34"/>
      <c r="F955" s="85"/>
      <c r="G955" s="159"/>
      <c r="H955" s="155"/>
      <c r="I955" s="86"/>
      <c r="J955" s="86"/>
      <c r="K955" s="155"/>
      <c r="L955" s="85"/>
      <c r="M955" s="142"/>
      <c r="N955" s="88"/>
      <c r="O955" s="141"/>
      <c r="P955" s="31"/>
      <c r="Q955" s="88"/>
      <c r="R955" s="88"/>
      <c r="S955" s="88"/>
      <c r="T955" s="54"/>
      <c r="U955" s="54"/>
      <c r="V955" s="88"/>
    </row>
    <row r="956" spans="1:22" s="168" customFormat="1" ht="22.500000" customHeight="1">
      <c r="A956" s="34">
        <v>954</v>
      </c>
      <c r="B956" s="34"/>
      <c r="C956" s="34"/>
      <c r="D956" s="34"/>
      <c r="E956" s="34"/>
      <c r="F956" s="85"/>
      <c r="G956" s="159"/>
      <c r="H956" s="155"/>
      <c r="I956" s="86"/>
      <c r="J956" s="86"/>
      <c r="K956" s="155"/>
      <c r="L956" s="85"/>
      <c r="M956" s="143"/>
      <c r="N956" s="88"/>
      <c r="O956" s="141"/>
      <c r="P956" s="31"/>
      <c r="Q956" s="88"/>
      <c r="R956" s="88"/>
      <c r="S956" s="88"/>
      <c r="T956" s="54"/>
      <c r="U956" s="54"/>
      <c r="V956" s="88"/>
    </row>
    <row r="957" spans="1:22" s="168" customFormat="1" ht="22.500000" customHeight="1">
      <c r="A957" s="34">
        <v>955</v>
      </c>
      <c r="B957" s="34"/>
      <c r="C957" s="34"/>
      <c r="D957" s="34"/>
      <c r="E957" s="34"/>
      <c r="F957" s="85"/>
      <c r="G957" s="159"/>
      <c r="H957" s="155"/>
      <c r="I957" s="86"/>
      <c r="J957" s="86"/>
      <c r="K957" s="155"/>
      <c r="L957" s="85"/>
      <c r="M957" s="142"/>
      <c r="N957" s="88"/>
      <c r="O957" s="141"/>
      <c r="P957" s="31"/>
      <c r="Q957" s="88"/>
      <c r="R957" s="88"/>
      <c r="S957" s="88"/>
      <c r="T957" s="54"/>
      <c r="U957" s="54"/>
      <c r="V957" s="88"/>
    </row>
    <row r="958" spans="1:22" s="168" customFormat="1" ht="22.500000" customHeight="1">
      <c r="A958" s="34">
        <v>956</v>
      </c>
      <c r="B958" s="34"/>
      <c r="C958" s="34"/>
      <c r="D958" s="34"/>
      <c r="E958" s="34"/>
      <c r="F958" s="85"/>
      <c r="G958" s="159"/>
      <c r="H958" s="155"/>
      <c r="I958" s="86"/>
      <c r="J958" s="86"/>
      <c r="K958" s="155"/>
      <c r="L958" s="85"/>
      <c r="M958" s="143"/>
      <c r="N958" s="88"/>
      <c r="O958" s="141"/>
      <c r="P958" s="31"/>
      <c r="Q958" s="88"/>
      <c r="R958" s="88"/>
      <c r="S958" s="88"/>
      <c r="T958" s="54"/>
      <c r="U958" s="54"/>
      <c r="V958" s="88"/>
    </row>
    <row r="959" spans="1:22" s="168" customFormat="1" ht="22.500000" customHeight="1">
      <c r="A959" s="34">
        <v>957</v>
      </c>
      <c r="B959" s="34"/>
      <c r="C959" s="34"/>
      <c r="D959" s="34"/>
      <c r="E959" s="34"/>
      <c r="F959" s="85"/>
      <c r="G959" s="159"/>
      <c r="H959" s="155"/>
      <c r="I959" s="86"/>
      <c r="J959" s="86"/>
      <c r="K959" s="155"/>
      <c r="L959" s="85"/>
      <c r="M959" s="142"/>
      <c r="N959" s="88"/>
      <c r="O959" s="141"/>
      <c r="P959" s="31"/>
      <c r="Q959" s="88"/>
      <c r="R959" s="88"/>
      <c r="S959" s="88"/>
      <c r="T959" s="54"/>
      <c r="U959" s="54"/>
      <c r="V959" s="88"/>
    </row>
    <row r="960" spans="1:22" s="168" customFormat="1" ht="22.500000" customHeight="1">
      <c r="A960" s="34">
        <v>958</v>
      </c>
      <c r="B960" s="34"/>
      <c r="C960" s="34"/>
      <c r="D960" s="34"/>
      <c r="E960" s="34"/>
      <c r="F960" s="85"/>
      <c r="G960" s="159"/>
      <c r="H960" s="155"/>
      <c r="I960" s="86"/>
      <c r="J960" s="86"/>
      <c r="K960" s="155"/>
      <c r="L960" s="85"/>
      <c r="M960" s="143"/>
      <c r="N960" s="88"/>
      <c r="O960" s="141"/>
      <c r="P960" s="31"/>
      <c r="Q960" s="88"/>
      <c r="R960" s="88"/>
      <c r="S960" s="88"/>
      <c r="T960" s="54"/>
      <c r="U960" s="54"/>
      <c r="V960" s="88"/>
    </row>
    <row r="961" spans="1:22" s="168" customFormat="1" ht="22.500000" customHeight="1">
      <c r="A961" s="34">
        <v>959</v>
      </c>
      <c r="B961" s="34"/>
      <c r="C961" s="34"/>
      <c r="D961" s="34"/>
      <c r="E961" s="34"/>
      <c r="F961" s="85"/>
      <c r="G961" s="159"/>
      <c r="H961" s="155"/>
      <c r="I961" s="86"/>
      <c r="J961" s="86"/>
      <c r="K961" s="155"/>
      <c r="L961" s="85"/>
      <c r="M961" s="142"/>
      <c r="N961" s="88"/>
      <c r="O961" s="141"/>
      <c r="P961" s="31"/>
      <c r="Q961" s="88"/>
      <c r="R961" s="88"/>
      <c r="S961" s="88"/>
      <c r="T961" s="54"/>
      <c r="U961" s="54"/>
      <c r="V961" s="88"/>
    </row>
    <row r="962" spans="1:22" s="168" customFormat="1" ht="22.500000" customHeight="1">
      <c r="A962" s="34">
        <v>960</v>
      </c>
      <c r="B962" s="34"/>
      <c r="C962" s="34"/>
      <c r="D962" s="34"/>
      <c r="E962" s="34"/>
      <c r="F962" s="85"/>
      <c r="G962" s="159"/>
      <c r="H962" s="155"/>
      <c r="I962" s="86"/>
      <c r="J962" s="86"/>
      <c r="K962" s="155"/>
      <c r="L962" s="85"/>
      <c r="M962" s="143"/>
      <c r="N962" s="88"/>
      <c r="O962" s="141"/>
      <c r="P962" s="31"/>
      <c r="Q962" s="88"/>
      <c r="R962" s="88"/>
      <c r="S962" s="88"/>
      <c r="T962" s="54"/>
      <c r="U962" s="54"/>
      <c r="V962" s="88"/>
    </row>
    <row r="963" spans="1:22" s="168" customFormat="1" ht="22.500000" customHeight="1">
      <c r="A963" s="34">
        <v>961</v>
      </c>
      <c r="B963" s="34"/>
      <c r="C963" s="34"/>
      <c r="D963" s="34"/>
      <c r="E963" s="34"/>
      <c r="F963" s="85"/>
      <c r="G963" s="159"/>
      <c r="H963" s="155"/>
      <c r="I963" s="86"/>
      <c r="J963" s="86"/>
      <c r="K963" s="155"/>
      <c r="L963" s="85"/>
      <c r="M963" s="142"/>
      <c r="N963" s="88"/>
      <c r="O963" s="141"/>
      <c r="P963" s="31"/>
      <c r="Q963" s="88"/>
      <c r="R963" s="88"/>
      <c r="S963" s="88"/>
      <c r="T963" s="54"/>
      <c r="U963" s="54"/>
      <c r="V963" s="88"/>
    </row>
    <row r="964" spans="1:22" s="168" customFormat="1" ht="22.500000" customHeight="1">
      <c r="A964" s="34">
        <v>962</v>
      </c>
      <c r="B964" s="34"/>
      <c r="C964" s="34"/>
      <c r="D964" s="34"/>
      <c r="E964" s="34"/>
      <c r="F964" s="85"/>
      <c r="G964" s="159"/>
      <c r="H964" s="155"/>
      <c r="I964" s="86"/>
      <c r="J964" s="86"/>
      <c r="K964" s="155"/>
      <c r="L964" s="85"/>
      <c r="M964" s="143"/>
      <c r="N964" s="88"/>
      <c r="O964" s="141"/>
      <c r="P964" s="31"/>
      <c r="Q964" s="88"/>
      <c r="R964" s="88"/>
      <c r="S964" s="88"/>
      <c r="T964" s="54"/>
      <c r="U964" s="54"/>
      <c r="V964" s="88"/>
    </row>
    <row r="965" spans="1:22" s="168" customFormat="1" ht="22.500000" customHeight="1">
      <c r="A965" s="34">
        <v>963</v>
      </c>
      <c r="B965" s="34"/>
      <c r="C965" s="34"/>
      <c r="D965" s="34"/>
      <c r="E965" s="34"/>
      <c r="F965" s="85"/>
      <c r="G965" s="159"/>
      <c r="H965" s="155"/>
      <c r="I965" s="86"/>
      <c r="J965" s="86"/>
      <c r="K965" s="155"/>
      <c r="L965" s="85"/>
      <c r="M965" s="142"/>
      <c r="N965" s="88"/>
      <c r="O965" s="141"/>
      <c r="P965" s="31"/>
      <c r="Q965" s="88"/>
      <c r="R965" s="88"/>
      <c r="S965" s="88"/>
      <c r="T965" s="54"/>
      <c r="U965" s="54"/>
      <c r="V965" s="88"/>
    </row>
    <row r="966" spans="1:22" s="168" customFormat="1" ht="22.500000" customHeight="1">
      <c r="A966" s="34">
        <v>964</v>
      </c>
      <c r="B966" s="34"/>
      <c r="C966" s="34"/>
      <c r="D966" s="34"/>
      <c r="E966" s="34"/>
      <c r="F966" s="85"/>
      <c r="G966" s="159"/>
      <c r="H966" s="155"/>
      <c r="I966" s="86"/>
      <c r="J966" s="86"/>
      <c r="K966" s="155"/>
      <c r="L966" s="85"/>
      <c r="M966" s="143"/>
      <c r="N966" s="88"/>
      <c r="O966" s="141"/>
      <c r="P966" s="31"/>
      <c r="Q966" s="88"/>
      <c r="R966" s="88"/>
      <c r="S966" s="88"/>
      <c r="T966" s="54"/>
      <c r="U966" s="54"/>
      <c r="V966" s="88"/>
    </row>
    <row r="967" spans="1:22" s="168" customFormat="1" ht="22.500000" customHeight="1">
      <c r="A967" s="34">
        <v>965</v>
      </c>
      <c r="B967" s="34"/>
      <c r="C967" s="34"/>
      <c r="D967" s="34"/>
      <c r="E967" s="34"/>
      <c r="F967" s="85"/>
      <c r="G967" s="159"/>
      <c r="H967" s="155"/>
      <c r="I967" s="86"/>
      <c r="J967" s="86"/>
      <c r="K967" s="155"/>
      <c r="L967" s="85"/>
      <c r="M967" s="142"/>
      <c r="N967" s="88"/>
      <c r="O967" s="141"/>
      <c r="P967" s="31"/>
      <c r="Q967" s="88"/>
      <c r="R967" s="88"/>
      <c r="S967" s="88"/>
      <c r="T967" s="54"/>
      <c r="U967" s="54"/>
      <c r="V967" s="88"/>
    </row>
    <row r="968" spans="1:22" s="168" customFormat="1" ht="22.500000" customHeight="1">
      <c r="A968" s="34">
        <v>966</v>
      </c>
      <c r="B968" s="34"/>
      <c r="C968" s="34"/>
      <c r="D968" s="34"/>
      <c r="E968" s="34"/>
      <c r="F968" s="85"/>
      <c r="G968" s="159"/>
      <c r="H968" s="155"/>
      <c r="I968" s="86"/>
      <c r="J968" s="86"/>
      <c r="K968" s="155"/>
      <c r="L968" s="85"/>
      <c r="M968" s="143"/>
      <c r="N968" s="88"/>
      <c r="O968" s="141"/>
      <c r="P968" s="31"/>
      <c r="Q968" s="88"/>
      <c r="R968" s="88"/>
      <c r="S968" s="88"/>
      <c r="T968" s="54"/>
      <c r="U968" s="54"/>
      <c r="V968" s="88"/>
    </row>
    <row r="969" spans="1:22" s="168" customFormat="1" ht="22.500000" customHeight="1">
      <c r="A969" s="34">
        <v>967</v>
      </c>
      <c r="B969" s="34"/>
      <c r="C969" s="34"/>
      <c r="D969" s="34"/>
      <c r="E969" s="34"/>
      <c r="F969" s="85"/>
      <c r="G969" s="159"/>
      <c r="H969" s="155"/>
      <c r="I969" s="86"/>
      <c r="J969" s="86"/>
      <c r="K969" s="155"/>
      <c r="L969" s="85"/>
      <c r="M969" s="142"/>
      <c r="N969" s="88"/>
      <c r="O969" s="141"/>
      <c r="P969" s="31"/>
      <c r="Q969" s="88"/>
      <c r="R969" s="88"/>
      <c r="S969" s="88"/>
      <c r="T969" s="54"/>
      <c r="U969" s="54"/>
      <c r="V969" s="88"/>
    </row>
    <row r="970" spans="1:22" s="168" customFormat="1" ht="22.500000" customHeight="1">
      <c r="A970" s="34">
        <v>968</v>
      </c>
      <c r="B970" s="34"/>
      <c r="C970" s="34"/>
      <c r="D970" s="34"/>
      <c r="E970" s="34"/>
      <c r="F970" s="85"/>
      <c r="G970" s="159"/>
      <c r="H970" s="155"/>
      <c r="I970" s="86"/>
      <c r="J970" s="86"/>
      <c r="K970" s="155"/>
      <c r="L970" s="85"/>
      <c r="M970" s="143"/>
      <c r="N970" s="88"/>
      <c r="O970" s="141"/>
      <c r="P970" s="31"/>
      <c r="Q970" s="88"/>
      <c r="R970" s="88"/>
      <c r="S970" s="88"/>
      <c r="T970" s="54"/>
      <c r="U970" s="54"/>
      <c r="V970" s="88"/>
    </row>
    <row r="971" spans="1:22" s="168" customFormat="1" ht="22.500000" customHeight="1">
      <c r="A971" s="34">
        <v>969</v>
      </c>
      <c r="B971" s="34"/>
      <c r="C971" s="34"/>
      <c r="D971" s="34"/>
      <c r="E971" s="34"/>
      <c r="F971" s="85"/>
      <c r="G971" s="159"/>
      <c r="H971" s="155"/>
      <c r="I971" s="86"/>
      <c r="J971" s="86"/>
      <c r="K971" s="155"/>
      <c r="L971" s="85"/>
      <c r="M971" s="142"/>
      <c r="N971" s="88"/>
      <c r="O971" s="141"/>
      <c r="P971" s="31"/>
      <c r="Q971" s="88"/>
      <c r="R971" s="88"/>
      <c r="S971" s="88"/>
      <c r="T971" s="54"/>
      <c r="U971" s="54"/>
      <c r="V971" s="88"/>
    </row>
    <row r="972" spans="1:22" s="168" customFormat="1" ht="22.500000" customHeight="1">
      <c r="A972" s="34">
        <v>970</v>
      </c>
      <c r="B972" s="34"/>
      <c r="C972" s="34"/>
      <c r="D972" s="34"/>
      <c r="E972" s="34"/>
      <c r="F972" s="85"/>
      <c r="G972" s="159"/>
      <c r="H972" s="155"/>
      <c r="I972" s="86"/>
      <c r="J972" s="86"/>
      <c r="K972" s="155"/>
      <c r="L972" s="85"/>
      <c r="M972" s="143"/>
      <c r="N972" s="88"/>
      <c r="O972" s="141"/>
      <c r="P972" s="31"/>
      <c r="Q972" s="88"/>
      <c r="R972" s="88"/>
      <c r="S972" s="88"/>
      <c r="T972" s="54"/>
      <c r="U972" s="54"/>
      <c r="V972" s="88"/>
    </row>
    <row r="973" spans="1:22" s="168" customFormat="1" ht="22.500000" customHeight="1">
      <c r="A973" s="34">
        <v>971</v>
      </c>
      <c r="B973" s="34"/>
      <c r="C973" s="34"/>
      <c r="D973" s="34"/>
      <c r="E973" s="34"/>
      <c r="F973" s="85"/>
      <c r="G973" s="159"/>
      <c r="H973" s="155"/>
      <c r="I973" s="86"/>
      <c r="J973" s="86"/>
      <c r="K973" s="155"/>
      <c r="L973" s="85"/>
      <c r="M973" s="142"/>
      <c r="N973" s="88"/>
      <c r="O973" s="141"/>
      <c r="P973" s="31"/>
      <c r="Q973" s="88"/>
      <c r="R973" s="88"/>
      <c r="S973" s="88"/>
      <c r="T973" s="54"/>
      <c r="U973" s="54"/>
      <c r="V973" s="88"/>
    </row>
    <row r="974" spans="1:22" s="168" customFormat="1" ht="22.500000" customHeight="1">
      <c r="A974" s="34">
        <v>972</v>
      </c>
      <c r="B974" s="34"/>
      <c r="C974" s="34"/>
      <c r="D974" s="34"/>
      <c r="E974" s="34"/>
      <c r="F974" s="85"/>
      <c r="G974" s="159"/>
      <c r="H974" s="155"/>
      <c r="I974" s="86"/>
      <c r="J974" s="86"/>
      <c r="K974" s="155"/>
      <c r="L974" s="85"/>
      <c r="M974" s="143"/>
      <c r="N974" s="88"/>
      <c r="O974" s="141"/>
      <c r="P974" s="31"/>
      <c r="Q974" s="88"/>
      <c r="R974" s="88"/>
      <c r="S974" s="88"/>
      <c r="T974" s="54"/>
      <c r="U974" s="54"/>
      <c r="V974" s="88"/>
    </row>
    <row r="975" spans="1:22" s="168" customFormat="1" ht="22.500000" customHeight="1">
      <c r="A975" s="34">
        <v>973</v>
      </c>
      <c r="B975" s="34"/>
      <c r="C975" s="34"/>
      <c r="D975" s="34"/>
      <c r="E975" s="34"/>
      <c r="F975" s="85"/>
      <c r="G975" s="159"/>
      <c r="H975" s="155"/>
      <c r="I975" s="86"/>
      <c r="J975" s="86"/>
      <c r="K975" s="155"/>
      <c r="L975" s="85"/>
      <c r="M975" s="142"/>
      <c r="N975" s="88"/>
      <c r="O975" s="141"/>
      <c r="P975" s="31"/>
      <c r="Q975" s="88"/>
      <c r="R975" s="88"/>
      <c r="S975" s="88"/>
      <c r="T975" s="54"/>
      <c r="U975" s="54"/>
      <c r="V975" s="88"/>
    </row>
    <row r="976" spans="1:22" s="168" customFormat="1" ht="22.500000" customHeight="1">
      <c r="A976" s="34">
        <v>974</v>
      </c>
      <c r="B976" s="34"/>
      <c r="C976" s="34"/>
      <c r="D976" s="34"/>
      <c r="E976" s="34"/>
      <c r="F976" s="85"/>
      <c r="G976" s="159"/>
      <c r="H976" s="155"/>
      <c r="I976" s="86"/>
      <c r="J976" s="86"/>
      <c r="K976" s="155"/>
      <c r="L976" s="85"/>
      <c r="M976" s="143"/>
      <c r="N976" s="88"/>
      <c r="O976" s="141"/>
      <c r="P976" s="31"/>
      <c r="Q976" s="88"/>
      <c r="R976" s="88"/>
      <c r="S976" s="88"/>
      <c r="T976" s="54"/>
      <c r="U976" s="54"/>
      <c r="V976" s="88"/>
    </row>
    <row r="977" spans="1:22" s="168" customFormat="1" ht="22.500000" customHeight="1">
      <c r="A977" s="34">
        <v>975</v>
      </c>
      <c r="B977" s="34"/>
      <c r="C977" s="34"/>
      <c r="D977" s="34"/>
      <c r="E977" s="34"/>
      <c r="F977" s="85"/>
      <c r="G977" s="159"/>
      <c r="H977" s="155"/>
      <c r="I977" s="86"/>
      <c r="J977" s="86"/>
      <c r="K977" s="155"/>
      <c r="L977" s="85"/>
      <c r="M977" s="142"/>
      <c r="N977" s="88"/>
      <c r="O977" s="141"/>
      <c r="P977" s="31"/>
      <c r="Q977" s="88"/>
      <c r="R977" s="88"/>
      <c r="S977" s="88"/>
      <c r="T977" s="54"/>
      <c r="U977" s="54"/>
      <c r="V977" s="88"/>
    </row>
    <row r="978" spans="1:22" s="168" customFormat="1" ht="22.500000" customHeight="1">
      <c r="A978" s="34">
        <v>976</v>
      </c>
      <c r="B978" s="34"/>
      <c r="C978" s="34"/>
      <c r="D978" s="34"/>
      <c r="E978" s="34"/>
      <c r="F978" s="85"/>
      <c r="G978" s="159"/>
      <c r="H978" s="155"/>
      <c r="I978" s="86"/>
      <c r="J978" s="86"/>
      <c r="K978" s="155"/>
      <c r="L978" s="85"/>
      <c r="M978" s="143"/>
      <c r="N978" s="88"/>
      <c r="O978" s="141"/>
      <c r="P978" s="31"/>
      <c r="Q978" s="88"/>
      <c r="R978" s="88"/>
      <c r="S978" s="88"/>
      <c r="T978" s="54"/>
      <c r="U978" s="54"/>
      <c r="V978" s="88"/>
    </row>
    <row r="979" spans="1:22" s="168" customFormat="1" ht="22.500000" customHeight="1">
      <c r="A979" s="34">
        <v>977</v>
      </c>
      <c r="B979" s="34"/>
      <c r="C979" s="34"/>
      <c r="D979" s="34"/>
      <c r="E979" s="34"/>
      <c r="F979" s="85"/>
      <c r="G979" s="159"/>
      <c r="H979" s="155"/>
      <c r="I979" s="86"/>
      <c r="J979" s="86"/>
      <c r="K979" s="155"/>
      <c r="L979" s="85"/>
      <c r="M979" s="142"/>
      <c r="N979" s="88"/>
      <c r="O979" s="141"/>
      <c r="P979" s="31"/>
      <c r="Q979" s="88"/>
      <c r="R979" s="88"/>
      <c r="S979" s="88"/>
      <c r="T979" s="54"/>
      <c r="U979" s="54"/>
      <c r="V979" s="88"/>
    </row>
    <row r="980" spans="1:22" s="168" customFormat="1" ht="22.500000" customHeight="1">
      <c r="A980" s="34">
        <v>978</v>
      </c>
      <c r="B980" s="34"/>
      <c r="C980" s="34"/>
      <c r="D980" s="34"/>
      <c r="E980" s="34"/>
      <c r="F980" s="85"/>
      <c r="G980" s="159"/>
      <c r="H980" s="155"/>
      <c r="I980" s="86"/>
      <c r="J980" s="86"/>
      <c r="K980" s="155"/>
      <c r="L980" s="85"/>
      <c r="M980" s="143"/>
      <c r="N980" s="88"/>
      <c r="O980" s="141"/>
      <c r="P980" s="31"/>
      <c r="Q980" s="88"/>
      <c r="R980" s="88"/>
      <c r="S980" s="88"/>
      <c r="T980" s="54"/>
      <c r="U980" s="54"/>
      <c r="V980" s="88"/>
    </row>
    <row r="981" spans="1:22" s="168" customFormat="1" ht="22.500000" customHeight="1">
      <c r="A981" s="34">
        <v>979</v>
      </c>
      <c r="B981" s="34"/>
      <c r="C981" s="34"/>
      <c r="D981" s="34"/>
      <c r="E981" s="34"/>
      <c r="F981" s="85"/>
      <c r="G981" s="159"/>
      <c r="H981" s="155"/>
      <c r="I981" s="86"/>
      <c r="J981" s="86"/>
      <c r="K981" s="155"/>
      <c r="L981" s="85"/>
      <c r="M981" s="142"/>
      <c r="N981" s="88"/>
      <c r="O981" s="141"/>
      <c r="P981" s="31"/>
      <c r="Q981" s="88"/>
      <c r="R981" s="88"/>
      <c r="S981" s="88"/>
      <c r="T981" s="54"/>
      <c r="U981" s="54"/>
      <c r="V981" s="88"/>
    </row>
    <row r="982" spans="1:22" s="168" customFormat="1" ht="22.500000" customHeight="1">
      <c r="A982" s="34">
        <v>980</v>
      </c>
      <c r="B982" s="34"/>
      <c r="C982" s="34"/>
      <c r="D982" s="34"/>
      <c r="E982" s="34"/>
      <c r="F982" s="85"/>
      <c r="G982" s="159"/>
      <c r="H982" s="155"/>
      <c r="I982" s="86"/>
      <c r="J982" s="86"/>
      <c r="K982" s="155"/>
      <c r="L982" s="85"/>
      <c r="M982" s="143"/>
      <c r="N982" s="88"/>
      <c r="O982" s="141"/>
      <c r="P982" s="31"/>
      <c r="Q982" s="88"/>
      <c r="R982" s="88"/>
      <c r="S982" s="88"/>
      <c r="T982" s="54"/>
      <c r="U982" s="54"/>
      <c r="V982" s="88"/>
    </row>
    <row r="983" spans="1:22" s="168" customFormat="1" ht="22.500000" customHeight="1">
      <c r="A983" s="34">
        <v>981</v>
      </c>
      <c r="B983" s="34"/>
      <c r="C983" s="34"/>
      <c r="D983" s="34"/>
      <c r="E983" s="34"/>
      <c r="F983" s="85"/>
      <c r="G983" s="159"/>
      <c r="H983" s="155"/>
      <c r="I983" s="86"/>
      <c r="J983" s="86"/>
      <c r="K983" s="155"/>
      <c r="L983" s="85"/>
      <c r="M983" s="142"/>
      <c r="N983" s="88"/>
      <c r="O983" s="141"/>
      <c r="P983" s="31"/>
      <c r="Q983" s="88"/>
      <c r="R983" s="88"/>
      <c r="S983" s="88"/>
      <c r="T983" s="54"/>
      <c r="U983" s="54"/>
      <c r="V983" s="88"/>
    </row>
    <row r="984" spans="1:22" s="168" customFormat="1" ht="22.500000" customHeight="1">
      <c r="A984" s="34">
        <v>982</v>
      </c>
      <c r="B984" s="34"/>
      <c r="C984" s="34"/>
      <c r="D984" s="34"/>
      <c r="E984" s="34"/>
      <c r="F984" s="85"/>
      <c r="G984" s="159"/>
      <c r="H984" s="155"/>
      <c r="I984" s="86"/>
      <c r="J984" s="86"/>
      <c r="K984" s="155"/>
      <c r="L984" s="85"/>
      <c r="M984" s="143"/>
      <c r="N984" s="88"/>
      <c r="O984" s="141"/>
      <c r="P984" s="31"/>
      <c r="Q984" s="88"/>
      <c r="R984" s="88"/>
      <c r="S984" s="88"/>
      <c r="T984" s="54"/>
      <c r="U984" s="54"/>
      <c r="V984" s="88"/>
    </row>
    <row r="985" spans="1:22" s="168" customFormat="1" ht="22.500000" customHeight="1">
      <c r="A985" s="34">
        <v>983</v>
      </c>
      <c r="B985" s="34"/>
      <c r="C985" s="34"/>
      <c r="D985" s="34"/>
      <c r="E985" s="34"/>
      <c r="F985" s="85"/>
      <c r="G985" s="159"/>
      <c r="H985" s="155"/>
      <c r="I985" s="86"/>
      <c r="J985" s="86"/>
      <c r="K985" s="155"/>
      <c r="L985" s="85"/>
      <c r="M985" s="142"/>
      <c r="N985" s="88"/>
      <c r="O985" s="141"/>
      <c r="P985" s="31"/>
      <c r="Q985" s="88"/>
      <c r="R985" s="88"/>
      <c r="S985" s="88"/>
      <c r="T985" s="54"/>
      <c r="U985" s="54"/>
      <c r="V985" s="88"/>
    </row>
    <row r="986" spans="1:22" s="168" customFormat="1" ht="22.500000" customHeight="1">
      <c r="A986" s="34">
        <v>984</v>
      </c>
      <c r="B986" s="34"/>
      <c r="C986" s="34"/>
      <c r="D986" s="34"/>
      <c r="E986" s="34"/>
      <c r="F986" s="85"/>
      <c r="G986" s="159"/>
      <c r="H986" s="155"/>
      <c r="I986" s="86"/>
      <c r="J986" s="86"/>
      <c r="K986" s="155"/>
      <c r="L986" s="85"/>
      <c r="M986" s="143"/>
      <c r="N986" s="88"/>
      <c r="O986" s="141"/>
      <c r="P986" s="31"/>
      <c r="Q986" s="88"/>
      <c r="R986" s="88"/>
      <c r="S986" s="88"/>
      <c r="T986" s="54"/>
      <c r="U986" s="54"/>
      <c r="V986" s="88"/>
    </row>
    <row r="987" spans="1:22" s="168" customFormat="1" ht="22.500000" customHeight="1">
      <c r="A987" s="34">
        <v>985</v>
      </c>
      <c r="B987" s="34"/>
      <c r="C987" s="34"/>
      <c r="D987" s="34"/>
      <c r="E987" s="34"/>
      <c r="F987" s="85"/>
      <c r="G987" s="159"/>
      <c r="H987" s="155"/>
      <c r="I987" s="86"/>
      <c r="J987" s="86"/>
      <c r="K987" s="155"/>
      <c r="L987" s="85"/>
      <c r="M987" s="142"/>
      <c r="N987" s="88"/>
      <c r="O987" s="141"/>
      <c r="P987" s="31"/>
      <c r="Q987" s="88"/>
      <c r="R987" s="88"/>
      <c r="S987" s="88"/>
      <c r="T987" s="54"/>
      <c r="U987" s="54"/>
      <c r="V987" s="88"/>
    </row>
    <row r="988" spans="1:22" s="168" customFormat="1" ht="22.500000" customHeight="1">
      <c r="A988" s="34">
        <v>986</v>
      </c>
      <c r="B988" s="34"/>
      <c r="C988" s="34"/>
      <c r="D988" s="34"/>
      <c r="E988" s="34"/>
      <c r="F988" s="85"/>
      <c r="G988" s="159"/>
      <c r="H988" s="155"/>
      <c r="I988" s="86"/>
      <c r="J988" s="86"/>
      <c r="K988" s="155"/>
      <c r="L988" s="85"/>
      <c r="M988" s="143"/>
      <c r="N988" s="88"/>
      <c r="O988" s="141"/>
      <c r="P988" s="31"/>
      <c r="Q988" s="88"/>
      <c r="R988" s="88"/>
      <c r="S988" s="88"/>
      <c r="T988" s="54"/>
      <c r="U988" s="54"/>
      <c r="V988" s="88"/>
    </row>
    <row r="989" spans="1:22" s="168" customFormat="1" ht="22.500000" customHeight="1">
      <c r="A989" s="34">
        <v>987</v>
      </c>
      <c r="B989" s="34"/>
      <c r="C989" s="34"/>
      <c r="D989" s="34"/>
      <c r="E989" s="34"/>
      <c r="F989" s="85"/>
      <c r="G989" s="159"/>
      <c r="H989" s="155"/>
      <c r="I989" s="86"/>
      <c r="J989" s="86"/>
      <c r="K989" s="155"/>
      <c r="L989" s="85"/>
      <c r="M989" s="142"/>
      <c r="N989" s="88"/>
      <c r="O989" s="141"/>
      <c r="P989" s="31"/>
      <c r="Q989" s="88"/>
      <c r="R989" s="88"/>
      <c r="S989" s="88"/>
      <c r="T989" s="54"/>
      <c r="U989" s="54"/>
      <c r="V989" s="88"/>
    </row>
    <row r="990" spans="1:22" s="168" customFormat="1" ht="22.500000" customHeight="1">
      <c r="A990" s="34">
        <v>988</v>
      </c>
      <c r="B990" s="34"/>
      <c r="C990" s="34"/>
      <c r="D990" s="34"/>
      <c r="E990" s="34"/>
      <c r="F990" s="85"/>
      <c r="G990" s="159"/>
      <c r="H990" s="155"/>
      <c r="I990" s="86"/>
      <c r="J990" s="86"/>
      <c r="K990" s="155"/>
      <c r="L990" s="85"/>
      <c r="M990" s="143"/>
      <c r="N990" s="88"/>
      <c r="O990" s="141"/>
      <c r="P990" s="31"/>
      <c r="Q990" s="88"/>
      <c r="R990" s="88"/>
      <c r="S990" s="88"/>
      <c r="T990" s="54"/>
      <c r="U990" s="54"/>
      <c r="V990" s="88"/>
    </row>
    <row r="991" spans="1:22" s="168" customFormat="1" ht="22.500000" customHeight="1">
      <c r="A991" s="34">
        <v>989</v>
      </c>
      <c r="B991" s="34"/>
      <c r="C991" s="34"/>
      <c r="D991" s="34"/>
      <c r="E991" s="34"/>
      <c r="F991" s="85"/>
      <c r="G991" s="159"/>
      <c r="H991" s="155"/>
      <c r="I991" s="86"/>
      <c r="J991" s="86"/>
      <c r="K991" s="155"/>
      <c r="L991" s="85"/>
      <c r="M991" s="142"/>
      <c r="N991" s="88"/>
      <c r="O991" s="141"/>
      <c r="P991" s="31"/>
      <c r="Q991" s="88"/>
      <c r="R991" s="88"/>
      <c r="S991" s="88"/>
      <c r="T991" s="54"/>
      <c r="U991" s="54"/>
      <c r="V991" s="88"/>
    </row>
    <row r="992" spans="1:22" s="168" customFormat="1" ht="22.500000" customHeight="1">
      <c r="A992" s="34">
        <v>990</v>
      </c>
      <c r="B992" s="34"/>
      <c r="C992" s="34"/>
      <c r="D992" s="34"/>
      <c r="E992" s="34"/>
      <c r="F992" s="85"/>
      <c r="G992" s="159"/>
      <c r="H992" s="155"/>
      <c r="I992" s="86"/>
      <c r="J992" s="86"/>
      <c r="K992" s="155"/>
      <c r="L992" s="85"/>
      <c r="M992" s="143"/>
      <c r="N992" s="88"/>
      <c r="O992" s="141"/>
      <c r="P992" s="31"/>
      <c r="Q992" s="88"/>
      <c r="R992" s="88"/>
      <c r="S992" s="88"/>
      <c r="T992" s="54"/>
      <c r="U992" s="54"/>
      <c r="V992" s="88"/>
    </row>
    <row r="993" spans="1:22" s="168" customFormat="1" ht="22.500000" customHeight="1">
      <c r="A993" s="34">
        <v>991</v>
      </c>
      <c r="B993" s="34"/>
      <c r="C993" s="34"/>
      <c r="D993" s="34"/>
      <c r="E993" s="34"/>
      <c r="F993" s="85"/>
      <c r="G993" s="159"/>
      <c r="H993" s="155"/>
      <c r="I993" s="86"/>
      <c r="J993" s="86"/>
      <c r="K993" s="155"/>
      <c r="L993" s="85"/>
      <c r="M993" s="142"/>
      <c r="N993" s="88"/>
      <c r="O993" s="141"/>
      <c r="P993" s="31"/>
      <c r="Q993" s="88"/>
      <c r="R993" s="88"/>
      <c r="S993" s="88"/>
      <c r="T993" s="54"/>
      <c r="U993" s="54"/>
      <c r="V993" s="88"/>
    </row>
    <row r="994" spans="1:22" s="168" customFormat="1" ht="22.500000" customHeight="1">
      <c r="A994" s="34">
        <v>992</v>
      </c>
      <c r="B994" s="34"/>
      <c r="C994" s="34"/>
      <c r="D994" s="34"/>
      <c r="E994" s="34"/>
      <c r="F994" s="85"/>
      <c r="G994" s="159"/>
      <c r="H994" s="155"/>
      <c r="I994" s="86"/>
      <c r="J994" s="86"/>
      <c r="K994" s="155"/>
      <c r="L994" s="85"/>
      <c r="M994" s="143"/>
      <c r="N994" s="88"/>
      <c r="O994" s="141"/>
      <c r="P994" s="85"/>
      <c r="Q994" s="88"/>
      <c r="R994" s="88"/>
      <c r="S994" s="88"/>
      <c r="T994" s="54"/>
      <c r="U994" s="54"/>
      <c r="V994" s="88"/>
    </row>
    <row r="995" spans="1:22" s="168" customFormat="1" ht="22.500000" customHeight="1">
      <c r="A995" s="34">
        <v>993</v>
      </c>
      <c r="B995" s="34"/>
      <c r="C995" s="34"/>
      <c r="D995" s="34"/>
      <c r="E995" s="34"/>
      <c r="F995" s="85"/>
      <c r="G995" s="159"/>
      <c r="H995" s="155"/>
      <c r="I995" s="86"/>
      <c r="J995" s="86"/>
      <c r="K995" s="155"/>
      <c r="L995" s="85"/>
      <c r="M995" s="142"/>
      <c r="N995" s="88"/>
      <c r="O995" s="141"/>
      <c r="P995" s="85"/>
      <c r="Q995" s="88"/>
      <c r="R995" s="88"/>
      <c r="S995" s="88"/>
      <c r="T995" s="54"/>
      <c r="U995" s="54"/>
      <c r="V995" s="88"/>
    </row>
    <row r="996" spans="1:22" s="168" customFormat="1" ht="22.500000" customHeight="1">
      <c r="A996" s="34">
        <v>994</v>
      </c>
      <c r="B996" s="34"/>
      <c r="C996" s="34"/>
      <c r="D996" s="34"/>
      <c r="E996" s="34"/>
      <c r="F996" s="85"/>
      <c r="G996" s="159"/>
      <c r="H996" s="155"/>
      <c r="I996" s="86"/>
      <c r="J996" s="86"/>
      <c r="K996" s="155"/>
      <c r="L996" s="85"/>
      <c r="M996" s="143"/>
      <c r="N996" s="88"/>
      <c r="O996" s="141"/>
      <c r="P996" s="85"/>
      <c r="Q996" s="88"/>
      <c r="R996" s="88"/>
      <c r="S996" s="88"/>
      <c r="T996" s="54"/>
      <c r="U996" s="54"/>
      <c r="V996" s="88"/>
    </row>
    <row r="997" spans="1:22" s="168" customFormat="1" ht="22.500000" customHeight="1">
      <c r="A997" s="34">
        <v>995</v>
      </c>
      <c r="B997" s="34"/>
      <c r="C997" s="34"/>
      <c r="D997" s="34"/>
      <c r="E997" s="34"/>
      <c r="F997" s="85"/>
      <c r="G997" s="159"/>
      <c r="H997" s="155"/>
      <c r="I997" s="86"/>
      <c r="J997" s="86"/>
      <c r="K997" s="155"/>
      <c r="L997" s="85"/>
      <c r="M997" s="142"/>
      <c r="N997" s="88"/>
      <c r="O997" s="141"/>
      <c r="P997" s="85"/>
      <c r="Q997" s="88"/>
      <c r="R997" s="88"/>
      <c r="S997" s="88"/>
      <c r="T997" s="54"/>
      <c r="U997" s="54"/>
      <c r="V997" s="88"/>
    </row>
    <row r="998" spans="1:22" s="168" customFormat="1" ht="22.500000" customHeight="1">
      <c r="A998" s="34">
        <v>996</v>
      </c>
      <c r="B998" s="34"/>
      <c r="C998" s="34"/>
      <c r="D998" s="34"/>
      <c r="E998" s="34"/>
      <c r="F998" s="85"/>
      <c r="G998" s="159"/>
      <c r="H998" s="155"/>
      <c r="I998" s="86"/>
      <c r="J998" s="86"/>
      <c r="K998" s="155"/>
      <c r="L998" s="85"/>
      <c r="M998" s="143"/>
      <c r="N998" s="88"/>
      <c r="O998" s="141"/>
      <c r="P998" s="85"/>
      <c r="Q998" s="88"/>
      <c r="R998" s="88"/>
      <c r="S998" s="88"/>
      <c r="T998" s="54"/>
      <c r="U998" s="54"/>
      <c r="V998" s="88"/>
    </row>
    <row r="999" spans="1:22" s="168" customFormat="1" ht="22.500000" customHeight="1">
      <c r="A999" s="34">
        <v>997</v>
      </c>
      <c r="B999" s="34"/>
      <c r="C999" s="34"/>
      <c r="D999" s="34"/>
      <c r="E999" s="34"/>
      <c r="F999" s="85"/>
      <c r="G999" s="159"/>
      <c r="H999" s="155"/>
      <c r="I999" s="86"/>
      <c r="J999" s="86"/>
      <c r="K999" s="155"/>
      <c r="L999" s="85"/>
      <c r="M999" s="142"/>
      <c r="N999" s="88"/>
      <c r="O999" s="141"/>
      <c r="P999" s="85"/>
      <c r="Q999" s="88"/>
      <c r="R999" s="88"/>
      <c r="S999" s="88"/>
      <c r="T999" s="54"/>
      <c r="U999" s="54"/>
      <c r="V999" s="88"/>
    </row>
    <row r="1000" spans="1:22" s="168" customFormat="1" ht="22.500000" customHeight="1">
      <c r="A1000" s="34">
        <v>998</v>
      </c>
      <c r="B1000" s="34"/>
      <c r="C1000" s="34"/>
      <c r="D1000" s="34"/>
      <c r="E1000" s="34"/>
      <c r="F1000" s="85"/>
      <c r="G1000" s="159"/>
      <c r="H1000" s="155"/>
      <c r="I1000" s="86"/>
      <c r="J1000" s="86"/>
      <c r="K1000" s="155"/>
      <c r="L1000" s="85"/>
      <c r="M1000" s="143"/>
      <c r="N1000" s="88"/>
      <c r="O1000" s="141"/>
      <c r="P1000" s="85"/>
      <c r="Q1000" s="88"/>
      <c r="R1000" s="88"/>
      <c r="S1000" s="88"/>
      <c r="T1000" s="54"/>
      <c r="U1000" s="54"/>
      <c r="V1000" s="88"/>
    </row>
    <row r="1001" spans="1:22" s="168" customFormat="1" ht="22.500000" customHeight="1">
      <c r="A1001" s="34">
        <v>999</v>
      </c>
      <c r="B1001" s="34"/>
      <c r="C1001" s="34"/>
      <c r="D1001" s="34"/>
      <c r="E1001" s="34"/>
      <c r="F1001" s="85"/>
      <c r="G1001" s="159"/>
      <c r="H1001" s="155"/>
      <c r="I1001" s="86"/>
      <c r="J1001" s="86"/>
      <c r="K1001" s="155"/>
      <c r="L1001" s="85"/>
      <c r="M1001" s="142"/>
      <c r="N1001" s="88"/>
      <c r="O1001" s="141"/>
      <c r="P1001" s="85"/>
      <c r="Q1001" s="88"/>
      <c r="R1001" s="88"/>
      <c r="S1001" s="88"/>
      <c r="T1001" s="54"/>
      <c r="U1001" s="54"/>
      <c r="V1001" s="88"/>
    </row>
    <row r="1002" spans="1:22">
      <c r="A1002" s="34">
        <v>1000</v>
      </c>
      <c r="B1002" s="34"/>
      <c r="C1002" s="34"/>
      <c r="D1002" s="34"/>
      <c r="E1002" s="34"/>
      <c r="F1002" s="85"/>
      <c r="G1002" s="159"/>
      <c r="H1002" s="155"/>
      <c r="I1002" s="86"/>
      <c r="J1002" s="86"/>
      <c r="K1002" s="155"/>
      <c r="L1002" s="85"/>
      <c r="M1002" s="144"/>
      <c r="N1002" s="88"/>
      <c r="O1002" s="141"/>
      <c r="P1002" s="85"/>
      <c r="Q1002" s="88"/>
      <c r="R1002" s="88"/>
      <c r="S1002" s="88"/>
      <c r="T1002" s="54"/>
      <c r="U1002" s="54"/>
      <c r="V1002" s="88"/>
    </row>
    <row r="1003" spans="1:22">
      <c r="A1003" s="34">
        <v>1001</v>
      </c>
      <c r="B1003" s="34"/>
      <c r="C1003" s="34"/>
      <c r="D1003" s="34"/>
      <c r="E1003" s="34"/>
      <c r="F1003" s="85"/>
      <c r="G1003" s="159"/>
      <c r="H1003" s="155"/>
      <c r="I1003" s="86"/>
      <c r="J1003" s="86"/>
      <c r="K1003" s="155"/>
      <c r="L1003" s="85"/>
      <c r="M1003" s="100"/>
      <c r="N1003" s="88"/>
      <c r="O1003" s="141"/>
      <c r="P1003" s="85"/>
      <c r="Q1003" s="88"/>
      <c r="R1003" s="88"/>
      <c r="S1003" s="88"/>
      <c r="T1003" s="54"/>
      <c r="U1003" s="54"/>
      <c r="V1003" s="88"/>
    </row>
    <row r="1004" spans="1:22">
      <c r="A1004" s="34">
        <v>1002</v>
      </c>
      <c r="B1004" s="34"/>
      <c r="C1004" s="34"/>
      <c r="D1004" s="34"/>
      <c r="E1004" s="34"/>
      <c r="F1004" s="85"/>
      <c r="G1004" s="159"/>
      <c r="H1004" s="155"/>
      <c r="I1004" s="86"/>
      <c r="J1004" s="86"/>
      <c r="K1004" s="155"/>
      <c r="L1004" s="85"/>
      <c r="M1004" s="100"/>
      <c r="N1004" s="88"/>
      <c r="O1004" s="141"/>
      <c r="P1004" s="85"/>
      <c r="Q1004" s="88"/>
      <c r="R1004" s="88"/>
      <c r="S1004" s="88"/>
      <c r="T1004" s="54"/>
      <c r="U1004" s="54"/>
      <c r="V1004" s="88"/>
    </row>
    <row r="1005" spans="1:22">
      <c r="A1005" s="34">
        <v>1003</v>
      </c>
      <c r="B1005" s="34"/>
      <c r="C1005" s="34"/>
      <c r="D1005" s="34"/>
      <c r="E1005" s="34"/>
      <c r="F1005" s="85"/>
      <c r="G1005" s="159"/>
      <c r="H1005" s="155"/>
      <c r="I1005" s="86"/>
      <c r="J1005" s="86"/>
      <c r="K1005" s="155"/>
      <c r="L1005" s="85"/>
      <c r="M1005" s="100"/>
      <c r="N1005" s="88"/>
      <c r="O1005" s="141"/>
      <c r="P1005" s="85"/>
      <c r="Q1005" s="88"/>
      <c r="R1005" s="88"/>
      <c r="S1005" s="88"/>
      <c r="T1005" s="54"/>
      <c r="U1005" s="54"/>
      <c r="V1005" s="88"/>
    </row>
    <row r="1006" spans="1:22">
      <c r="A1006" s="34">
        <v>1004</v>
      </c>
      <c r="B1006" s="34"/>
      <c r="C1006" s="34"/>
      <c r="D1006" s="34"/>
      <c r="E1006" s="34"/>
      <c r="F1006" s="85"/>
      <c r="G1006" s="159"/>
      <c r="H1006" s="155"/>
      <c r="I1006" s="86"/>
      <c r="J1006" s="86"/>
      <c r="K1006" s="155"/>
      <c r="L1006" s="85"/>
      <c r="M1006" s="100"/>
      <c r="N1006" s="88"/>
      <c r="O1006" s="141"/>
      <c r="P1006" s="85"/>
      <c r="Q1006" s="88"/>
      <c r="R1006" s="88"/>
      <c r="S1006" s="88"/>
      <c r="T1006" s="54"/>
      <c r="U1006" s="54"/>
      <c r="V1006" s="88"/>
    </row>
    <row r="1007" spans="1:22">
      <c r="A1007" s="34">
        <v>1005</v>
      </c>
      <c r="B1007" s="34"/>
      <c r="C1007" s="34"/>
      <c r="D1007" s="34"/>
      <c r="E1007" s="34"/>
      <c r="F1007" s="85"/>
      <c r="G1007" s="159"/>
      <c r="H1007" s="155"/>
      <c r="I1007" s="86"/>
      <c r="J1007" s="86"/>
      <c r="K1007" s="155"/>
      <c r="L1007" s="85"/>
      <c r="M1007" s="100"/>
      <c r="N1007" s="88"/>
      <c r="O1007" s="141"/>
      <c r="P1007" s="85"/>
      <c r="Q1007" s="88"/>
      <c r="R1007" s="88"/>
      <c r="S1007" s="88"/>
      <c r="T1007" s="54"/>
      <c r="U1007" s="54"/>
      <c r="V1007" s="88"/>
    </row>
    <row r="1008" spans="1:22">
      <c r="A1008" s="34">
        <v>1006</v>
      </c>
      <c r="B1008" s="34"/>
      <c r="C1008" s="34"/>
      <c r="D1008" s="34"/>
      <c r="E1008" s="34"/>
      <c r="F1008" s="85"/>
      <c r="G1008" s="159"/>
      <c r="H1008" s="155"/>
      <c r="I1008" s="86"/>
      <c r="J1008" s="86"/>
      <c r="K1008" s="155"/>
      <c r="L1008" s="85"/>
      <c r="M1008" s="100"/>
      <c r="N1008" s="88"/>
      <c r="O1008" s="141"/>
      <c r="P1008" s="85"/>
      <c r="Q1008" s="88"/>
      <c r="R1008" s="88"/>
      <c r="S1008" s="88"/>
      <c r="T1008" s="54"/>
      <c r="U1008" s="54"/>
      <c r="V1008" s="88"/>
    </row>
    <row r="1009" spans="1:22">
      <c r="A1009" s="34">
        <v>1007</v>
      </c>
      <c r="B1009" s="34"/>
      <c r="C1009" s="34"/>
      <c r="D1009" s="34"/>
      <c r="E1009" s="34"/>
      <c r="F1009" s="85"/>
      <c r="G1009" s="159"/>
      <c r="H1009" s="155"/>
      <c r="I1009" s="86"/>
      <c r="J1009" s="86"/>
      <c r="K1009" s="155"/>
      <c r="L1009" s="85"/>
      <c r="M1009" s="100"/>
      <c r="N1009" s="88"/>
      <c r="O1009" s="141"/>
      <c r="P1009" s="85"/>
      <c r="Q1009" s="88"/>
      <c r="R1009" s="88"/>
      <c r="S1009" s="88"/>
      <c r="T1009" s="54"/>
      <c r="U1009" s="54"/>
      <c r="V1009" s="88"/>
    </row>
    <row r="1010" spans="1:22">
      <c r="A1010" s="34">
        <v>1008</v>
      </c>
      <c r="B1010" s="34"/>
      <c r="C1010" s="34"/>
      <c r="D1010" s="34"/>
      <c r="E1010" s="34"/>
      <c r="F1010" s="85"/>
      <c r="G1010" s="159"/>
      <c r="H1010" s="155"/>
      <c r="I1010" s="86"/>
      <c r="J1010" s="86"/>
      <c r="K1010" s="155"/>
      <c r="L1010" s="85"/>
      <c r="M1010" s="100"/>
      <c r="N1010" s="88"/>
      <c r="O1010" s="141"/>
      <c r="P1010" s="85"/>
      <c r="Q1010" s="88"/>
      <c r="R1010" s="88"/>
      <c r="S1010" s="88"/>
      <c r="T1010" s="54"/>
      <c r="U1010" s="54"/>
      <c r="V1010" s="88"/>
    </row>
    <row r="1011" spans="1:22">
      <c r="A1011" s="34">
        <v>1009</v>
      </c>
      <c r="B1011" s="34"/>
      <c r="C1011" s="34"/>
      <c r="D1011" s="34"/>
      <c r="E1011" s="34"/>
      <c r="F1011" s="85"/>
      <c r="G1011" s="159"/>
      <c r="H1011" s="155"/>
      <c r="I1011" s="86"/>
      <c r="J1011" s="86"/>
      <c r="K1011" s="155"/>
      <c r="L1011" s="85"/>
      <c r="M1011" s="100"/>
      <c r="N1011" s="88"/>
      <c r="O1011" s="141"/>
      <c r="P1011" s="85"/>
      <c r="Q1011" s="88"/>
      <c r="R1011" s="88"/>
      <c r="S1011" s="88"/>
      <c r="T1011" s="54"/>
      <c r="U1011" s="54"/>
      <c r="V1011" s="88"/>
    </row>
    <row r="1012" spans="1:22">
      <c r="A1012" s="34">
        <v>1010</v>
      </c>
      <c r="B1012" s="34"/>
      <c r="C1012" s="34"/>
      <c r="D1012" s="34"/>
      <c r="E1012" s="34"/>
      <c r="F1012" s="85"/>
      <c r="G1012" s="159"/>
      <c r="H1012" s="155"/>
      <c r="I1012" s="86"/>
      <c r="J1012" s="86"/>
      <c r="K1012" s="155"/>
      <c r="L1012" s="85"/>
      <c r="M1012" s="100"/>
      <c r="N1012" s="88"/>
      <c r="O1012" s="141"/>
      <c r="P1012" s="85"/>
      <c r="Q1012" s="88"/>
      <c r="R1012" s="88"/>
      <c r="S1012" s="88"/>
      <c r="T1012" s="54"/>
      <c r="U1012" s="54"/>
      <c r="V1012" s="88"/>
    </row>
    <row r="1013" spans="1:22">
      <c r="A1013" s="34">
        <v>1011</v>
      </c>
      <c r="B1013" s="34"/>
      <c r="C1013" s="34"/>
      <c r="D1013" s="34"/>
      <c r="E1013" s="34"/>
      <c r="F1013" s="85"/>
      <c r="G1013" s="159"/>
      <c r="H1013" s="155"/>
      <c r="I1013" s="86"/>
      <c r="J1013" s="86"/>
      <c r="K1013" s="155"/>
      <c r="L1013" s="85"/>
      <c r="M1013" s="100"/>
      <c r="N1013" s="88"/>
      <c r="O1013" s="141"/>
      <c r="P1013" s="85"/>
      <c r="Q1013" s="88"/>
      <c r="R1013" s="88"/>
      <c r="S1013" s="88"/>
      <c r="T1013" s="54"/>
      <c r="U1013" s="54"/>
      <c r="V1013" s="88"/>
    </row>
    <row r="1014" spans="1:22">
      <c r="A1014" s="34">
        <v>1012</v>
      </c>
      <c r="B1014" s="34"/>
      <c r="C1014" s="34"/>
      <c r="D1014" s="34"/>
      <c r="E1014" s="34"/>
      <c r="F1014" s="85"/>
      <c r="G1014" s="159"/>
      <c r="H1014" s="155"/>
      <c r="I1014" s="86"/>
      <c r="J1014" s="86"/>
      <c r="K1014" s="155"/>
      <c r="L1014" s="85"/>
      <c r="M1014" s="100"/>
      <c r="N1014" s="88"/>
      <c r="O1014" s="141"/>
      <c r="P1014" s="85"/>
      <c r="Q1014" s="88"/>
      <c r="R1014" s="88"/>
      <c r="S1014" s="88"/>
      <c r="T1014" s="54"/>
      <c r="U1014" s="54"/>
      <c r="V1014" s="88"/>
    </row>
    <row r="1015" spans="1:22">
      <c r="A1015" s="34">
        <v>1013</v>
      </c>
      <c r="B1015" s="34"/>
      <c r="C1015" s="34"/>
      <c r="D1015" s="34"/>
      <c r="E1015" s="34"/>
      <c r="F1015" s="85"/>
      <c r="G1015" s="159"/>
      <c r="H1015" s="155"/>
      <c r="I1015" s="86"/>
      <c r="J1015" s="86"/>
      <c r="K1015" s="155"/>
      <c r="L1015" s="85"/>
      <c r="M1015" s="100"/>
      <c r="N1015" s="88"/>
      <c r="O1015" s="141"/>
      <c r="P1015" s="85"/>
      <c r="Q1015" s="88"/>
      <c r="R1015" s="88"/>
      <c r="S1015" s="88"/>
      <c r="T1015" s="54"/>
      <c r="U1015" s="54"/>
      <c r="V1015" s="88"/>
    </row>
    <row r="1016" spans="1:22">
      <c r="A1016" s="34">
        <v>1014</v>
      </c>
      <c r="B1016" s="34"/>
      <c r="C1016" s="34"/>
      <c r="D1016" s="34"/>
      <c r="E1016" s="34"/>
      <c r="F1016" s="85"/>
      <c r="G1016" s="159"/>
      <c r="H1016" s="155"/>
      <c r="I1016" s="86"/>
      <c r="J1016" s="86"/>
      <c r="K1016" s="155"/>
      <c r="L1016" s="85"/>
      <c r="M1016" s="100"/>
      <c r="N1016" s="88"/>
      <c r="O1016" s="141"/>
      <c r="P1016" s="85"/>
      <c r="Q1016" s="88"/>
      <c r="R1016" s="88"/>
      <c r="S1016" s="88"/>
      <c r="T1016" s="54"/>
      <c r="U1016" s="54"/>
      <c r="V1016" s="88"/>
    </row>
    <row r="1017" spans="1:22">
      <c r="A1017" s="34">
        <v>1015</v>
      </c>
      <c r="B1017" s="34"/>
      <c r="C1017" s="34"/>
      <c r="D1017" s="34"/>
      <c r="E1017" s="34"/>
      <c r="F1017" s="85"/>
      <c r="G1017" s="159"/>
      <c r="H1017" s="155"/>
      <c r="I1017" s="86"/>
      <c r="J1017" s="86"/>
      <c r="K1017" s="155"/>
      <c r="L1017" s="85"/>
      <c r="M1017" s="100"/>
      <c r="N1017" s="88"/>
      <c r="O1017" s="141"/>
      <c r="P1017" s="85"/>
      <c r="Q1017" s="88"/>
      <c r="R1017" s="88"/>
      <c r="S1017" s="88"/>
      <c r="T1017" s="54"/>
      <c r="U1017" s="54"/>
      <c r="V1017" s="88"/>
    </row>
    <row r="1018" spans="1:22">
      <c r="A1018" s="34">
        <v>1016</v>
      </c>
      <c r="B1018" s="34"/>
      <c r="C1018" s="34"/>
      <c r="D1018" s="34"/>
      <c r="E1018" s="34"/>
      <c r="F1018" s="85"/>
      <c r="G1018" s="159"/>
      <c r="H1018" s="155"/>
      <c r="I1018" s="86"/>
      <c r="J1018" s="86"/>
      <c r="K1018" s="155"/>
      <c r="L1018" s="85"/>
      <c r="M1018" s="100"/>
      <c r="N1018" s="88"/>
      <c r="O1018" s="141"/>
      <c r="P1018" s="85"/>
      <c r="Q1018" s="88"/>
      <c r="R1018" s="88"/>
      <c r="S1018" s="88"/>
      <c r="T1018" s="54"/>
      <c r="U1018" s="54"/>
      <c r="V1018" s="88"/>
    </row>
    <row r="1019" spans="1:22">
      <c r="A1019" s="34">
        <v>1017</v>
      </c>
      <c r="B1019" s="34"/>
      <c r="C1019" s="34"/>
      <c r="D1019" s="34"/>
      <c r="E1019" s="34"/>
      <c r="F1019" s="85"/>
      <c r="G1019" s="159"/>
      <c r="H1019" s="155"/>
      <c r="I1019" s="86"/>
      <c r="J1019" s="86"/>
      <c r="K1019" s="155"/>
      <c r="L1019" s="85"/>
      <c r="M1019" s="100"/>
      <c r="N1019" s="88"/>
      <c r="O1019" s="141"/>
      <c r="P1019" s="85"/>
      <c r="Q1019" s="88"/>
      <c r="R1019" s="88"/>
      <c r="S1019" s="88"/>
      <c r="T1019" s="54"/>
      <c r="U1019" s="54"/>
      <c r="V1019" s="88"/>
    </row>
    <row r="1020" spans="1:22">
      <c r="A1020" s="34">
        <v>1018</v>
      </c>
      <c r="B1020" s="34"/>
      <c r="C1020" s="34"/>
      <c r="D1020" s="34"/>
      <c r="E1020" s="34"/>
      <c r="F1020" s="85"/>
      <c r="G1020" s="159"/>
      <c r="H1020" s="155"/>
      <c r="I1020" s="86"/>
      <c r="J1020" s="86"/>
      <c r="K1020" s="155"/>
      <c r="L1020" s="85"/>
      <c r="M1020" s="100"/>
      <c r="N1020" s="88"/>
      <c r="O1020" s="141"/>
      <c r="P1020" s="85"/>
      <c r="Q1020" s="88"/>
      <c r="R1020" s="88"/>
      <c r="S1020" s="88"/>
      <c r="T1020" s="54"/>
      <c r="U1020" s="54"/>
      <c r="V1020" s="88"/>
    </row>
    <row r="1021" spans="1:22">
      <c r="A1021" s="34">
        <v>1019</v>
      </c>
      <c r="B1021" s="34"/>
      <c r="C1021" s="34"/>
      <c r="D1021" s="34"/>
      <c r="E1021" s="34"/>
      <c r="F1021" s="85"/>
      <c r="G1021" s="159"/>
      <c r="H1021" s="155"/>
      <c r="I1021" s="86"/>
      <c r="J1021" s="86"/>
      <c r="K1021" s="155"/>
      <c r="L1021" s="85"/>
      <c r="M1021" s="100"/>
      <c r="N1021" s="88"/>
      <c r="O1021" s="141"/>
      <c r="P1021" s="85"/>
      <c r="Q1021" s="88"/>
      <c r="R1021" s="88"/>
      <c r="S1021" s="88"/>
      <c r="T1021" s="54"/>
      <c r="U1021" s="54"/>
      <c r="V1021" s="88"/>
    </row>
    <row r="1022" spans="1:22">
      <c r="A1022" s="34">
        <v>1020</v>
      </c>
      <c r="B1022" s="34"/>
      <c r="C1022" s="34"/>
      <c r="D1022" s="34"/>
      <c r="E1022" s="34"/>
      <c r="F1022" s="85"/>
      <c r="G1022" s="159"/>
      <c r="H1022" s="155"/>
      <c r="I1022" s="86"/>
      <c r="J1022" s="86"/>
      <c r="K1022" s="155"/>
      <c r="L1022" s="85"/>
      <c r="M1022" s="100"/>
      <c r="N1022" s="88"/>
      <c r="O1022" s="141"/>
      <c r="P1022" s="85"/>
      <c r="Q1022" s="88"/>
      <c r="R1022" s="88"/>
      <c r="S1022" s="88"/>
      <c r="T1022" s="54"/>
      <c r="U1022" s="54"/>
      <c r="V1022" s="88"/>
    </row>
    <row r="1023" spans="1:22">
      <c r="A1023" s="34">
        <v>1021</v>
      </c>
      <c r="B1023" s="34"/>
      <c r="C1023" s="34"/>
      <c r="D1023" s="34"/>
      <c r="E1023" s="34"/>
      <c r="F1023" s="85"/>
      <c r="G1023" s="159"/>
      <c r="H1023" s="155"/>
      <c r="I1023" s="86"/>
      <c r="J1023" s="86"/>
      <c r="K1023" s="155"/>
      <c r="L1023" s="85"/>
      <c r="M1023" s="100"/>
      <c r="N1023" s="88"/>
      <c r="O1023" s="141"/>
      <c r="P1023" s="85"/>
      <c r="Q1023" s="88"/>
      <c r="R1023" s="88"/>
      <c r="S1023" s="88"/>
      <c r="T1023" s="54"/>
      <c r="U1023" s="54"/>
      <c r="V1023" s="88"/>
    </row>
    <row r="1024" spans="1:22">
      <c r="A1024" s="34">
        <v>1022</v>
      </c>
      <c r="B1024" s="34"/>
      <c r="C1024" s="34"/>
      <c r="D1024" s="34"/>
      <c r="E1024" s="34"/>
      <c r="F1024" s="85"/>
      <c r="G1024" s="159"/>
      <c r="H1024" s="155"/>
      <c r="I1024" s="86"/>
      <c r="J1024" s="86"/>
      <c r="K1024" s="155"/>
      <c r="L1024" s="85"/>
      <c r="M1024" s="100"/>
      <c r="N1024" s="88"/>
      <c r="O1024" s="141"/>
      <c r="P1024" s="85"/>
      <c r="Q1024" s="88"/>
      <c r="R1024" s="88"/>
      <c r="S1024" s="88"/>
      <c r="T1024" s="54"/>
      <c r="U1024" s="54"/>
      <c r="V1024" s="88"/>
    </row>
    <row r="1025" spans="1:22">
      <c r="A1025" s="34">
        <v>1023</v>
      </c>
      <c r="B1025" s="34"/>
      <c r="C1025" s="34"/>
      <c r="D1025" s="34"/>
      <c r="E1025" s="34"/>
      <c r="F1025" s="85"/>
      <c r="G1025" s="159"/>
      <c r="H1025" s="155"/>
      <c r="I1025" s="86"/>
      <c r="J1025" s="86"/>
      <c r="K1025" s="155"/>
      <c r="L1025" s="85"/>
      <c r="M1025" s="100"/>
      <c r="N1025" s="88"/>
      <c r="O1025" s="141"/>
      <c r="P1025" s="85"/>
      <c r="Q1025" s="88"/>
      <c r="R1025" s="88"/>
      <c r="S1025" s="88"/>
      <c r="T1025" s="54"/>
      <c r="U1025" s="54"/>
      <c r="V1025" s="88"/>
    </row>
    <row r="1026" spans="1:22">
      <c r="A1026" s="34">
        <v>1024</v>
      </c>
      <c r="B1026" s="34"/>
      <c r="C1026" s="34"/>
      <c r="D1026" s="34"/>
      <c r="E1026" s="34"/>
      <c r="F1026" s="85"/>
      <c r="G1026" s="159"/>
      <c r="H1026" s="155"/>
      <c r="I1026" s="86"/>
      <c r="J1026" s="86"/>
      <c r="K1026" s="155"/>
      <c r="L1026" s="85"/>
      <c r="M1026" s="100"/>
      <c r="N1026" s="88"/>
      <c r="O1026" s="141"/>
      <c r="P1026" s="85"/>
      <c r="Q1026" s="88"/>
      <c r="R1026" s="88"/>
      <c r="S1026" s="88"/>
      <c r="T1026" s="54"/>
      <c r="U1026" s="54"/>
      <c r="V1026" s="88"/>
    </row>
    <row r="1027" spans="1:22">
      <c r="A1027" s="34">
        <v>1025</v>
      </c>
      <c r="B1027" s="34"/>
      <c r="C1027" s="34"/>
      <c r="D1027" s="34"/>
      <c r="E1027" s="34"/>
      <c r="F1027" s="85"/>
      <c r="G1027" s="159"/>
      <c r="H1027" s="155"/>
      <c r="I1027" s="86"/>
      <c r="J1027" s="86"/>
      <c r="K1027" s="155"/>
      <c r="L1027" s="85"/>
      <c r="M1027" s="100"/>
      <c r="N1027" s="88"/>
      <c r="O1027" s="141"/>
      <c r="P1027" s="85"/>
      <c r="Q1027" s="88"/>
      <c r="R1027" s="88"/>
      <c r="S1027" s="88"/>
      <c r="T1027" s="54"/>
      <c r="U1027" s="54"/>
      <c r="V1027" s="88"/>
    </row>
    <row r="1028" spans="1:22">
      <c r="A1028" s="34">
        <v>1026</v>
      </c>
      <c r="B1028" s="34"/>
      <c r="C1028" s="34"/>
      <c r="D1028" s="34"/>
      <c r="E1028" s="34"/>
      <c r="F1028" s="85"/>
      <c r="G1028" s="159"/>
      <c r="H1028" s="155"/>
      <c r="I1028" s="86"/>
      <c r="J1028" s="86"/>
      <c r="K1028" s="155"/>
      <c r="L1028" s="85"/>
      <c r="M1028" s="100"/>
      <c r="N1028" s="88"/>
      <c r="O1028" s="141"/>
      <c r="P1028" s="85"/>
      <c r="Q1028" s="88"/>
      <c r="R1028" s="88"/>
      <c r="S1028" s="88"/>
      <c r="T1028" s="54"/>
      <c r="U1028" s="54"/>
      <c r="V1028" s="88"/>
    </row>
    <row r="1029" spans="1:22">
      <c r="A1029" s="34">
        <v>1027</v>
      </c>
      <c r="B1029" s="34"/>
      <c r="C1029" s="34"/>
      <c r="D1029" s="34"/>
      <c r="E1029" s="34"/>
      <c r="F1029" s="85"/>
      <c r="G1029" s="159"/>
      <c r="H1029" s="155"/>
      <c r="I1029" s="86"/>
      <c r="J1029" s="86"/>
      <c r="K1029" s="155"/>
      <c r="L1029" s="85"/>
      <c r="M1029" s="100"/>
      <c r="N1029" s="88"/>
      <c r="O1029" s="141"/>
      <c r="P1029" s="85"/>
      <c r="Q1029" s="88"/>
      <c r="R1029" s="88"/>
      <c r="S1029" s="88"/>
      <c r="T1029" s="54"/>
      <c r="U1029" s="54"/>
      <c r="V1029" s="88"/>
    </row>
    <row r="1030" spans="1:22">
      <c r="A1030" s="34">
        <v>1028</v>
      </c>
      <c r="B1030" s="34"/>
      <c r="C1030" s="34"/>
      <c r="D1030" s="34"/>
      <c r="E1030" s="34"/>
      <c r="F1030" s="85"/>
      <c r="G1030" s="159"/>
      <c r="H1030" s="155"/>
      <c r="I1030" s="86"/>
      <c r="J1030" s="86"/>
      <c r="K1030" s="155"/>
      <c r="L1030" s="85"/>
      <c r="M1030" s="100"/>
      <c r="N1030" s="88"/>
      <c r="O1030" s="141"/>
      <c r="P1030" s="85"/>
      <c r="Q1030" s="88"/>
      <c r="R1030" s="88"/>
      <c r="S1030" s="88"/>
      <c r="T1030" s="54"/>
      <c r="U1030" s="54"/>
      <c r="V1030" s="88"/>
    </row>
    <row r="1031" spans="1:22">
      <c r="A1031" s="34">
        <v>1029</v>
      </c>
      <c r="B1031" s="34"/>
      <c r="C1031" s="34"/>
      <c r="D1031" s="34"/>
      <c r="E1031" s="34"/>
      <c r="F1031" s="85"/>
      <c r="G1031" s="159"/>
      <c r="H1031" s="155"/>
      <c r="I1031" s="86"/>
      <c r="J1031" s="86"/>
      <c r="K1031" s="155"/>
      <c r="L1031" s="85"/>
      <c r="M1031" s="100"/>
      <c r="N1031" s="88"/>
      <c r="O1031" s="141"/>
      <c r="P1031" s="85"/>
      <c r="Q1031" s="88"/>
      <c r="R1031" s="88"/>
      <c r="S1031" s="88"/>
      <c r="T1031" s="54"/>
      <c r="U1031" s="54"/>
      <c r="V1031" s="88"/>
    </row>
    <row r="1032" spans="1:22">
      <c r="A1032" s="34">
        <v>1030</v>
      </c>
      <c r="B1032" s="34"/>
      <c r="C1032" s="34"/>
      <c r="D1032" s="34"/>
      <c r="E1032" s="34"/>
      <c r="F1032" s="85"/>
      <c r="G1032" s="159"/>
      <c r="H1032" s="155"/>
      <c r="I1032" s="86"/>
      <c r="J1032" s="86"/>
      <c r="K1032" s="155"/>
      <c r="L1032" s="85"/>
      <c r="M1032" s="100"/>
      <c r="N1032" s="88"/>
      <c r="O1032" s="141"/>
      <c r="P1032" s="85"/>
      <c r="Q1032" s="88"/>
      <c r="R1032" s="88"/>
      <c r="S1032" s="88"/>
      <c r="T1032" s="54"/>
      <c r="U1032" s="54"/>
      <c r="V1032" s="88"/>
    </row>
    <row r="1033" spans="1:22">
      <c r="A1033" s="34">
        <v>1031</v>
      </c>
      <c r="B1033" s="34"/>
      <c r="C1033" s="34"/>
      <c r="D1033" s="34"/>
      <c r="E1033" s="34"/>
      <c r="F1033" s="85"/>
      <c r="G1033" s="159"/>
      <c r="H1033" s="155"/>
      <c r="I1033" s="86"/>
      <c r="J1033" s="86"/>
      <c r="K1033" s="155"/>
      <c r="L1033" s="85"/>
      <c r="M1033" s="100"/>
      <c r="N1033" s="88"/>
      <c r="O1033" s="141"/>
      <c r="P1033" s="85"/>
      <c r="Q1033" s="88"/>
      <c r="R1033" s="88"/>
      <c r="S1033" s="88"/>
      <c r="T1033" s="54"/>
      <c r="U1033" s="54"/>
      <c r="V1033" s="88"/>
    </row>
    <row r="1034" spans="1:22">
      <c r="A1034" s="34">
        <v>1032</v>
      </c>
      <c r="B1034" s="34"/>
      <c r="C1034" s="34"/>
      <c r="D1034" s="34"/>
      <c r="E1034" s="34"/>
      <c r="F1034" s="85"/>
      <c r="G1034" s="159"/>
      <c r="H1034" s="155"/>
      <c r="I1034" s="86"/>
      <c r="J1034" s="86"/>
      <c r="K1034" s="155"/>
      <c r="L1034" s="85"/>
      <c r="M1034" s="100"/>
      <c r="N1034" s="88"/>
      <c r="O1034" s="141"/>
      <c r="P1034" s="85"/>
      <c r="Q1034" s="88"/>
      <c r="R1034" s="88"/>
      <c r="S1034" s="88"/>
      <c r="T1034" s="54"/>
      <c r="U1034" s="54"/>
      <c r="V1034" s="88"/>
    </row>
    <row r="1035" spans="1:22">
      <c r="A1035" s="34">
        <v>1033</v>
      </c>
      <c r="B1035" s="34"/>
      <c r="C1035" s="34"/>
      <c r="D1035" s="34"/>
      <c r="E1035" s="34"/>
      <c r="F1035" s="85"/>
      <c r="G1035" s="159"/>
      <c r="H1035" s="155"/>
      <c r="I1035" s="86"/>
      <c r="J1035" s="86"/>
      <c r="K1035" s="155"/>
      <c r="L1035" s="85"/>
      <c r="M1035" s="100"/>
      <c r="N1035" s="88"/>
      <c r="O1035" s="141"/>
      <c r="P1035" s="85"/>
      <c r="Q1035" s="88"/>
      <c r="R1035" s="88"/>
      <c r="S1035" s="88"/>
      <c r="T1035" s="54"/>
      <c r="U1035" s="54"/>
      <c r="V1035" s="88"/>
    </row>
    <row r="1036" spans="1:22">
      <c r="A1036" s="34">
        <v>1034</v>
      </c>
      <c r="B1036" s="34"/>
      <c r="C1036" s="34"/>
      <c r="D1036" s="34"/>
      <c r="E1036" s="34"/>
      <c r="F1036" s="85"/>
      <c r="G1036" s="159"/>
      <c r="H1036" s="155"/>
      <c r="I1036" s="86"/>
      <c r="J1036" s="86"/>
      <c r="K1036" s="155"/>
      <c r="L1036" s="85"/>
      <c r="M1036" s="100"/>
      <c r="N1036" s="88"/>
      <c r="O1036" s="141"/>
      <c r="P1036" s="85"/>
      <c r="Q1036" s="88"/>
      <c r="R1036" s="88"/>
      <c r="S1036" s="88"/>
      <c r="T1036" s="54"/>
      <c r="U1036" s="54"/>
      <c r="V1036" s="88"/>
    </row>
    <row r="1037" spans="1:22">
      <c r="A1037" s="34">
        <v>1035</v>
      </c>
      <c r="B1037" s="34"/>
      <c r="C1037" s="34"/>
      <c r="D1037" s="34"/>
      <c r="E1037" s="34"/>
      <c r="F1037" s="85"/>
      <c r="G1037" s="159"/>
      <c r="H1037" s="155"/>
      <c r="I1037" s="86"/>
      <c r="J1037" s="86"/>
      <c r="K1037" s="155"/>
      <c r="L1037" s="85"/>
      <c r="M1037" s="100"/>
      <c r="N1037" s="88"/>
      <c r="O1037" s="141"/>
      <c r="P1037" s="85"/>
      <c r="Q1037" s="88"/>
      <c r="R1037" s="88"/>
      <c r="S1037" s="88"/>
      <c r="T1037" s="54"/>
      <c r="U1037" s="54"/>
      <c r="V1037" s="88"/>
    </row>
    <row r="1038" spans="1:22">
      <c r="A1038" s="34">
        <v>1036</v>
      </c>
      <c r="B1038" s="34"/>
      <c r="C1038" s="34"/>
      <c r="D1038" s="34"/>
      <c r="E1038" s="34"/>
      <c r="F1038" s="85"/>
      <c r="G1038" s="159"/>
      <c r="H1038" s="155"/>
      <c r="I1038" s="86"/>
      <c r="J1038" s="86"/>
      <c r="K1038" s="155"/>
      <c r="L1038" s="85"/>
      <c r="M1038" s="100"/>
      <c r="N1038" s="88"/>
      <c r="O1038" s="141"/>
      <c r="P1038" s="85"/>
      <c r="Q1038" s="88"/>
      <c r="R1038" s="88"/>
      <c r="S1038" s="88"/>
      <c r="T1038" s="54"/>
      <c r="U1038" s="54"/>
      <c r="V1038" s="88"/>
    </row>
    <row r="1039" spans="1:22">
      <c r="A1039" s="34">
        <v>1037</v>
      </c>
      <c r="B1039" s="34"/>
      <c r="C1039" s="34"/>
      <c r="D1039" s="34"/>
      <c r="E1039" s="34"/>
      <c r="F1039" s="85"/>
      <c r="G1039" s="159"/>
      <c r="H1039" s="155"/>
      <c r="I1039" s="86"/>
      <c r="J1039" s="86"/>
      <c r="K1039" s="155"/>
      <c r="L1039" s="85"/>
      <c r="M1039" s="100"/>
      <c r="N1039" s="88"/>
      <c r="O1039" s="141"/>
      <c r="P1039" s="85"/>
      <c r="Q1039" s="88"/>
      <c r="R1039" s="88"/>
      <c r="S1039" s="88"/>
      <c r="T1039" s="54"/>
      <c r="U1039" s="54"/>
      <c r="V1039" s="88"/>
    </row>
    <row r="1040" spans="1:22">
      <c r="A1040" s="34">
        <v>1038</v>
      </c>
      <c r="B1040" s="34"/>
      <c r="C1040" s="34"/>
      <c r="D1040" s="34"/>
      <c r="E1040" s="34"/>
      <c r="F1040" s="85"/>
      <c r="G1040" s="159"/>
      <c r="H1040" s="155"/>
      <c r="I1040" s="86"/>
      <c r="J1040" s="86"/>
      <c r="K1040" s="155"/>
      <c r="L1040" s="85"/>
      <c r="M1040" s="100"/>
      <c r="N1040" s="88"/>
      <c r="O1040" s="141"/>
      <c r="P1040" s="85"/>
      <c r="Q1040" s="88"/>
      <c r="R1040" s="88"/>
      <c r="S1040" s="88"/>
      <c r="T1040" s="54"/>
      <c r="U1040" s="54"/>
      <c r="V1040" s="88"/>
    </row>
    <row r="1041" spans="1:22">
      <c r="A1041" s="34">
        <v>1039</v>
      </c>
      <c r="B1041" s="34"/>
      <c r="C1041" s="34"/>
      <c r="D1041" s="34"/>
      <c r="E1041" s="34"/>
      <c r="F1041" s="85"/>
      <c r="G1041" s="159"/>
      <c r="H1041" s="155"/>
      <c r="I1041" s="86"/>
      <c r="J1041" s="86"/>
      <c r="K1041" s="155"/>
      <c r="L1041" s="85"/>
      <c r="M1041" s="100"/>
      <c r="N1041" s="88"/>
      <c r="O1041" s="141"/>
      <c r="P1041" s="85"/>
      <c r="Q1041" s="88"/>
      <c r="R1041" s="88"/>
      <c r="S1041" s="88"/>
      <c r="T1041" s="54"/>
      <c r="U1041" s="54"/>
      <c r="V1041" s="88"/>
    </row>
    <row r="1042" spans="1:22">
      <c r="A1042" s="34">
        <v>1040</v>
      </c>
      <c r="B1042" s="34"/>
      <c r="C1042" s="34"/>
      <c r="D1042" s="34"/>
      <c r="E1042" s="34"/>
      <c r="F1042" s="85"/>
      <c r="G1042" s="159"/>
      <c r="H1042" s="155"/>
      <c r="I1042" s="86"/>
      <c r="J1042" s="86"/>
      <c r="K1042" s="155"/>
      <c r="L1042" s="85"/>
      <c r="M1042" s="100"/>
      <c r="N1042" s="88"/>
      <c r="O1042" s="141"/>
      <c r="P1042" s="85"/>
      <c r="Q1042" s="88"/>
      <c r="R1042" s="88"/>
      <c r="S1042" s="88"/>
      <c r="T1042" s="54"/>
      <c r="U1042" s="54"/>
      <c r="V1042" s="88"/>
    </row>
    <row r="1043" spans="1:22">
      <c r="A1043" s="34">
        <v>1041</v>
      </c>
      <c r="B1043" s="34"/>
      <c r="C1043" s="34"/>
      <c r="D1043" s="34"/>
      <c r="E1043" s="34"/>
      <c r="F1043" s="85"/>
      <c r="G1043" s="159"/>
      <c r="H1043" s="155"/>
      <c r="I1043" s="86"/>
      <c r="J1043" s="86"/>
      <c r="K1043" s="155"/>
      <c r="L1043" s="85"/>
      <c r="M1043" s="100"/>
      <c r="N1043" s="88"/>
      <c r="O1043" s="141"/>
      <c r="P1043" s="85"/>
      <c r="Q1043" s="88"/>
      <c r="R1043" s="88"/>
      <c r="S1043" s="88"/>
      <c r="T1043" s="54"/>
      <c r="U1043" s="54"/>
      <c r="V1043" s="88"/>
    </row>
    <row r="1044" spans="1:22">
      <c r="A1044" s="34">
        <v>1042</v>
      </c>
      <c r="B1044" s="34"/>
      <c r="C1044" s="34"/>
      <c r="D1044" s="34"/>
      <c r="E1044" s="34"/>
      <c r="F1044" s="85"/>
      <c r="G1044" s="159"/>
      <c r="H1044" s="155"/>
      <c r="I1044" s="86"/>
      <c r="J1044" s="86"/>
      <c r="K1044" s="155"/>
      <c r="L1044" s="85"/>
      <c r="M1044" s="100"/>
      <c r="N1044" s="88"/>
      <c r="O1044" s="141"/>
      <c r="P1044" s="85"/>
      <c r="Q1044" s="88"/>
      <c r="R1044" s="88"/>
      <c r="S1044" s="88"/>
      <c r="T1044" s="54"/>
      <c r="U1044" s="54"/>
      <c r="V1044" s="88"/>
    </row>
    <row r="1045" spans="1:22">
      <c r="A1045" s="34">
        <v>1043</v>
      </c>
      <c r="B1045" s="34"/>
      <c r="C1045" s="34"/>
      <c r="D1045" s="34"/>
      <c r="E1045" s="34"/>
      <c r="F1045" s="85"/>
      <c r="G1045" s="159"/>
      <c r="H1045" s="155"/>
      <c r="I1045" s="86"/>
      <c r="J1045" s="86"/>
      <c r="K1045" s="155"/>
      <c r="L1045" s="85"/>
      <c r="M1045" s="100"/>
      <c r="N1045" s="88"/>
      <c r="O1045" s="141"/>
      <c r="P1045" s="85"/>
      <c r="Q1045" s="88"/>
      <c r="R1045" s="88"/>
      <c r="S1045" s="88"/>
      <c r="T1045" s="54"/>
      <c r="U1045" s="54"/>
      <c r="V1045" s="88"/>
    </row>
    <row r="1046" spans="1:22">
      <c r="A1046" s="34">
        <v>1044</v>
      </c>
      <c r="B1046" s="34"/>
      <c r="C1046" s="34"/>
      <c r="D1046" s="34"/>
      <c r="E1046" s="34"/>
      <c r="F1046" s="85"/>
      <c r="G1046" s="159"/>
      <c r="H1046" s="155"/>
      <c r="I1046" s="86"/>
      <c r="J1046" s="86"/>
      <c r="K1046" s="155"/>
      <c r="L1046" s="85"/>
      <c r="M1046" s="100"/>
      <c r="N1046" s="88"/>
      <c r="O1046" s="141"/>
      <c r="P1046" s="85"/>
      <c r="Q1046" s="88"/>
      <c r="R1046" s="88"/>
      <c r="S1046" s="88"/>
      <c r="T1046" s="54"/>
      <c r="U1046" s="54"/>
      <c r="V1046" s="88"/>
    </row>
    <row r="1047" spans="1:22">
      <c r="A1047" s="34">
        <v>1045</v>
      </c>
      <c r="B1047" s="34"/>
      <c r="C1047" s="34"/>
      <c r="D1047" s="34"/>
      <c r="E1047" s="34"/>
      <c r="F1047" s="85"/>
      <c r="G1047" s="159"/>
      <c r="H1047" s="155"/>
      <c r="I1047" s="86"/>
      <c r="J1047" s="86"/>
      <c r="K1047" s="155"/>
      <c r="L1047" s="85"/>
      <c r="M1047" s="100"/>
      <c r="N1047" s="88"/>
      <c r="O1047" s="141"/>
      <c r="P1047" s="85"/>
      <c r="Q1047" s="88"/>
      <c r="R1047" s="88"/>
      <c r="S1047" s="88"/>
      <c r="T1047" s="54"/>
      <c r="U1047" s="54"/>
      <c r="V1047" s="88"/>
    </row>
    <row r="1048" spans="1:22">
      <c r="A1048" s="34">
        <v>1046</v>
      </c>
      <c r="B1048" s="34"/>
      <c r="C1048" s="34"/>
      <c r="D1048" s="34"/>
      <c r="E1048" s="34"/>
      <c r="F1048" s="85"/>
      <c r="G1048" s="159"/>
      <c r="H1048" s="155"/>
      <c r="I1048" s="86"/>
      <c r="J1048" s="86"/>
      <c r="K1048" s="155"/>
      <c r="L1048" s="85"/>
      <c r="M1048" s="100"/>
      <c r="N1048" s="88"/>
      <c r="O1048" s="141"/>
      <c r="P1048" s="85"/>
      <c r="Q1048" s="88"/>
      <c r="R1048" s="88"/>
      <c r="S1048" s="88"/>
      <c r="T1048" s="54"/>
      <c r="U1048" s="54"/>
      <c r="V1048" s="88"/>
    </row>
    <row r="1049" spans="1:22">
      <c r="A1049" s="34">
        <v>1047</v>
      </c>
      <c r="B1049" s="34"/>
      <c r="C1049" s="34"/>
      <c r="D1049" s="34"/>
      <c r="E1049" s="34"/>
      <c r="F1049" s="85"/>
      <c r="G1049" s="159"/>
      <c r="H1049" s="155"/>
      <c r="I1049" s="86"/>
      <c r="J1049" s="86"/>
      <c r="K1049" s="155"/>
      <c r="L1049" s="85"/>
      <c r="M1049" s="100"/>
      <c r="N1049" s="88"/>
      <c r="O1049" s="141"/>
      <c r="P1049" s="85"/>
      <c r="Q1049" s="88"/>
      <c r="R1049" s="88"/>
      <c r="S1049" s="88"/>
      <c r="T1049" s="54"/>
      <c r="U1049" s="54"/>
      <c r="V1049" s="88"/>
    </row>
    <row r="1050" spans="1:22">
      <c r="A1050" s="34">
        <v>1048</v>
      </c>
      <c r="B1050" s="34"/>
      <c r="C1050" s="34"/>
      <c r="D1050" s="34"/>
      <c r="E1050" s="34"/>
      <c r="F1050" s="85"/>
      <c r="G1050" s="159"/>
      <c r="H1050" s="155"/>
      <c r="I1050" s="86"/>
      <c r="J1050" s="86"/>
      <c r="K1050" s="155"/>
      <c r="L1050" s="85"/>
      <c r="M1050" s="100"/>
      <c r="N1050" s="88"/>
      <c r="O1050" s="141"/>
      <c r="P1050" s="85"/>
      <c r="Q1050" s="88"/>
      <c r="R1050" s="88"/>
      <c r="S1050" s="88"/>
      <c r="T1050" s="54"/>
      <c r="U1050" s="54"/>
      <c r="V1050" s="88"/>
    </row>
    <row r="1051" spans="1:22">
      <c r="A1051" s="34">
        <v>1049</v>
      </c>
      <c r="B1051" s="34"/>
      <c r="C1051" s="34"/>
      <c r="D1051" s="34"/>
      <c r="E1051" s="34"/>
      <c r="F1051" s="85"/>
      <c r="G1051" s="159"/>
      <c r="H1051" s="155"/>
      <c r="I1051" s="86"/>
      <c r="J1051" s="86"/>
      <c r="K1051" s="155"/>
      <c r="L1051" s="85"/>
      <c r="M1051" s="100"/>
      <c r="N1051" s="88"/>
      <c r="O1051" s="141"/>
      <c r="P1051" s="85"/>
      <c r="Q1051" s="88"/>
      <c r="R1051" s="88"/>
      <c r="S1051" s="88"/>
      <c r="T1051" s="54"/>
      <c r="U1051" s="54"/>
      <c r="V1051" s="88"/>
    </row>
    <row r="1052" spans="1:22">
      <c r="A1052" s="34">
        <v>1050</v>
      </c>
      <c r="B1052" s="34"/>
      <c r="C1052" s="34"/>
      <c r="D1052" s="34"/>
      <c r="E1052" s="34"/>
      <c r="F1052" s="85"/>
      <c r="G1052" s="159"/>
      <c r="H1052" s="155"/>
      <c r="I1052" s="86"/>
      <c r="J1052" s="86"/>
      <c r="K1052" s="155"/>
      <c r="L1052" s="85"/>
      <c r="M1052" s="100"/>
      <c r="N1052" s="88"/>
      <c r="O1052" s="141"/>
      <c r="P1052" s="85"/>
      <c r="Q1052" s="88"/>
      <c r="R1052" s="88"/>
      <c r="S1052" s="88"/>
      <c r="T1052" s="54"/>
      <c r="U1052" s="54"/>
      <c r="V1052" s="88"/>
    </row>
    <row r="1053" spans="1:22">
      <c r="A1053" s="34">
        <v>1051</v>
      </c>
      <c r="B1053" s="34"/>
      <c r="C1053" s="34"/>
      <c r="D1053" s="34"/>
      <c r="E1053" s="34"/>
      <c r="F1053" s="85"/>
      <c r="G1053" s="159"/>
      <c r="H1053" s="155"/>
      <c r="I1053" s="86"/>
      <c r="J1053" s="86"/>
      <c r="K1053" s="155"/>
      <c r="L1053" s="85"/>
      <c r="M1053" s="100"/>
      <c r="N1053" s="88"/>
      <c r="O1053" s="141"/>
      <c r="P1053" s="85"/>
      <c r="Q1053" s="88"/>
      <c r="R1053" s="88"/>
      <c r="S1053" s="88"/>
      <c r="T1053" s="54"/>
      <c r="U1053" s="54"/>
      <c r="V1053" s="88"/>
    </row>
    <row r="1054" spans="1:22">
      <c r="A1054" s="34">
        <v>1052</v>
      </c>
      <c r="B1054" s="34"/>
      <c r="C1054" s="34"/>
      <c r="D1054" s="34"/>
      <c r="E1054" s="34"/>
      <c r="F1054" s="85"/>
      <c r="G1054" s="159"/>
      <c r="H1054" s="155"/>
      <c r="I1054" s="86"/>
      <c r="J1054" s="86"/>
      <c r="K1054" s="155"/>
      <c r="L1054" s="85"/>
      <c r="M1054" s="100"/>
      <c r="N1054" s="88"/>
      <c r="O1054" s="141"/>
      <c r="P1054" s="85"/>
      <c r="Q1054" s="88"/>
      <c r="R1054" s="88"/>
      <c r="S1054" s="88"/>
      <c r="T1054" s="54"/>
      <c r="U1054" s="54"/>
      <c r="V1054" s="88"/>
    </row>
    <row r="1055" spans="1:22">
      <c r="A1055" s="34">
        <v>1053</v>
      </c>
      <c r="B1055" s="34"/>
      <c r="C1055" s="34"/>
      <c r="D1055" s="34"/>
      <c r="E1055" s="34"/>
      <c r="F1055" s="85"/>
      <c r="G1055" s="159"/>
      <c r="H1055" s="155"/>
      <c r="I1055" s="86"/>
      <c r="J1055" s="86"/>
      <c r="K1055" s="155"/>
      <c r="L1055" s="85"/>
      <c r="M1055" s="100"/>
      <c r="N1055" s="88"/>
      <c r="O1055" s="141"/>
      <c r="P1055" s="85"/>
      <c r="Q1055" s="88"/>
      <c r="R1055" s="88"/>
      <c r="S1055" s="88"/>
      <c r="T1055" s="54"/>
      <c r="U1055" s="54"/>
      <c r="V1055" s="88"/>
    </row>
    <row r="1056" spans="1:22">
      <c r="A1056" s="34">
        <v>1054</v>
      </c>
      <c r="B1056" s="34"/>
      <c r="C1056" s="34"/>
      <c r="D1056" s="34"/>
      <c r="E1056" s="34"/>
      <c r="F1056" s="85"/>
      <c r="G1056" s="159"/>
      <c r="H1056" s="155"/>
      <c r="I1056" s="86"/>
      <c r="J1056" s="86"/>
      <c r="K1056" s="155"/>
      <c r="L1056" s="85"/>
      <c r="M1056" s="100"/>
      <c r="N1056" s="88"/>
      <c r="O1056" s="141"/>
      <c r="P1056" s="85"/>
      <c r="Q1056" s="88"/>
      <c r="R1056" s="88"/>
      <c r="S1056" s="88"/>
      <c r="T1056" s="54"/>
      <c r="U1056" s="54"/>
      <c r="V1056" s="88"/>
    </row>
    <row r="1057" spans="1:22">
      <c r="A1057" s="34">
        <v>1055</v>
      </c>
      <c r="B1057" s="34"/>
      <c r="C1057" s="34"/>
      <c r="D1057" s="34"/>
      <c r="E1057" s="34"/>
      <c r="F1057" s="85"/>
      <c r="G1057" s="159"/>
      <c r="H1057" s="155"/>
      <c r="I1057" s="86"/>
      <c r="J1057" s="86"/>
      <c r="K1057" s="155"/>
      <c r="L1057" s="85"/>
      <c r="M1057" s="100"/>
      <c r="N1057" s="88"/>
      <c r="O1057" s="141"/>
      <c r="P1057" s="85"/>
      <c r="Q1057" s="88"/>
      <c r="R1057" s="88"/>
      <c r="S1057" s="88"/>
      <c r="T1057" s="54"/>
      <c r="U1057" s="54"/>
      <c r="V1057" s="88"/>
    </row>
    <row r="1058" spans="1:22">
      <c r="A1058" s="34">
        <v>1056</v>
      </c>
      <c r="B1058" s="34"/>
      <c r="C1058" s="34"/>
      <c r="D1058" s="34"/>
      <c r="E1058" s="34"/>
      <c r="F1058" s="85"/>
      <c r="G1058" s="159"/>
      <c r="H1058" s="155"/>
      <c r="I1058" s="86"/>
      <c r="J1058" s="86"/>
      <c r="K1058" s="155"/>
      <c r="L1058" s="85"/>
      <c r="M1058" s="100"/>
      <c r="N1058" s="88"/>
      <c r="O1058" s="141"/>
      <c r="P1058" s="85"/>
      <c r="Q1058" s="88"/>
      <c r="R1058" s="88"/>
      <c r="S1058" s="88"/>
      <c r="T1058" s="54"/>
      <c r="U1058" s="54"/>
      <c r="V1058" s="88"/>
    </row>
    <row r="1059" spans="1:22">
      <c r="A1059" s="34">
        <v>1057</v>
      </c>
      <c r="B1059" s="34"/>
      <c r="C1059" s="34"/>
      <c r="D1059" s="34"/>
      <c r="E1059" s="34"/>
      <c r="F1059" s="85"/>
      <c r="G1059" s="159"/>
      <c r="H1059" s="155"/>
      <c r="I1059" s="86"/>
      <c r="J1059" s="86"/>
      <c r="K1059" s="155"/>
      <c r="L1059" s="85"/>
      <c r="M1059" s="100"/>
      <c r="N1059" s="88"/>
      <c r="O1059" s="141"/>
      <c r="P1059" s="85"/>
      <c r="Q1059" s="88"/>
      <c r="R1059" s="88"/>
      <c r="S1059" s="88"/>
      <c r="T1059" s="54"/>
      <c r="U1059" s="54"/>
      <c r="V1059" s="88"/>
    </row>
    <row r="1060" spans="1:22">
      <c r="A1060" s="34">
        <v>1058</v>
      </c>
      <c r="B1060" s="34"/>
      <c r="C1060" s="34"/>
      <c r="D1060" s="34"/>
      <c r="E1060" s="34"/>
      <c r="F1060" s="85"/>
      <c r="G1060" s="159"/>
      <c r="H1060" s="155"/>
      <c r="I1060" s="86"/>
      <c r="J1060" s="86"/>
      <c r="K1060" s="155"/>
      <c r="L1060" s="85"/>
      <c r="M1060" s="100"/>
      <c r="N1060" s="88"/>
      <c r="O1060" s="141"/>
      <c r="P1060" s="85"/>
      <c r="Q1060" s="88"/>
      <c r="R1060" s="88"/>
      <c r="S1060" s="88"/>
      <c r="T1060" s="54"/>
      <c r="U1060" s="54"/>
      <c r="V1060" s="88"/>
    </row>
    <row r="1061" spans="1:22">
      <c r="A1061" s="34">
        <v>1059</v>
      </c>
      <c r="B1061" s="34"/>
      <c r="C1061" s="34"/>
      <c r="D1061" s="34"/>
      <c r="E1061" s="34"/>
      <c r="F1061" s="85"/>
      <c r="G1061" s="159"/>
      <c r="H1061" s="155"/>
      <c r="I1061" s="86"/>
      <c r="J1061" s="86"/>
      <c r="K1061" s="155"/>
      <c r="L1061" s="85"/>
      <c r="M1061" s="100"/>
      <c r="N1061" s="88"/>
      <c r="O1061" s="141"/>
      <c r="P1061" s="85"/>
      <c r="Q1061" s="88"/>
      <c r="R1061" s="88"/>
      <c r="S1061" s="88"/>
      <c r="T1061" s="54"/>
      <c r="U1061" s="54"/>
      <c r="V1061" s="88"/>
    </row>
    <row r="1062" spans="1:22">
      <c r="A1062" s="34">
        <v>1060</v>
      </c>
      <c r="B1062" s="34"/>
      <c r="C1062" s="34"/>
      <c r="D1062" s="34"/>
      <c r="E1062" s="34"/>
      <c r="F1062" s="85"/>
      <c r="G1062" s="159"/>
      <c r="H1062" s="155"/>
      <c r="I1062" s="86"/>
      <c r="J1062" s="86"/>
      <c r="K1062" s="155"/>
      <c r="L1062" s="85"/>
      <c r="M1062" s="100"/>
      <c r="N1062" s="88"/>
      <c r="O1062" s="141"/>
      <c r="P1062" s="85"/>
      <c r="Q1062" s="88"/>
      <c r="R1062" s="88"/>
      <c r="S1062" s="88"/>
      <c r="T1062" s="54"/>
      <c r="U1062" s="54"/>
      <c r="V1062" s="88"/>
    </row>
    <row r="1063" spans="1:22">
      <c r="A1063" s="34">
        <v>1061</v>
      </c>
      <c r="B1063" s="34"/>
      <c r="C1063" s="34"/>
      <c r="D1063" s="34"/>
      <c r="E1063" s="34"/>
      <c r="F1063" s="85"/>
      <c r="G1063" s="159"/>
      <c r="H1063" s="155"/>
      <c r="I1063" s="86"/>
      <c r="J1063" s="86"/>
      <c r="K1063" s="155"/>
      <c r="L1063" s="85"/>
      <c r="M1063" s="100"/>
      <c r="N1063" s="88"/>
      <c r="O1063" s="141"/>
      <c r="P1063" s="85"/>
      <c r="Q1063" s="88"/>
      <c r="R1063" s="88"/>
      <c r="S1063" s="88"/>
      <c r="T1063" s="54"/>
      <c r="U1063" s="54"/>
      <c r="V1063" s="88"/>
    </row>
    <row r="1064" spans="1:22">
      <c r="A1064" s="34">
        <v>1062</v>
      </c>
      <c r="B1064" s="34"/>
      <c r="C1064" s="34"/>
      <c r="D1064" s="34"/>
      <c r="E1064" s="34"/>
      <c r="F1064" s="85"/>
      <c r="G1064" s="159"/>
      <c r="H1064" s="155"/>
      <c r="I1064" s="86"/>
      <c r="J1064" s="86"/>
      <c r="K1064" s="155"/>
      <c r="L1064" s="85"/>
      <c r="M1064" s="100"/>
      <c r="N1064" s="88"/>
      <c r="O1064" s="141"/>
      <c r="P1064" s="85"/>
      <c r="Q1064" s="88"/>
      <c r="R1064" s="88"/>
      <c r="S1064" s="88"/>
      <c r="T1064" s="54"/>
      <c r="U1064" s="54"/>
      <c r="V1064" s="88"/>
    </row>
    <row r="1065" spans="1:22">
      <c r="A1065" s="34">
        <v>1063</v>
      </c>
      <c r="B1065" s="34"/>
      <c r="C1065" s="34"/>
      <c r="D1065" s="34"/>
      <c r="E1065" s="34"/>
      <c r="F1065" s="85"/>
      <c r="G1065" s="159"/>
      <c r="H1065" s="155"/>
      <c r="I1065" s="86"/>
      <c r="J1065" s="86"/>
      <c r="K1065" s="155"/>
      <c r="L1065" s="85"/>
      <c r="M1065" s="100"/>
      <c r="N1065" s="88"/>
      <c r="O1065" s="141"/>
      <c r="P1065" s="85"/>
      <c r="Q1065" s="88"/>
      <c r="R1065" s="88"/>
      <c r="S1065" s="88"/>
      <c r="T1065" s="54"/>
      <c r="U1065" s="54"/>
      <c r="V1065" s="88"/>
    </row>
    <row r="1066" spans="1:22">
      <c r="A1066" s="34">
        <v>1064</v>
      </c>
      <c r="B1066" s="34"/>
      <c r="C1066" s="34"/>
      <c r="D1066" s="34"/>
      <c r="E1066" s="34"/>
      <c r="F1066" s="85"/>
      <c r="G1066" s="159"/>
      <c r="H1066" s="155"/>
      <c r="I1066" s="86"/>
      <c r="J1066" s="86"/>
      <c r="K1066" s="155"/>
      <c r="L1066" s="85"/>
      <c r="M1066" s="100"/>
      <c r="N1066" s="88"/>
      <c r="O1066" s="141"/>
      <c r="P1066" s="85"/>
      <c r="Q1066" s="88"/>
      <c r="R1066" s="88"/>
      <c r="S1066" s="88"/>
      <c r="T1066" s="54"/>
      <c r="U1066" s="54"/>
      <c r="V1066" s="88"/>
    </row>
    <row r="1067" spans="1:22">
      <c r="A1067" s="34">
        <v>1065</v>
      </c>
      <c r="B1067" s="34"/>
      <c r="C1067" s="34"/>
      <c r="D1067" s="34"/>
      <c r="E1067" s="34"/>
      <c r="F1067" s="85"/>
      <c r="G1067" s="159"/>
      <c r="H1067" s="155"/>
      <c r="I1067" s="86"/>
      <c r="J1067" s="86"/>
      <c r="K1067" s="155"/>
      <c r="L1067" s="85"/>
      <c r="M1067" s="100"/>
      <c r="N1067" s="88"/>
      <c r="O1067" s="141"/>
      <c r="P1067" s="85"/>
      <c r="Q1067" s="88"/>
      <c r="R1067" s="88"/>
      <c r="S1067" s="88"/>
      <c r="T1067" s="54"/>
      <c r="U1067" s="54"/>
      <c r="V1067" s="88"/>
    </row>
    <row r="1068" spans="1:22">
      <c r="A1068" s="34">
        <v>1066</v>
      </c>
      <c r="B1068" s="34"/>
      <c r="C1068" s="34"/>
      <c r="D1068" s="34"/>
      <c r="E1068" s="34"/>
      <c r="F1068" s="85"/>
      <c r="G1068" s="159"/>
      <c r="H1068" s="155"/>
      <c r="I1068" s="86"/>
      <c r="J1068" s="86"/>
      <c r="K1068" s="155"/>
      <c r="L1068" s="85"/>
      <c r="M1068" s="100"/>
      <c r="N1068" s="88"/>
      <c r="O1068" s="141"/>
      <c r="P1068" s="85"/>
      <c r="Q1068" s="88"/>
      <c r="R1068" s="88"/>
      <c r="S1068" s="88"/>
      <c r="T1068" s="54"/>
      <c r="U1068" s="54"/>
      <c r="V1068" s="88"/>
    </row>
    <row r="1069" spans="1:22">
      <c r="A1069" s="34">
        <v>1067</v>
      </c>
      <c r="B1069" s="34"/>
      <c r="C1069" s="34"/>
      <c r="D1069" s="34"/>
      <c r="E1069" s="34"/>
      <c r="F1069" s="85"/>
      <c r="G1069" s="159"/>
      <c r="H1069" s="155"/>
      <c r="I1069" s="86"/>
      <c r="J1069" s="86"/>
      <c r="K1069" s="155"/>
      <c r="L1069" s="85"/>
      <c r="M1069" s="100"/>
      <c r="N1069" s="88"/>
      <c r="O1069" s="141"/>
      <c r="P1069" s="85"/>
      <c r="Q1069" s="88"/>
      <c r="R1069" s="88"/>
      <c r="S1069" s="88"/>
      <c r="T1069" s="54"/>
      <c r="U1069" s="54"/>
      <c r="V1069" s="88"/>
    </row>
    <row r="1070" spans="1:22">
      <c r="A1070" s="34">
        <v>1068</v>
      </c>
      <c r="B1070" s="34"/>
      <c r="C1070" s="34"/>
      <c r="D1070" s="34"/>
      <c r="E1070" s="34"/>
      <c r="F1070" s="85"/>
      <c r="G1070" s="159"/>
      <c r="H1070" s="155"/>
      <c r="I1070" s="86"/>
      <c r="J1070" s="86"/>
      <c r="K1070" s="155"/>
      <c r="L1070" s="85"/>
      <c r="M1070" s="100"/>
      <c r="N1070" s="88"/>
      <c r="O1070" s="141"/>
      <c r="P1070" s="85"/>
      <c r="Q1070" s="88"/>
      <c r="R1070" s="88"/>
      <c r="S1070" s="88"/>
      <c r="T1070" s="54"/>
      <c r="U1070" s="54"/>
      <c r="V1070" s="88"/>
    </row>
    <row r="1071" spans="1:22">
      <c r="A1071" s="34">
        <v>1069</v>
      </c>
      <c r="B1071" s="34"/>
      <c r="C1071" s="34"/>
      <c r="D1071" s="34"/>
      <c r="E1071" s="34"/>
      <c r="F1071" s="85"/>
      <c r="G1071" s="159"/>
      <c r="H1071" s="155"/>
      <c r="I1071" s="86"/>
      <c r="J1071" s="86"/>
      <c r="K1071" s="155"/>
      <c r="L1071" s="85"/>
      <c r="M1071" s="100"/>
      <c r="N1071" s="88"/>
      <c r="O1071" s="141"/>
      <c r="P1071" s="85"/>
      <c r="Q1071" s="88"/>
      <c r="R1071" s="88"/>
      <c r="S1071" s="88"/>
      <c r="T1071" s="54"/>
      <c r="U1071" s="54"/>
      <c r="V1071" s="88"/>
    </row>
    <row r="1072" spans="1:22">
      <c r="A1072" s="34">
        <v>1070</v>
      </c>
      <c r="B1072" s="34"/>
      <c r="C1072" s="34"/>
      <c r="D1072" s="34"/>
      <c r="E1072" s="34"/>
      <c r="F1072" s="85"/>
      <c r="G1072" s="159"/>
      <c r="H1072" s="155"/>
      <c r="I1072" s="86"/>
      <c r="J1072" s="86"/>
      <c r="K1072" s="155"/>
      <c r="L1072" s="85"/>
      <c r="M1072" s="100"/>
      <c r="N1072" s="88"/>
      <c r="O1072" s="141"/>
      <c r="P1072" s="85"/>
      <c r="Q1072" s="88"/>
      <c r="R1072" s="88"/>
      <c r="S1072" s="88"/>
      <c r="T1072" s="54"/>
      <c r="U1072" s="54"/>
      <c r="V1072" s="88"/>
    </row>
    <row r="1073" spans="1:22">
      <c r="A1073" s="34">
        <v>1071</v>
      </c>
      <c r="B1073" s="34"/>
      <c r="C1073" s="34"/>
      <c r="D1073" s="34"/>
      <c r="E1073" s="34"/>
      <c r="F1073" s="85"/>
      <c r="G1073" s="159"/>
      <c r="H1073" s="155"/>
      <c r="I1073" s="86"/>
      <c r="J1073" s="86"/>
      <c r="K1073" s="155"/>
      <c r="L1073" s="85"/>
      <c r="M1073" s="100"/>
      <c r="N1073" s="88"/>
      <c r="O1073" s="141"/>
      <c r="P1073" s="85"/>
      <c r="Q1073" s="88"/>
      <c r="R1073" s="88"/>
      <c r="S1073" s="88"/>
      <c r="T1073" s="54"/>
      <c r="U1073" s="54"/>
      <c r="V1073" s="88"/>
    </row>
    <row r="1074" spans="1:22">
      <c r="A1074" s="34">
        <v>1072</v>
      </c>
      <c r="B1074" s="34"/>
      <c r="C1074" s="34"/>
      <c r="D1074" s="34"/>
      <c r="E1074" s="34"/>
      <c r="F1074" s="85"/>
      <c r="G1074" s="159"/>
      <c r="H1074" s="155"/>
      <c r="I1074" s="86"/>
      <c r="J1074" s="86"/>
      <c r="K1074" s="155"/>
      <c r="L1074" s="85"/>
      <c r="M1074" s="100"/>
      <c r="N1074" s="88"/>
      <c r="O1074" s="141"/>
      <c r="P1074" s="85"/>
      <c r="Q1074" s="88"/>
      <c r="R1074" s="88"/>
      <c r="S1074" s="88"/>
      <c r="T1074" s="54"/>
      <c r="U1074" s="54"/>
      <c r="V1074" s="88"/>
    </row>
    <row r="1075" spans="1:22">
      <c r="A1075" s="34">
        <v>1073</v>
      </c>
      <c r="B1075" s="34"/>
      <c r="C1075" s="34"/>
      <c r="D1075" s="34"/>
      <c r="E1075" s="34"/>
      <c r="F1075" s="85"/>
      <c r="G1075" s="159"/>
      <c r="H1075" s="155"/>
      <c r="I1075" s="86"/>
      <c r="J1075" s="86"/>
      <c r="K1075" s="155"/>
      <c r="L1075" s="85"/>
      <c r="M1075" s="100"/>
      <c r="N1075" s="88"/>
      <c r="O1075" s="141"/>
      <c r="P1075" s="85"/>
      <c r="Q1075" s="88"/>
      <c r="R1075" s="88"/>
      <c r="S1075" s="88"/>
      <c r="T1075" s="54"/>
      <c r="U1075" s="54"/>
      <c r="V1075" s="88"/>
    </row>
    <row r="1076" spans="1:22">
      <c r="A1076" s="34">
        <v>1074</v>
      </c>
      <c r="B1076" s="34"/>
      <c r="C1076" s="34"/>
      <c r="D1076" s="34"/>
      <c r="E1076" s="34"/>
      <c r="F1076" s="85"/>
      <c r="G1076" s="159"/>
      <c r="H1076" s="155"/>
      <c r="I1076" s="86"/>
      <c r="J1076" s="86"/>
      <c r="K1076" s="155"/>
      <c r="L1076" s="85"/>
      <c r="M1076" s="100"/>
      <c r="N1076" s="88"/>
      <c r="O1076" s="141"/>
      <c r="P1076" s="85"/>
      <c r="Q1076" s="88"/>
      <c r="R1076" s="88"/>
      <c r="S1076" s="88"/>
      <c r="T1076" s="54"/>
      <c r="U1076" s="54"/>
      <c r="V1076" s="88"/>
    </row>
    <row r="1077" spans="1:22">
      <c r="A1077" s="34">
        <v>1075</v>
      </c>
      <c r="B1077" s="34"/>
      <c r="C1077" s="34"/>
      <c r="D1077" s="34"/>
      <c r="E1077" s="34"/>
      <c r="F1077" s="85"/>
      <c r="G1077" s="159"/>
      <c r="H1077" s="155"/>
      <c r="I1077" s="86"/>
      <c r="J1077" s="86"/>
      <c r="K1077" s="155"/>
      <c r="L1077" s="85"/>
      <c r="M1077" s="100"/>
      <c r="N1077" s="88"/>
      <c r="O1077" s="141"/>
      <c r="P1077" s="85"/>
      <c r="Q1077" s="88"/>
      <c r="R1077" s="88"/>
      <c r="S1077" s="88"/>
      <c r="T1077" s="54"/>
      <c r="U1077" s="54"/>
      <c r="V1077" s="88"/>
    </row>
    <row r="1078" spans="1:22">
      <c r="A1078" s="34">
        <v>1076</v>
      </c>
      <c r="B1078" s="34"/>
      <c r="C1078" s="34"/>
      <c r="D1078" s="34"/>
      <c r="E1078" s="34"/>
      <c r="F1078" s="85"/>
      <c r="G1078" s="159"/>
      <c r="H1078" s="155"/>
      <c r="I1078" s="86"/>
      <c r="J1078" s="86"/>
      <c r="K1078" s="155"/>
      <c r="L1078" s="85"/>
      <c r="M1078" s="100"/>
      <c r="N1078" s="88"/>
      <c r="O1078" s="141"/>
      <c r="P1078" s="85"/>
      <c r="Q1078" s="88"/>
      <c r="R1078" s="88"/>
      <c r="S1078" s="88"/>
      <c r="T1078" s="54"/>
      <c r="U1078" s="54"/>
      <c r="V1078" s="88"/>
    </row>
    <row r="1079" spans="1:22">
      <c r="A1079" s="34">
        <v>1077</v>
      </c>
      <c r="B1079" s="34"/>
      <c r="C1079" s="34"/>
      <c r="D1079" s="34"/>
      <c r="E1079" s="34"/>
      <c r="F1079" s="85"/>
      <c r="G1079" s="159"/>
      <c r="H1079" s="155"/>
      <c r="I1079" s="86"/>
      <c r="J1079" s="86"/>
      <c r="K1079" s="155"/>
      <c r="L1079" s="85"/>
      <c r="M1079" s="100"/>
      <c r="N1079" s="88"/>
      <c r="O1079" s="141"/>
      <c r="P1079" s="85"/>
      <c r="Q1079" s="88"/>
      <c r="R1079" s="88"/>
      <c r="S1079" s="88"/>
      <c r="T1079" s="54"/>
      <c r="U1079" s="54"/>
      <c r="V1079" s="88"/>
    </row>
    <row r="1080" spans="1:22">
      <c r="A1080" s="34">
        <v>1078</v>
      </c>
      <c r="B1080" s="34"/>
      <c r="C1080" s="34"/>
      <c r="D1080" s="34"/>
      <c r="E1080" s="34"/>
      <c r="F1080" s="85"/>
      <c r="G1080" s="159"/>
      <c r="H1080" s="155"/>
      <c r="I1080" s="86"/>
      <c r="J1080" s="86"/>
      <c r="K1080" s="155"/>
      <c r="L1080" s="85"/>
      <c r="M1080" s="100"/>
      <c r="N1080" s="88"/>
      <c r="O1080" s="141"/>
      <c r="P1080" s="85"/>
      <c r="Q1080" s="88"/>
      <c r="R1080" s="88"/>
      <c r="S1080" s="88"/>
      <c r="T1080" s="54"/>
      <c r="U1080" s="54"/>
      <c r="V1080" s="88"/>
    </row>
    <row r="1081" spans="1:22">
      <c r="A1081" s="34">
        <v>1079</v>
      </c>
      <c r="B1081" s="34"/>
      <c r="C1081" s="34"/>
      <c r="D1081" s="34"/>
      <c r="E1081" s="34"/>
      <c r="F1081" s="85"/>
      <c r="G1081" s="159"/>
      <c r="H1081" s="155"/>
      <c r="I1081" s="86"/>
      <c r="J1081" s="86"/>
      <c r="K1081" s="155"/>
      <c r="L1081" s="85"/>
      <c r="M1081" s="100"/>
      <c r="N1081" s="88"/>
      <c r="O1081" s="141"/>
      <c r="P1081" s="85"/>
      <c r="Q1081" s="88"/>
      <c r="R1081" s="88"/>
      <c r="S1081" s="88"/>
      <c r="T1081" s="54"/>
      <c r="U1081" s="54"/>
      <c r="V1081" s="88"/>
    </row>
    <row r="1082" spans="1:22">
      <c r="A1082" s="34">
        <v>1080</v>
      </c>
      <c r="B1082" s="34"/>
      <c r="C1082" s="34"/>
      <c r="D1082" s="34"/>
      <c r="E1082" s="34"/>
      <c r="F1082" s="85"/>
      <c r="G1082" s="159"/>
      <c r="H1082" s="155"/>
      <c r="I1082" s="86"/>
      <c r="J1082" s="86"/>
      <c r="K1082" s="155"/>
      <c r="L1082" s="85"/>
      <c r="M1082" s="100"/>
      <c r="N1082" s="88"/>
      <c r="O1082" s="141"/>
      <c r="P1082" s="85"/>
      <c r="Q1082" s="88"/>
      <c r="R1082" s="88"/>
      <c r="S1082" s="88"/>
      <c r="T1082" s="54"/>
      <c r="U1082" s="54"/>
      <c r="V1082" s="88"/>
    </row>
    <row r="1083" spans="1:22">
      <c r="A1083" s="34">
        <v>1081</v>
      </c>
      <c r="B1083" s="34"/>
      <c r="C1083" s="34"/>
      <c r="D1083" s="34"/>
      <c r="E1083" s="34"/>
      <c r="F1083" s="85"/>
      <c r="G1083" s="159"/>
      <c r="H1083" s="155"/>
      <c r="I1083" s="86"/>
      <c r="J1083" s="86"/>
      <c r="K1083" s="155"/>
      <c r="L1083" s="85"/>
      <c r="M1083" s="100"/>
      <c r="N1083" s="88"/>
      <c r="O1083" s="141"/>
      <c r="P1083" s="85"/>
      <c r="Q1083" s="88"/>
      <c r="R1083" s="88"/>
      <c r="S1083" s="88"/>
      <c r="T1083" s="54"/>
      <c r="U1083" s="54"/>
      <c r="V1083" s="88"/>
    </row>
    <row r="1084" spans="1:22">
      <c r="A1084" s="34">
        <v>1082</v>
      </c>
      <c r="B1084" s="34"/>
      <c r="C1084" s="34"/>
      <c r="D1084" s="34"/>
      <c r="E1084" s="34"/>
      <c r="F1084" s="85"/>
      <c r="G1084" s="159"/>
      <c r="H1084" s="155"/>
      <c r="I1084" s="86"/>
      <c r="J1084" s="86"/>
      <c r="K1084" s="155"/>
      <c r="L1084" s="85"/>
      <c r="M1084" s="100"/>
      <c r="N1084" s="88"/>
      <c r="O1084" s="141"/>
      <c r="P1084" s="85"/>
      <c r="Q1084" s="88"/>
      <c r="R1084" s="88"/>
      <c r="S1084" s="88"/>
      <c r="T1084" s="54"/>
      <c r="U1084" s="54"/>
      <c r="V1084" s="88"/>
    </row>
    <row r="1085" spans="1:22">
      <c r="A1085" s="34">
        <v>1083</v>
      </c>
      <c r="B1085" s="34"/>
      <c r="C1085" s="34"/>
      <c r="D1085" s="34"/>
      <c r="E1085" s="34"/>
      <c r="F1085" s="85"/>
      <c r="G1085" s="159"/>
      <c r="H1085" s="155"/>
      <c r="I1085" s="86"/>
      <c r="J1085" s="86"/>
      <c r="K1085" s="155"/>
      <c r="L1085" s="85"/>
      <c r="M1085" s="100"/>
      <c r="N1085" s="88"/>
      <c r="O1085" s="141"/>
      <c r="P1085" s="85"/>
      <c r="Q1085" s="88"/>
      <c r="R1085" s="88"/>
      <c r="S1085" s="88"/>
      <c r="T1085" s="54"/>
      <c r="U1085" s="54"/>
      <c r="V1085" s="88"/>
    </row>
    <row r="1086" spans="1:22">
      <c r="A1086" s="34">
        <v>1084</v>
      </c>
      <c r="B1086" s="34"/>
      <c r="C1086" s="34"/>
      <c r="D1086" s="34"/>
      <c r="E1086" s="34"/>
      <c r="F1086" s="85"/>
      <c r="G1086" s="159"/>
      <c r="H1086" s="155"/>
      <c r="I1086" s="86"/>
      <c r="J1086" s="86"/>
      <c r="K1086" s="155"/>
      <c r="L1086" s="85"/>
      <c r="M1086" s="100"/>
      <c r="N1086" s="88"/>
      <c r="O1086" s="141"/>
      <c r="P1086" s="85"/>
      <c r="Q1086" s="88"/>
      <c r="R1086" s="88"/>
      <c r="S1086" s="88"/>
      <c r="T1086" s="54"/>
      <c r="U1086" s="54"/>
      <c r="V1086" s="88"/>
    </row>
    <row r="1087" spans="1:22">
      <c r="A1087" s="34">
        <v>1085</v>
      </c>
      <c r="B1087" s="34"/>
      <c r="C1087" s="34"/>
      <c r="D1087" s="34"/>
      <c r="E1087" s="34"/>
      <c r="F1087" s="85"/>
      <c r="G1087" s="159"/>
      <c r="H1087" s="155"/>
      <c r="I1087" s="86"/>
      <c r="J1087" s="86"/>
      <c r="K1087" s="155"/>
      <c r="L1087" s="85"/>
      <c r="M1087" s="100"/>
      <c r="N1087" s="88"/>
      <c r="O1087" s="141"/>
      <c r="P1087" s="85"/>
      <c r="Q1087" s="88"/>
      <c r="R1087" s="88"/>
      <c r="S1087" s="88"/>
      <c r="T1087" s="54"/>
      <c r="U1087" s="54"/>
      <c r="V1087" s="88"/>
    </row>
    <row r="1088" spans="1:22">
      <c r="A1088" s="34">
        <v>1086</v>
      </c>
      <c r="B1088" s="34"/>
      <c r="C1088" s="34"/>
      <c r="D1088" s="34"/>
      <c r="E1088" s="34"/>
      <c r="F1088" s="85"/>
      <c r="G1088" s="159"/>
      <c r="H1088" s="155"/>
      <c r="I1088" s="86"/>
      <c r="J1088" s="86"/>
      <c r="K1088" s="155"/>
      <c r="L1088" s="85"/>
      <c r="M1088" s="100"/>
      <c r="N1088" s="88"/>
      <c r="O1088" s="141"/>
      <c r="P1088" s="85"/>
      <c r="Q1088" s="88"/>
      <c r="R1088" s="88"/>
      <c r="S1088" s="88"/>
      <c r="T1088" s="54"/>
      <c r="U1088" s="54"/>
      <c r="V1088" s="88"/>
    </row>
    <row r="1089" spans="1:22">
      <c r="A1089" s="34">
        <v>1087</v>
      </c>
      <c r="B1089" s="34"/>
      <c r="C1089" s="34"/>
      <c r="D1089" s="34"/>
      <c r="E1089" s="34"/>
      <c r="F1089" s="85"/>
      <c r="G1089" s="159"/>
      <c r="H1089" s="155"/>
      <c r="I1089" s="86"/>
      <c r="J1089" s="86"/>
      <c r="K1089" s="155"/>
      <c r="L1089" s="85"/>
      <c r="M1089" s="100"/>
      <c r="N1089" s="88"/>
      <c r="O1089" s="141"/>
      <c r="P1089" s="85"/>
      <c r="Q1089" s="88"/>
      <c r="R1089" s="88"/>
      <c r="S1089" s="88"/>
      <c r="T1089" s="54"/>
      <c r="U1089" s="54"/>
      <c r="V1089" s="88"/>
    </row>
    <row r="1090" spans="1:22">
      <c r="A1090" s="34">
        <v>1088</v>
      </c>
      <c r="B1090" s="34"/>
      <c r="C1090" s="34"/>
      <c r="D1090" s="34"/>
      <c r="E1090" s="34"/>
      <c r="F1090" s="85"/>
      <c r="G1090" s="159"/>
      <c r="H1090" s="155"/>
      <c r="I1090" s="86"/>
      <c r="J1090" s="86"/>
      <c r="K1090" s="155"/>
      <c r="L1090" s="85"/>
      <c r="M1090" s="100"/>
      <c r="N1090" s="88"/>
      <c r="O1090" s="141"/>
      <c r="P1090" s="85"/>
      <c r="Q1090" s="88"/>
      <c r="R1090" s="88"/>
      <c r="S1090" s="88"/>
      <c r="T1090" s="54"/>
      <c r="U1090" s="54"/>
      <c r="V1090" s="88"/>
    </row>
    <row r="1091" spans="1:22">
      <c r="A1091" s="34">
        <v>1089</v>
      </c>
      <c r="B1091" s="34"/>
      <c r="C1091" s="34"/>
      <c r="D1091" s="34"/>
      <c r="E1091" s="34"/>
      <c r="F1091" s="85"/>
      <c r="G1091" s="159"/>
      <c r="H1091" s="155"/>
      <c r="I1091" s="86"/>
      <c r="J1091" s="86"/>
      <c r="K1091" s="155"/>
      <c r="L1091" s="85"/>
      <c r="M1091" s="100"/>
      <c r="N1091" s="88"/>
      <c r="O1091" s="141"/>
      <c r="P1091" s="85"/>
      <c r="Q1091" s="88"/>
      <c r="R1091" s="88"/>
      <c r="S1091" s="88"/>
      <c r="T1091" s="54"/>
      <c r="U1091" s="54"/>
      <c r="V1091" s="88"/>
    </row>
    <row r="1092" spans="1:22">
      <c r="A1092" s="34">
        <v>1090</v>
      </c>
      <c r="B1092" s="34"/>
      <c r="C1092" s="34"/>
      <c r="D1092" s="34"/>
      <c r="E1092" s="34"/>
      <c r="F1092" s="85"/>
      <c r="G1092" s="159"/>
      <c r="H1092" s="155"/>
      <c r="I1092" s="86"/>
      <c r="J1092" s="86"/>
      <c r="K1092" s="155"/>
      <c r="L1092" s="85"/>
      <c r="M1092" s="100"/>
      <c r="N1092" s="88"/>
      <c r="O1092" s="141"/>
      <c r="P1092" s="85"/>
      <c r="Q1092" s="88"/>
      <c r="R1092" s="88"/>
      <c r="S1092" s="88"/>
      <c r="T1092" s="54"/>
      <c r="U1092" s="54"/>
      <c r="V1092" s="88"/>
    </row>
    <row r="1093" spans="1:22">
      <c r="A1093" s="34">
        <v>1091</v>
      </c>
      <c r="B1093" s="34"/>
      <c r="C1093" s="34"/>
      <c r="D1093" s="34"/>
      <c r="E1093" s="34"/>
      <c r="F1093" s="85"/>
      <c r="G1093" s="159"/>
      <c r="H1093" s="155"/>
      <c r="I1093" s="86"/>
      <c r="J1093" s="86"/>
      <c r="K1093" s="155"/>
      <c r="L1093" s="85"/>
      <c r="M1093" s="100"/>
      <c r="N1093" s="88"/>
      <c r="O1093" s="141"/>
      <c r="P1093" s="85"/>
      <c r="Q1093" s="88"/>
      <c r="R1093" s="88"/>
      <c r="S1093" s="88"/>
      <c r="T1093" s="54"/>
      <c r="U1093" s="54"/>
      <c r="V1093" s="88"/>
    </row>
    <row r="1094" spans="1:22">
      <c r="A1094" s="34">
        <v>1092</v>
      </c>
      <c r="B1094" s="34"/>
      <c r="C1094" s="34"/>
      <c r="D1094" s="34"/>
      <c r="E1094" s="34"/>
      <c r="F1094" s="85"/>
      <c r="G1094" s="159"/>
      <c r="H1094" s="155"/>
      <c r="I1094" s="86"/>
      <c r="J1094" s="86"/>
      <c r="K1094" s="155"/>
      <c r="L1094" s="85"/>
      <c r="M1094" s="100"/>
      <c r="N1094" s="88"/>
      <c r="O1094" s="141"/>
      <c r="P1094" s="85"/>
      <c r="Q1094" s="88"/>
      <c r="R1094" s="88"/>
      <c r="S1094" s="88"/>
      <c r="T1094" s="54"/>
      <c r="U1094" s="54"/>
      <c r="V1094" s="88"/>
    </row>
    <row r="1095" spans="1:22">
      <c r="A1095" s="34">
        <v>1093</v>
      </c>
      <c r="B1095" s="34"/>
      <c r="C1095" s="34"/>
      <c r="D1095" s="34"/>
      <c r="E1095" s="34"/>
      <c r="F1095" s="85"/>
      <c r="G1095" s="159"/>
      <c r="H1095" s="155"/>
      <c r="I1095" s="86"/>
      <c r="J1095" s="86"/>
      <c r="K1095" s="155"/>
      <c r="L1095" s="85"/>
      <c r="M1095" s="100"/>
      <c r="N1095" s="88"/>
      <c r="O1095" s="141"/>
      <c r="P1095" s="85"/>
      <c r="Q1095" s="88"/>
      <c r="R1095" s="88"/>
      <c r="S1095" s="88"/>
      <c r="T1095" s="54"/>
      <c r="U1095" s="54"/>
      <c r="V1095" s="88"/>
    </row>
    <row r="1096" spans="1:22">
      <c r="A1096" s="34">
        <v>1094</v>
      </c>
      <c r="B1096" s="34"/>
      <c r="C1096" s="34"/>
      <c r="D1096" s="34"/>
      <c r="E1096" s="34"/>
      <c r="F1096" s="85"/>
      <c r="G1096" s="159"/>
      <c r="H1096" s="155"/>
      <c r="I1096" s="86"/>
      <c r="J1096" s="86"/>
      <c r="K1096" s="155"/>
      <c r="L1096" s="85"/>
      <c r="M1096" s="100"/>
      <c r="N1096" s="88"/>
      <c r="O1096" s="141"/>
      <c r="P1096" s="85"/>
      <c r="Q1096" s="88"/>
      <c r="R1096" s="88"/>
      <c r="S1096" s="88"/>
      <c r="T1096" s="54"/>
      <c r="U1096" s="54"/>
      <c r="V1096" s="88"/>
    </row>
    <row r="1097" spans="1:22">
      <c r="A1097" s="34">
        <v>1095</v>
      </c>
      <c r="B1097" s="34"/>
      <c r="C1097" s="34"/>
      <c r="D1097" s="34"/>
      <c r="E1097" s="34"/>
      <c r="F1097" s="85"/>
      <c r="G1097" s="159"/>
      <c r="H1097" s="155"/>
      <c r="I1097" s="86"/>
      <c r="J1097" s="86"/>
      <c r="K1097" s="155"/>
      <c r="L1097" s="85"/>
      <c r="M1097" s="100"/>
      <c r="N1097" s="88"/>
      <c r="O1097" s="141"/>
      <c r="P1097" s="85"/>
      <c r="Q1097" s="88"/>
      <c r="R1097" s="88"/>
      <c r="S1097" s="88"/>
      <c r="T1097" s="54"/>
      <c r="U1097" s="54"/>
      <c r="V1097" s="88"/>
    </row>
    <row r="1098" spans="1:22">
      <c r="A1098" s="34">
        <v>1096</v>
      </c>
      <c r="B1098" s="34"/>
      <c r="C1098" s="34"/>
      <c r="D1098" s="34"/>
      <c r="E1098" s="34"/>
      <c r="F1098" s="85"/>
      <c r="G1098" s="159"/>
      <c r="H1098" s="155"/>
      <c r="I1098" s="86"/>
      <c r="J1098" s="86"/>
      <c r="K1098" s="155"/>
      <c r="L1098" s="85"/>
      <c r="M1098" s="100"/>
      <c r="N1098" s="88"/>
      <c r="O1098" s="141"/>
      <c r="P1098" s="85"/>
      <c r="Q1098" s="88"/>
      <c r="R1098" s="88"/>
      <c r="S1098" s="88"/>
      <c r="T1098" s="54"/>
      <c r="U1098" s="54"/>
      <c r="V1098" s="88"/>
    </row>
    <row r="1099" spans="1:22">
      <c r="A1099" s="34">
        <v>1097</v>
      </c>
      <c r="B1099" s="34"/>
      <c r="C1099" s="34"/>
      <c r="D1099" s="34"/>
      <c r="E1099" s="34"/>
      <c r="F1099" s="85"/>
      <c r="G1099" s="159"/>
      <c r="H1099" s="155"/>
      <c r="I1099" s="86"/>
      <c r="J1099" s="86"/>
      <c r="K1099" s="155"/>
      <c r="L1099" s="85"/>
      <c r="M1099" s="100"/>
      <c r="N1099" s="88"/>
      <c r="O1099" s="141"/>
      <c r="P1099" s="85"/>
      <c r="Q1099" s="88"/>
      <c r="R1099" s="88"/>
      <c r="S1099" s="88"/>
      <c r="T1099" s="54"/>
      <c r="U1099" s="54"/>
      <c r="V1099" s="88"/>
    </row>
    <row r="1100" spans="1:22">
      <c r="A1100" s="34">
        <v>1098</v>
      </c>
      <c r="B1100" s="34"/>
      <c r="C1100" s="34"/>
      <c r="D1100" s="34"/>
      <c r="E1100" s="34"/>
      <c r="F1100" s="85"/>
      <c r="G1100" s="159"/>
      <c r="H1100" s="155"/>
      <c r="I1100" s="86"/>
      <c r="J1100" s="86"/>
      <c r="K1100" s="155"/>
      <c r="L1100" s="85"/>
      <c r="M1100" s="100"/>
      <c r="N1100" s="88"/>
      <c r="O1100" s="141"/>
      <c r="P1100" s="85"/>
      <c r="Q1100" s="88"/>
      <c r="R1100" s="88"/>
      <c r="S1100" s="88"/>
      <c r="T1100" s="54"/>
      <c r="U1100" s="54"/>
      <c r="V1100" s="88"/>
    </row>
    <row r="1101" spans="1:22">
      <c r="A1101" s="34">
        <v>1099</v>
      </c>
      <c r="B1101" s="34"/>
      <c r="C1101" s="34"/>
      <c r="D1101" s="34"/>
      <c r="E1101" s="34"/>
      <c r="F1101" s="85"/>
      <c r="G1101" s="159"/>
      <c r="H1101" s="155"/>
      <c r="I1101" s="86"/>
      <c r="J1101" s="86"/>
      <c r="K1101" s="155"/>
      <c r="L1101" s="85"/>
      <c r="M1101" s="100"/>
      <c r="N1101" s="88"/>
      <c r="O1101" s="141"/>
      <c r="P1101" s="85"/>
      <c r="Q1101" s="88"/>
      <c r="R1101" s="88"/>
      <c r="S1101" s="88"/>
      <c r="T1101" s="54"/>
      <c r="U1101" s="54"/>
      <c r="V1101" s="88"/>
    </row>
    <row r="1102" spans="1:22">
      <c r="A1102" s="34">
        <v>1100</v>
      </c>
      <c r="B1102" s="34"/>
      <c r="C1102" s="34"/>
      <c r="D1102" s="34"/>
      <c r="E1102" s="34"/>
      <c r="F1102" s="85"/>
      <c r="G1102" s="159"/>
      <c r="H1102" s="155"/>
      <c r="I1102" s="86"/>
      <c r="J1102" s="86"/>
      <c r="K1102" s="155"/>
      <c r="L1102" s="85"/>
      <c r="M1102" s="100"/>
      <c r="N1102" s="88"/>
      <c r="O1102" s="141"/>
      <c r="P1102" s="85"/>
      <c r="Q1102" s="88"/>
      <c r="R1102" s="88"/>
      <c r="S1102" s="88"/>
      <c r="T1102" s="54"/>
      <c r="U1102" s="54"/>
      <c r="V1102" s="88"/>
    </row>
    <row r="1103" spans="1:22">
      <c r="A1103" s="34">
        <v>1101</v>
      </c>
      <c r="B1103" s="34"/>
      <c r="C1103" s="34"/>
      <c r="D1103" s="34"/>
      <c r="E1103" s="34"/>
      <c r="F1103" s="85"/>
      <c r="G1103" s="159"/>
      <c r="H1103" s="155"/>
      <c r="I1103" s="86"/>
      <c r="J1103" s="86"/>
      <c r="K1103" s="155"/>
      <c r="L1103" s="85"/>
      <c r="M1103" s="100"/>
      <c r="N1103" s="88"/>
      <c r="O1103" s="141"/>
      <c r="P1103" s="85"/>
      <c r="Q1103" s="88"/>
      <c r="R1103" s="88"/>
      <c r="S1103" s="88"/>
      <c r="T1103" s="54"/>
      <c r="U1103" s="54"/>
      <c r="V1103" s="88"/>
    </row>
    <row r="1104" spans="1:22">
      <c r="A1104" s="34">
        <v>1102</v>
      </c>
      <c r="B1104" s="34"/>
      <c r="C1104" s="34"/>
      <c r="D1104" s="34"/>
      <c r="E1104" s="34"/>
      <c r="F1104" s="85"/>
      <c r="G1104" s="159"/>
      <c r="H1104" s="155"/>
      <c r="I1104" s="86"/>
      <c r="J1104" s="86"/>
      <c r="K1104" s="155"/>
      <c r="L1104" s="85"/>
      <c r="M1104" s="100"/>
      <c r="N1104" s="88"/>
      <c r="O1104" s="141"/>
      <c r="P1104" s="85"/>
      <c r="Q1104" s="88"/>
      <c r="R1104" s="88"/>
      <c r="S1104" s="88"/>
      <c r="T1104" s="54"/>
      <c r="U1104" s="54"/>
      <c r="V1104" s="88"/>
    </row>
    <row r="1105" spans="1:22">
      <c r="A1105" s="34">
        <v>1103</v>
      </c>
      <c r="B1105" s="34"/>
      <c r="C1105" s="34"/>
      <c r="D1105" s="34"/>
      <c r="E1105" s="34"/>
      <c r="F1105" s="85"/>
      <c r="G1105" s="159"/>
      <c r="H1105" s="155"/>
      <c r="I1105" s="86"/>
      <c r="J1105" s="86"/>
      <c r="K1105" s="155"/>
      <c r="L1105" s="85"/>
      <c r="M1105" s="100"/>
      <c r="N1105" s="88"/>
      <c r="O1105" s="141"/>
      <c r="P1105" s="85"/>
      <c r="Q1105" s="88"/>
      <c r="R1105" s="88"/>
      <c r="S1105" s="88"/>
      <c r="T1105" s="54"/>
      <c r="U1105" s="54"/>
      <c r="V1105" s="88"/>
    </row>
    <row r="1106" spans="1:22">
      <c r="A1106" s="34">
        <v>1104</v>
      </c>
      <c r="B1106" s="34"/>
      <c r="C1106" s="34"/>
      <c r="D1106" s="34"/>
      <c r="E1106" s="34"/>
      <c r="F1106" s="85"/>
      <c r="G1106" s="159"/>
      <c r="H1106" s="155"/>
      <c r="I1106" s="86"/>
      <c r="J1106" s="86"/>
      <c r="K1106" s="155"/>
      <c r="L1106" s="85"/>
      <c r="M1106" s="100"/>
      <c r="N1106" s="88"/>
      <c r="O1106" s="141"/>
      <c r="P1106" s="85"/>
      <c r="Q1106" s="88"/>
      <c r="R1106" s="88"/>
      <c r="S1106" s="88"/>
      <c r="T1106" s="54"/>
      <c r="U1106" s="54"/>
      <c r="V1106" s="88"/>
    </row>
    <row r="1107" spans="1:22">
      <c r="A1107" s="34">
        <v>1105</v>
      </c>
      <c r="B1107" s="34"/>
      <c r="C1107" s="34"/>
      <c r="D1107" s="34"/>
      <c r="E1107" s="34"/>
      <c r="F1107" s="85"/>
      <c r="G1107" s="159"/>
      <c r="H1107" s="155"/>
      <c r="I1107" s="86"/>
      <c r="J1107" s="86"/>
      <c r="K1107" s="155"/>
      <c r="L1107" s="85"/>
      <c r="M1107" s="100"/>
      <c r="N1107" s="88"/>
      <c r="O1107" s="141"/>
      <c r="P1107" s="85"/>
      <c r="Q1107" s="88"/>
      <c r="R1107" s="88"/>
      <c r="S1107" s="88"/>
      <c r="T1107" s="54"/>
      <c r="U1107" s="54"/>
      <c r="V1107" s="88"/>
    </row>
    <row r="1108" spans="1:22">
      <c r="A1108" s="34">
        <v>1106</v>
      </c>
      <c r="B1108" s="34"/>
      <c r="C1108" s="34"/>
      <c r="D1108" s="34"/>
      <c r="E1108" s="34"/>
      <c r="F1108" s="85"/>
      <c r="G1108" s="159"/>
      <c r="H1108" s="155"/>
      <c r="I1108" s="86"/>
      <c r="J1108" s="86"/>
      <c r="K1108" s="155"/>
      <c r="L1108" s="85"/>
      <c r="M1108" s="100"/>
      <c r="N1108" s="88"/>
      <c r="O1108" s="141"/>
      <c r="P1108" s="85"/>
      <c r="Q1108" s="88"/>
      <c r="R1108" s="88"/>
      <c r="S1108" s="88"/>
      <c r="T1108" s="54"/>
      <c r="U1108" s="54"/>
      <c r="V1108" s="88"/>
    </row>
    <row r="1109" spans="1:22">
      <c r="A1109" s="34">
        <v>1107</v>
      </c>
      <c r="B1109" s="34"/>
      <c r="C1109" s="34"/>
      <c r="D1109" s="34"/>
      <c r="E1109" s="34"/>
      <c r="F1109" s="85"/>
      <c r="G1109" s="159"/>
      <c r="H1109" s="155"/>
      <c r="I1109" s="86"/>
      <c r="J1109" s="86"/>
      <c r="K1109" s="155"/>
      <c r="L1109" s="85"/>
      <c r="M1109" s="100"/>
      <c r="N1109" s="88"/>
      <c r="O1109" s="141"/>
      <c r="P1109" s="85"/>
      <c r="Q1109" s="88"/>
      <c r="R1109" s="88"/>
      <c r="S1109" s="88"/>
      <c r="T1109" s="54"/>
      <c r="U1109" s="54"/>
      <c r="V1109" s="88"/>
    </row>
    <row r="1110" spans="1:22">
      <c r="A1110" s="34">
        <v>1108</v>
      </c>
      <c r="B1110" s="34"/>
      <c r="C1110" s="34"/>
      <c r="D1110" s="34"/>
      <c r="E1110" s="34"/>
      <c r="F1110" s="85"/>
      <c r="G1110" s="159"/>
      <c r="H1110" s="155"/>
      <c r="I1110" s="86"/>
      <c r="J1110" s="86"/>
      <c r="K1110" s="155"/>
      <c r="L1110" s="85"/>
      <c r="M1110" s="100"/>
      <c r="N1110" s="88"/>
      <c r="O1110" s="141"/>
      <c r="P1110" s="85"/>
      <c r="Q1110" s="88"/>
      <c r="R1110" s="88"/>
      <c r="S1110" s="88"/>
      <c r="T1110" s="54"/>
      <c r="U1110" s="54"/>
      <c r="V1110" s="88"/>
    </row>
    <row r="1111" spans="1:22">
      <c r="A1111" s="34">
        <v>1109</v>
      </c>
      <c r="B1111" s="34"/>
      <c r="C1111" s="34"/>
      <c r="D1111" s="34"/>
      <c r="E1111" s="34"/>
      <c r="F1111" s="85"/>
      <c r="G1111" s="159"/>
      <c r="H1111" s="155"/>
      <c r="I1111" s="86"/>
      <c r="J1111" s="86"/>
      <c r="K1111" s="155"/>
      <c r="L1111" s="85"/>
      <c r="M1111" s="100"/>
      <c r="N1111" s="88"/>
      <c r="O1111" s="141"/>
      <c r="P1111" s="85"/>
      <c r="Q1111" s="88"/>
      <c r="R1111" s="88"/>
      <c r="S1111" s="88"/>
      <c r="T1111" s="54"/>
      <c r="U1111" s="54"/>
      <c r="V1111" s="88"/>
    </row>
    <row r="1112" spans="1:22">
      <c r="A1112" s="34">
        <v>1110</v>
      </c>
      <c r="B1112" s="34"/>
      <c r="C1112" s="34"/>
      <c r="D1112" s="34"/>
      <c r="E1112" s="34"/>
      <c r="F1112" s="85"/>
      <c r="G1112" s="159"/>
      <c r="H1112" s="155"/>
      <c r="I1112" s="86"/>
      <c r="J1112" s="86"/>
      <c r="K1112" s="155"/>
      <c r="L1112" s="85"/>
      <c r="M1112" s="100"/>
      <c r="N1112" s="88"/>
      <c r="O1112" s="141"/>
      <c r="P1112" s="85"/>
      <c r="Q1112" s="88"/>
      <c r="R1112" s="88"/>
      <c r="S1112" s="88"/>
      <c r="T1112" s="54"/>
      <c r="U1112" s="54"/>
      <c r="V1112" s="88"/>
    </row>
    <row r="1113" spans="1:22">
      <c r="A1113" s="34">
        <v>1111</v>
      </c>
      <c r="B1113" s="34"/>
      <c r="C1113" s="34"/>
      <c r="D1113" s="34"/>
      <c r="E1113" s="34"/>
      <c r="F1113" s="85"/>
      <c r="G1113" s="159"/>
      <c r="H1113" s="155"/>
      <c r="I1113" s="86"/>
      <c r="J1113" s="86"/>
      <c r="K1113" s="155"/>
      <c r="L1113" s="85"/>
      <c r="M1113" s="100"/>
      <c r="N1113" s="88"/>
      <c r="O1113" s="141"/>
      <c r="P1113" s="85"/>
      <c r="Q1113" s="88"/>
      <c r="R1113" s="88"/>
      <c r="S1113" s="88"/>
      <c r="T1113" s="54"/>
      <c r="U1113" s="54"/>
      <c r="V1113" s="88"/>
    </row>
    <row r="1114" spans="1:22">
      <c r="A1114" s="34">
        <v>1112</v>
      </c>
      <c r="B1114" s="34"/>
      <c r="C1114" s="34"/>
      <c r="D1114" s="34"/>
      <c r="E1114" s="34"/>
      <c r="F1114" s="85"/>
      <c r="G1114" s="159"/>
      <c r="H1114" s="155"/>
      <c r="I1114" s="86"/>
      <c r="J1114" s="86"/>
      <c r="K1114" s="155"/>
      <c r="L1114" s="85"/>
      <c r="M1114" s="100"/>
      <c r="N1114" s="88"/>
      <c r="O1114" s="141"/>
      <c r="P1114" s="85"/>
      <c r="Q1114" s="88"/>
      <c r="R1114" s="88"/>
      <c r="S1114" s="88"/>
      <c r="T1114" s="54"/>
      <c r="U1114" s="54"/>
      <c r="V1114" s="88"/>
    </row>
    <row r="1115" spans="1:22">
      <c r="A1115" s="34">
        <v>1113</v>
      </c>
      <c r="B1115" s="34"/>
      <c r="C1115" s="34"/>
      <c r="D1115" s="34"/>
      <c r="E1115" s="34"/>
      <c r="F1115" s="85"/>
      <c r="G1115" s="159"/>
      <c r="H1115" s="155"/>
      <c r="I1115" s="86"/>
      <c r="J1115" s="86"/>
      <c r="K1115" s="155"/>
      <c r="L1115" s="85"/>
      <c r="M1115" s="100"/>
      <c r="N1115" s="88"/>
      <c r="O1115" s="141"/>
      <c r="P1115" s="85"/>
      <c r="Q1115" s="88"/>
      <c r="R1115" s="88"/>
      <c r="S1115" s="88"/>
      <c r="T1115" s="54"/>
      <c r="U1115" s="54"/>
      <c r="V1115" s="88"/>
    </row>
    <row r="1116" spans="1:22">
      <c r="A1116" s="34">
        <v>1114</v>
      </c>
      <c r="B1116" s="34"/>
      <c r="C1116" s="34"/>
      <c r="D1116" s="34"/>
      <c r="E1116" s="34"/>
      <c r="F1116" s="85"/>
      <c r="G1116" s="159"/>
      <c r="H1116" s="155"/>
      <c r="I1116" s="86"/>
      <c r="J1116" s="86"/>
      <c r="K1116" s="155"/>
      <c r="L1116" s="85"/>
      <c r="M1116" s="100"/>
      <c r="N1116" s="88"/>
      <c r="O1116" s="141"/>
      <c r="P1116" s="85"/>
      <c r="Q1116" s="88"/>
      <c r="R1116" s="88"/>
      <c r="S1116" s="88"/>
      <c r="T1116" s="54"/>
      <c r="U1116" s="54"/>
      <c r="V1116" s="88"/>
    </row>
    <row r="1117" spans="1:22">
      <c r="A1117" s="34">
        <v>1115</v>
      </c>
      <c r="B1117" s="34"/>
      <c r="C1117" s="34"/>
      <c r="D1117" s="34"/>
      <c r="E1117" s="34"/>
      <c r="F1117" s="85"/>
      <c r="G1117" s="159"/>
      <c r="H1117" s="155"/>
      <c r="I1117" s="86"/>
      <c r="J1117" s="86"/>
      <c r="K1117" s="155"/>
      <c r="L1117" s="85"/>
      <c r="M1117" s="100"/>
      <c r="N1117" s="88"/>
      <c r="O1117" s="141"/>
      <c r="P1117" s="85"/>
      <c r="Q1117" s="88"/>
      <c r="R1117" s="88"/>
      <c r="S1117" s="88"/>
      <c r="T1117" s="54"/>
      <c r="U1117" s="54"/>
      <c r="V1117" s="88"/>
    </row>
    <row r="1118" spans="1:22">
      <c r="A1118" s="34">
        <v>1116</v>
      </c>
      <c r="B1118" s="34"/>
      <c r="C1118" s="34"/>
      <c r="D1118" s="34"/>
      <c r="E1118" s="34"/>
      <c r="F1118" s="85"/>
      <c r="G1118" s="159"/>
      <c r="H1118" s="155"/>
      <c r="I1118" s="86"/>
      <c r="J1118" s="86"/>
      <c r="K1118" s="155"/>
      <c r="L1118" s="85"/>
      <c r="M1118" s="100"/>
      <c r="N1118" s="88"/>
      <c r="O1118" s="141"/>
      <c r="P1118" s="85"/>
      <c r="Q1118" s="88"/>
      <c r="R1118" s="88"/>
      <c r="S1118" s="88"/>
      <c r="T1118" s="54"/>
      <c r="U1118" s="54"/>
      <c r="V1118" s="88"/>
    </row>
    <row r="1119" spans="1:22">
      <c r="A1119" s="34">
        <v>1117</v>
      </c>
      <c r="B1119" s="34"/>
      <c r="C1119" s="34"/>
      <c r="D1119" s="34"/>
      <c r="E1119" s="34"/>
      <c r="F1119" s="85"/>
      <c r="G1119" s="159"/>
      <c r="H1119" s="155"/>
      <c r="I1119" s="86"/>
      <c r="J1119" s="86"/>
      <c r="K1119" s="155"/>
      <c r="L1119" s="85"/>
      <c r="M1119" s="100"/>
      <c r="N1119" s="88"/>
      <c r="O1119" s="141"/>
      <c r="P1119" s="85"/>
      <c r="Q1119" s="88"/>
      <c r="R1119" s="88"/>
      <c r="S1119" s="88"/>
      <c r="T1119" s="54"/>
      <c r="U1119" s="54"/>
      <c r="V1119" s="88"/>
    </row>
    <row r="1120" spans="1:22">
      <c r="A1120" s="34">
        <v>1118</v>
      </c>
      <c r="B1120" s="34"/>
      <c r="C1120" s="34"/>
      <c r="D1120" s="34"/>
      <c r="E1120" s="34"/>
      <c r="F1120" s="85"/>
      <c r="G1120" s="159"/>
      <c r="H1120" s="155"/>
      <c r="I1120" s="86"/>
      <c r="J1120" s="86"/>
      <c r="K1120" s="155"/>
      <c r="L1120" s="85"/>
      <c r="M1120" s="100"/>
      <c r="N1120" s="88"/>
      <c r="O1120" s="141"/>
      <c r="P1120" s="85"/>
      <c r="Q1120" s="88"/>
      <c r="R1120" s="88"/>
      <c r="S1120" s="88"/>
      <c r="T1120" s="54"/>
      <c r="U1120" s="54"/>
      <c r="V1120" s="88"/>
    </row>
    <row r="1121" spans="1:22">
      <c r="A1121" s="34">
        <v>1119</v>
      </c>
      <c r="B1121" s="34"/>
      <c r="C1121" s="34"/>
      <c r="D1121" s="34"/>
      <c r="E1121" s="34"/>
      <c r="F1121" s="85"/>
      <c r="G1121" s="159"/>
      <c r="H1121" s="155"/>
      <c r="I1121" s="86"/>
      <c r="J1121" s="86"/>
      <c r="K1121" s="155"/>
      <c r="L1121" s="85"/>
      <c r="M1121" s="100"/>
      <c r="N1121" s="88"/>
      <c r="O1121" s="141"/>
      <c r="P1121" s="85"/>
      <c r="Q1121" s="88"/>
      <c r="R1121" s="88"/>
      <c r="S1121" s="88"/>
      <c r="T1121" s="54"/>
      <c r="U1121" s="54"/>
      <c r="V1121" s="88"/>
    </row>
    <row r="1122" spans="1:22">
      <c r="A1122" s="34">
        <v>1120</v>
      </c>
      <c r="B1122" s="34"/>
      <c r="C1122" s="34"/>
      <c r="D1122" s="34"/>
      <c r="E1122" s="34"/>
      <c r="F1122" s="85"/>
      <c r="G1122" s="159"/>
      <c r="H1122" s="155"/>
      <c r="I1122" s="86"/>
      <c r="J1122" s="86"/>
      <c r="K1122" s="155"/>
      <c r="L1122" s="85"/>
      <c r="M1122" s="100"/>
      <c r="N1122" s="88"/>
      <c r="O1122" s="141"/>
      <c r="P1122" s="85"/>
      <c r="Q1122" s="88"/>
      <c r="R1122" s="88"/>
      <c r="S1122" s="88"/>
      <c r="T1122" s="54"/>
      <c r="U1122" s="54"/>
      <c r="V1122" s="88"/>
    </row>
    <row r="1123" spans="1:22">
      <c r="A1123" s="34">
        <v>1121</v>
      </c>
      <c r="B1123" s="34"/>
      <c r="C1123" s="34"/>
      <c r="D1123" s="34"/>
      <c r="E1123" s="34"/>
      <c r="F1123" s="85"/>
      <c r="G1123" s="159"/>
      <c r="H1123" s="155"/>
      <c r="I1123" s="86"/>
      <c r="J1123" s="86"/>
      <c r="K1123" s="155"/>
      <c r="L1123" s="85"/>
      <c r="M1123" s="100"/>
      <c r="N1123" s="88"/>
      <c r="O1123" s="141"/>
      <c r="P1123" s="85"/>
      <c r="Q1123" s="88"/>
      <c r="R1123" s="88"/>
      <c r="S1123" s="88"/>
      <c r="T1123" s="54"/>
      <c r="U1123" s="54"/>
      <c r="V1123" s="88"/>
    </row>
    <row r="1124" spans="1:22">
      <c r="A1124" s="34">
        <v>1122</v>
      </c>
      <c r="B1124" s="34"/>
      <c r="C1124" s="34"/>
      <c r="D1124" s="34"/>
      <c r="E1124" s="34"/>
      <c r="F1124" s="85"/>
      <c r="G1124" s="159"/>
      <c r="H1124" s="155"/>
      <c r="I1124" s="86"/>
      <c r="J1124" s="86"/>
      <c r="K1124" s="155"/>
      <c r="L1124" s="85"/>
      <c r="M1124" s="100"/>
      <c r="N1124" s="88"/>
      <c r="O1124" s="141"/>
      <c r="P1124" s="85"/>
      <c r="Q1124" s="88"/>
      <c r="R1124" s="88"/>
      <c r="S1124" s="88"/>
      <c r="T1124" s="54"/>
      <c r="U1124" s="54"/>
      <c r="V1124" s="88"/>
    </row>
    <row r="1125" spans="1:22">
      <c r="A1125" s="34">
        <v>1123</v>
      </c>
      <c r="B1125" s="34"/>
      <c r="C1125" s="34"/>
      <c r="D1125" s="34"/>
      <c r="E1125" s="34"/>
      <c r="F1125" s="85"/>
      <c r="G1125" s="159"/>
      <c r="H1125" s="155"/>
      <c r="I1125" s="86"/>
      <c r="J1125" s="86"/>
      <c r="K1125" s="155"/>
      <c r="L1125" s="85"/>
      <c r="M1125" s="100"/>
      <c r="N1125" s="88"/>
      <c r="O1125" s="141"/>
      <c r="P1125" s="85"/>
      <c r="Q1125" s="88"/>
      <c r="R1125" s="88"/>
      <c r="S1125" s="88"/>
      <c r="T1125" s="54"/>
      <c r="U1125" s="54"/>
      <c r="V1125" s="88"/>
    </row>
    <row r="1126" spans="1:22">
      <c r="A1126" s="34">
        <v>1124</v>
      </c>
      <c r="B1126" s="34"/>
      <c r="C1126" s="34"/>
      <c r="D1126" s="34"/>
      <c r="E1126" s="34"/>
      <c r="F1126" s="85"/>
      <c r="G1126" s="159"/>
      <c r="H1126" s="155"/>
      <c r="I1126" s="86"/>
      <c r="J1126" s="86"/>
      <c r="K1126" s="155"/>
      <c r="L1126" s="85"/>
      <c r="M1126" s="100"/>
      <c r="N1126" s="88"/>
      <c r="O1126" s="141"/>
      <c r="P1126" s="85"/>
      <c r="Q1126" s="88"/>
      <c r="R1126" s="88"/>
      <c r="S1126" s="88"/>
      <c r="T1126" s="54"/>
      <c r="U1126" s="54"/>
      <c r="V1126" s="88"/>
    </row>
    <row r="1127" spans="1:22">
      <c r="A1127" s="34">
        <v>1125</v>
      </c>
      <c r="B1127" s="34"/>
      <c r="C1127" s="34"/>
      <c r="D1127" s="34"/>
      <c r="E1127" s="34"/>
      <c r="F1127" s="85"/>
      <c r="G1127" s="159"/>
      <c r="H1127" s="155"/>
      <c r="I1127" s="86"/>
      <c r="J1127" s="86"/>
      <c r="K1127" s="155"/>
      <c r="L1127" s="85"/>
      <c r="M1127" s="100"/>
      <c r="N1127" s="88"/>
      <c r="O1127" s="141"/>
      <c r="P1127" s="85"/>
      <c r="Q1127" s="88"/>
      <c r="R1127" s="88"/>
      <c r="S1127" s="88"/>
      <c r="T1127" s="54"/>
      <c r="U1127" s="54"/>
      <c r="V1127" s="88"/>
    </row>
    <row r="1128" spans="1:22">
      <c r="A1128" s="34">
        <v>1126</v>
      </c>
      <c r="B1128" s="34"/>
      <c r="C1128" s="34"/>
      <c r="D1128" s="34"/>
      <c r="E1128" s="34"/>
      <c r="F1128" s="85"/>
      <c r="G1128" s="159"/>
      <c r="H1128" s="155"/>
      <c r="I1128" s="86"/>
      <c r="J1128" s="86"/>
      <c r="K1128" s="155"/>
      <c r="L1128" s="85"/>
      <c r="M1128" s="100"/>
      <c r="N1128" s="88"/>
      <c r="O1128" s="141"/>
      <c r="P1128" s="85"/>
      <c r="Q1128" s="88"/>
      <c r="R1128" s="88"/>
      <c r="S1128" s="88"/>
      <c r="T1128" s="54"/>
      <c r="U1128" s="54"/>
      <c r="V1128" s="88"/>
    </row>
    <row r="1129" spans="1:22">
      <c r="A1129" s="34">
        <v>1127</v>
      </c>
      <c r="B1129" s="34"/>
      <c r="C1129" s="34"/>
      <c r="D1129" s="34"/>
      <c r="E1129" s="34"/>
      <c r="F1129" s="85"/>
      <c r="G1129" s="159"/>
      <c r="H1129" s="155"/>
      <c r="I1129" s="86"/>
      <c r="J1129" s="86"/>
      <c r="K1129" s="155"/>
      <c r="L1129" s="85"/>
      <c r="M1129" s="100"/>
      <c r="N1129" s="88"/>
      <c r="O1129" s="141"/>
      <c r="P1129" s="85"/>
      <c r="Q1129" s="88"/>
      <c r="R1129" s="88"/>
      <c r="S1129" s="88"/>
      <c r="T1129" s="54"/>
      <c r="U1129" s="54"/>
      <c r="V1129" s="88"/>
    </row>
    <row r="1130" spans="1:22">
      <c r="A1130" s="34">
        <v>1128</v>
      </c>
      <c r="B1130" s="34"/>
      <c r="C1130" s="34"/>
      <c r="D1130" s="34"/>
      <c r="E1130" s="34"/>
      <c r="F1130" s="85"/>
      <c r="G1130" s="159"/>
      <c r="H1130" s="155"/>
      <c r="I1130" s="86"/>
      <c r="J1130" s="86"/>
      <c r="K1130" s="155"/>
      <c r="L1130" s="85"/>
      <c r="M1130" s="100"/>
      <c r="N1130" s="88"/>
      <c r="O1130" s="141"/>
      <c r="P1130" s="85"/>
      <c r="Q1130" s="88"/>
      <c r="R1130" s="88"/>
      <c r="S1130" s="88"/>
      <c r="T1130" s="54"/>
      <c r="U1130" s="54"/>
      <c r="V1130" s="88"/>
    </row>
    <row r="1131" spans="1:22">
      <c r="A1131" s="34">
        <v>1129</v>
      </c>
      <c r="B1131" s="34"/>
      <c r="C1131" s="34"/>
      <c r="D1131" s="34"/>
      <c r="E1131" s="34"/>
      <c r="F1131" s="85"/>
      <c r="G1131" s="159"/>
      <c r="H1131" s="155"/>
      <c r="I1131" s="86"/>
      <c r="J1131" s="86"/>
      <c r="K1131" s="155"/>
      <c r="L1131" s="85"/>
      <c r="M1131" s="100"/>
      <c r="N1131" s="88"/>
      <c r="O1131" s="141"/>
      <c r="P1131" s="85"/>
      <c r="Q1131" s="88"/>
      <c r="R1131" s="88"/>
      <c r="S1131" s="88"/>
      <c r="T1131" s="54"/>
      <c r="U1131" s="54"/>
      <c r="V1131" s="88"/>
    </row>
    <row r="1132" spans="1:22">
      <c r="A1132" s="34">
        <v>1130</v>
      </c>
      <c r="B1132" s="34"/>
      <c r="C1132" s="34"/>
      <c r="D1132" s="34"/>
      <c r="E1132" s="34"/>
      <c r="F1132" s="85"/>
      <c r="G1132" s="159"/>
      <c r="H1132" s="155"/>
      <c r="I1132" s="86"/>
      <c r="J1132" s="86"/>
      <c r="K1132" s="155"/>
      <c r="L1132" s="85"/>
      <c r="M1132" s="100"/>
      <c r="N1132" s="88"/>
      <c r="O1132" s="141"/>
      <c r="P1132" s="85"/>
      <c r="Q1132" s="88"/>
      <c r="R1132" s="88"/>
      <c r="S1132" s="88"/>
      <c r="T1132" s="54"/>
      <c r="U1132" s="54"/>
      <c r="V1132" s="88"/>
    </row>
    <row r="1133" spans="1:22">
      <c r="A1133" s="34">
        <v>1131</v>
      </c>
      <c r="B1133" s="34"/>
      <c r="C1133" s="34"/>
      <c r="D1133" s="34"/>
      <c r="E1133" s="34"/>
      <c r="F1133" s="85"/>
      <c r="G1133" s="159"/>
      <c r="H1133" s="155"/>
      <c r="I1133" s="86"/>
      <c r="J1133" s="86"/>
      <c r="K1133" s="155"/>
      <c r="L1133" s="85"/>
      <c r="M1133" s="100"/>
      <c r="N1133" s="88"/>
      <c r="O1133" s="141"/>
      <c r="P1133" s="85"/>
      <c r="Q1133" s="88"/>
      <c r="R1133" s="88"/>
      <c r="S1133" s="88"/>
      <c r="T1133" s="54"/>
      <c r="U1133" s="54"/>
      <c r="V1133" s="88"/>
    </row>
    <row r="1134" spans="1:22">
      <c r="A1134" s="34">
        <v>1132</v>
      </c>
      <c r="B1134" s="34"/>
      <c r="C1134" s="34"/>
      <c r="D1134" s="34"/>
      <c r="E1134" s="34"/>
      <c r="F1134" s="85"/>
      <c r="G1134" s="159"/>
      <c r="H1134" s="155"/>
      <c r="I1134" s="86"/>
      <c r="J1134" s="86"/>
      <c r="K1134" s="155"/>
      <c r="L1134" s="85"/>
      <c r="M1134" s="100"/>
      <c r="N1134" s="88"/>
      <c r="O1134" s="141"/>
      <c r="P1134" s="85"/>
      <c r="Q1134" s="88"/>
      <c r="R1134" s="88"/>
      <c r="S1134" s="88"/>
      <c r="T1134" s="54"/>
      <c r="U1134" s="54"/>
      <c r="V1134" s="88"/>
    </row>
    <row r="1135" spans="1:22">
      <c r="A1135" s="34">
        <v>1133</v>
      </c>
      <c r="B1135" s="34"/>
      <c r="C1135" s="34"/>
      <c r="D1135" s="34"/>
      <c r="E1135" s="34"/>
      <c r="F1135" s="85"/>
      <c r="G1135" s="159"/>
      <c r="H1135" s="155"/>
      <c r="I1135" s="86"/>
      <c r="J1135" s="86"/>
      <c r="K1135" s="155"/>
      <c r="L1135" s="85"/>
      <c r="M1135" s="100"/>
      <c r="N1135" s="88"/>
      <c r="O1135" s="141"/>
      <c r="P1135" s="85"/>
      <c r="Q1135" s="88"/>
      <c r="R1135" s="88"/>
      <c r="S1135" s="88"/>
      <c r="T1135" s="54"/>
      <c r="U1135" s="54"/>
      <c r="V1135" s="88"/>
    </row>
    <row r="1136" spans="1:22">
      <c r="A1136" s="34">
        <v>1134</v>
      </c>
      <c r="B1136" s="34"/>
      <c r="C1136" s="34"/>
      <c r="D1136" s="34"/>
      <c r="E1136" s="34"/>
      <c r="F1136" s="85"/>
      <c r="G1136" s="159"/>
      <c r="H1136" s="155"/>
      <c r="I1136" s="86"/>
      <c r="J1136" s="86"/>
      <c r="K1136" s="155"/>
      <c r="L1136" s="85"/>
      <c r="M1136" s="100"/>
      <c r="N1136" s="88"/>
      <c r="O1136" s="141"/>
      <c r="P1136" s="85"/>
      <c r="Q1136" s="88"/>
      <c r="R1136" s="88"/>
      <c r="S1136" s="88"/>
      <c r="T1136" s="54"/>
      <c r="U1136" s="54"/>
      <c r="V1136" s="88"/>
    </row>
    <row r="1137" spans="1:22">
      <c r="A1137" s="34">
        <v>1135</v>
      </c>
      <c r="B1137" s="34"/>
      <c r="C1137" s="34"/>
      <c r="D1137" s="34"/>
      <c r="E1137" s="34"/>
      <c r="F1137" s="85"/>
      <c r="G1137" s="159"/>
      <c r="H1137" s="155"/>
      <c r="I1137" s="86"/>
      <c r="J1137" s="86"/>
      <c r="K1137" s="155"/>
      <c r="L1137" s="85"/>
      <c r="M1137" s="100"/>
      <c r="N1137" s="88"/>
      <c r="O1137" s="141"/>
      <c r="P1137" s="85"/>
      <c r="Q1137" s="88"/>
      <c r="R1137" s="88"/>
      <c r="S1137" s="88"/>
      <c r="T1137" s="54"/>
      <c r="U1137" s="54"/>
      <c r="V1137" s="88"/>
    </row>
    <row r="1138" spans="1:22">
      <c r="A1138" s="34">
        <v>1136</v>
      </c>
      <c r="B1138" s="34"/>
      <c r="C1138" s="34"/>
      <c r="D1138" s="34"/>
      <c r="E1138" s="34"/>
      <c r="F1138" s="85"/>
      <c r="G1138" s="159"/>
      <c r="H1138" s="155"/>
      <c r="I1138" s="86"/>
      <c r="J1138" s="86"/>
      <c r="K1138" s="155"/>
      <c r="L1138" s="85"/>
      <c r="M1138" s="100"/>
      <c r="N1138" s="88"/>
      <c r="O1138" s="141"/>
      <c r="P1138" s="85"/>
      <c r="Q1138" s="88"/>
      <c r="R1138" s="88"/>
      <c r="S1138" s="88"/>
      <c r="T1138" s="54"/>
      <c r="U1138" s="54"/>
      <c r="V1138" s="88"/>
    </row>
    <row r="1139" spans="1:22">
      <c r="A1139" s="34">
        <v>1137</v>
      </c>
      <c r="B1139" s="34"/>
      <c r="C1139" s="34"/>
      <c r="D1139" s="34"/>
      <c r="E1139" s="34"/>
      <c r="F1139" s="85"/>
      <c r="G1139" s="159"/>
      <c r="H1139" s="155"/>
      <c r="I1139" s="86"/>
      <c r="J1139" s="86"/>
      <c r="K1139" s="155"/>
      <c r="L1139" s="85"/>
      <c r="M1139" s="100"/>
      <c r="N1139" s="88"/>
      <c r="O1139" s="141"/>
      <c r="P1139" s="85"/>
      <c r="Q1139" s="88"/>
      <c r="R1139" s="88"/>
      <c r="S1139" s="88"/>
      <c r="T1139" s="54"/>
      <c r="U1139" s="54"/>
      <c r="V1139" s="88"/>
    </row>
    <row r="1140" spans="1:22">
      <c r="A1140" s="34">
        <v>1138</v>
      </c>
      <c r="B1140" s="34"/>
      <c r="C1140" s="34"/>
      <c r="D1140" s="34"/>
      <c r="E1140" s="34"/>
      <c r="F1140" s="85"/>
      <c r="G1140" s="159"/>
      <c r="H1140" s="155"/>
      <c r="I1140" s="86"/>
      <c r="J1140" s="86"/>
      <c r="K1140" s="155"/>
      <c r="L1140" s="85"/>
      <c r="M1140" s="100"/>
      <c r="N1140" s="88"/>
      <c r="O1140" s="141"/>
      <c r="P1140" s="85"/>
      <c r="Q1140" s="88"/>
      <c r="R1140" s="88"/>
      <c r="S1140" s="88"/>
      <c r="T1140" s="54"/>
      <c r="U1140" s="54"/>
      <c r="V1140" s="88"/>
    </row>
    <row r="1141" spans="1:22">
      <c r="A1141" s="34">
        <v>1139</v>
      </c>
      <c r="B1141" s="34"/>
      <c r="C1141" s="34"/>
      <c r="D1141" s="34"/>
      <c r="E1141" s="34"/>
      <c r="F1141" s="85"/>
      <c r="G1141" s="159"/>
      <c r="H1141" s="155"/>
      <c r="I1141" s="86"/>
      <c r="J1141" s="86"/>
      <c r="K1141" s="155"/>
      <c r="L1141" s="85"/>
      <c r="M1141" s="100"/>
      <c r="N1141" s="88"/>
      <c r="O1141" s="141"/>
      <c r="P1141" s="85"/>
      <c r="Q1141" s="88"/>
      <c r="R1141" s="88"/>
      <c r="S1141" s="88"/>
      <c r="T1141" s="54"/>
      <c r="U1141" s="54"/>
      <c r="V1141" s="88"/>
    </row>
    <row r="1142" spans="1:22">
      <c r="A1142" s="34">
        <v>1140</v>
      </c>
      <c r="B1142" s="34"/>
      <c r="C1142" s="34"/>
      <c r="D1142" s="34"/>
      <c r="E1142" s="34"/>
      <c r="F1142" s="85"/>
      <c r="G1142" s="159"/>
      <c r="H1142" s="155"/>
      <c r="I1142" s="86"/>
      <c r="J1142" s="86"/>
      <c r="K1142" s="155"/>
      <c r="L1142" s="85"/>
      <c r="M1142" s="100"/>
      <c r="N1142" s="88"/>
      <c r="O1142" s="141"/>
      <c r="P1142" s="85"/>
      <c r="Q1142" s="88"/>
      <c r="R1142" s="88"/>
      <c r="S1142" s="88"/>
      <c r="T1142" s="54"/>
      <c r="U1142" s="54"/>
      <c r="V1142" s="88"/>
    </row>
    <row r="1143" spans="1:22">
      <c r="A1143" s="34">
        <v>1141</v>
      </c>
      <c r="B1143" s="34"/>
      <c r="C1143" s="34"/>
      <c r="D1143" s="34"/>
      <c r="E1143" s="34"/>
      <c r="F1143" s="85"/>
      <c r="G1143" s="159"/>
      <c r="H1143" s="155"/>
      <c r="I1143" s="86"/>
      <c r="J1143" s="86"/>
      <c r="K1143" s="155"/>
      <c r="L1143" s="85"/>
      <c r="M1143" s="100"/>
      <c r="N1143" s="88"/>
      <c r="O1143" s="141"/>
      <c r="P1143" s="85"/>
      <c r="Q1143" s="88"/>
      <c r="R1143" s="88"/>
      <c r="S1143" s="88"/>
      <c r="T1143" s="54"/>
      <c r="U1143" s="54"/>
      <c r="V1143" s="88"/>
    </row>
    <row r="1144" spans="1:22">
      <c r="A1144" s="34">
        <v>1142</v>
      </c>
      <c r="B1144" s="34"/>
      <c r="C1144" s="34"/>
      <c r="D1144" s="34"/>
      <c r="E1144" s="34"/>
      <c r="F1144" s="85"/>
      <c r="G1144" s="159"/>
      <c r="H1144" s="155"/>
      <c r="I1144" s="86"/>
      <c r="J1144" s="86"/>
      <c r="K1144" s="155"/>
      <c r="L1144" s="85"/>
      <c r="M1144" s="100"/>
      <c r="N1144" s="88"/>
      <c r="O1144" s="141"/>
      <c r="P1144" s="85"/>
      <c r="Q1144" s="88"/>
      <c r="R1144" s="88"/>
      <c r="S1144" s="88"/>
      <c r="T1144" s="54"/>
      <c r="U1144" s="54"/>
      <c r="V1144" s="88"/>
    </row>
    <row r="1145" spans="1:22">
      <c r="A1145" s="34">
        <v>1143</v>
      </c>
      <c r="B1145" s="34"/>
      <c r="C1145" s="34"/>
      <c r="D1145" s="34"/>
      <c r="E1145" s="34"/>
      <c r="F1145" s="85"/>
      <c r="G1145" s="159"/>
      <c r="H1145" s="155"/>
      <c r="I1145" s="86"/>
      <c r="J1145" s="86"/>
      <c r="K1145" s="155"/>
      <c r="L1145" s="85"/>
      <c r="M1145" s="100"/>
      <c r="N1145" s="88"/>
      <c r="O1145" s="141"/>
      <c r="P1145" s="85"/>
      <c r="Q1145" s="88"/>
      <c r="R1145" s="88"/>
      <c r="S1145" s="88"/>
      <c r="T1145" s="54"/>
      <c r="U1145" s="54"/>
      <c r="V1145" s="88"/>
    </row>
    <row r="1146" spans="1:22">
      <c r="A1146" s="34">
        <v>1144</v>
      </c>
      <c r="B1146" s="34"/>
      <c r="C1146" s="34"/>
      <c r="D1146" s="34"/>
      <c r="E1146" s="34"/>
      <c r="F1146" s="85"/>
      <c r="G1146" s="159"/>
      <c r="H1146" s="155"/>
      <c r="I1146" s="86"/>
      <c r="J1146" s="86"/>
      <c r="K1146" s="155"/>
      <c r="L1146" s="85"/>
      <c r="M1146" s="100"/>
      <c r="N1146" s="88"/>
      <c r="O1146" s="141"/>
      <c r="P1146" s="85"/>
      <c r="Q1146" s="88"/>
      <c r="R1146" s="88"/>
      <c r="S1146" s="88"/>
      <c r="T1146" s="54"/>
      <c r="U1146" s="54"/>
      <c r="V1146" s="88"/>
    </row>
    <row r="1147" spans="1:22">
      <c r="A1147" s="34">
        <v>1145</v>
      </c>
      <c r="B1147" s="34"/>
      <c r="C1147" s="34"/>
      <c r="D1147" s="34"/>
      <c r="E1147" s="34"/>
      <c r="F1147" s="85"/>
      <c r="G1147" s="159"/>
      <c r="H1147" s="155"/>
      <c r="I1147" s="86"/>
      <c r="J1147" s="86"/>
      <c r="K1147" s="155"/>
      <c r="L1147" s="85"/>
      <c r="M1147" s="100"/>
      <c r="N1147" s="88"/>
      <c r="O1147" s="141"/>
      <c r="P1147" s="85"/>
      <c r="Q1147" s="88"/>
      <c r="R1147" s="88"/>
      <c r="S1147" s="88"/>
      <c r="T1147" s="54"/>
      <c r="U1147" s="54"/>
      <c r="V1147" s="88"/>
    </row>
    <row r="1148" spans="1:22">
      <c r="A1148" s="34">
        <v>1146</v>
      </c>
      <c r="B1148" s="34"/>
      <c r="C1148" s="34"/>
      <c r="D1148" s="34"/>
      <c r="E1148" s="34"/>
      <c r="F1148" s="85"/>
      <c r="G1148" s="159"/>
      <c r="H1148" s="155"/>
      <c r="I1148" s="86"/>
      <c r="J1148" s="86"/>
      <c r="K1148" s="155"/>
      <c r="L1148" s="85"/>
      <c r="M1148" s="100"/>
      <c r="N1148" s="88"/>
      <c r="O1148" s="141"/>
      <c r="P1148" s="85"/>
      <c r="Q1148" s="88"/>
      <c r="R1148" s="88"/>
      <c r="S1148" s="88"/>
      <c r="T1148" s="54"/>
      <c r="U1148" s="54"/>
      <c r="V1148" s="88"/>
    </row>
    <row r="1149" spans="1:22">
      <c r="A1149" s="34">
        <v>1147</v>
      </c>
      <c r="B1149" s="34"/>
      <c r="C1149" s="34"/>
      <c r="D1149" s="34"/>
      <c r="E1149" s="34"/>
      <c r="F1149" s="85"/>
      <c r="G1149" s="159"/>
      <c r="H1149" s="155"/>
      <c r="I1149" s="86"/>
      <c r="J1149" s="86"/>
      <c r="K1149" s="155"/>
      <c r="L1149" s="85"/>
      <c r="M1149" s="100"/>
      <c r="N1149" s="88"/>
      <c r="O1149" s="141"/>
      <c r="P1149" s="85"/>
      <c r="Q1149" s="88"/>
      <c r="R1149" s="88"/>
      <c r="S1149" s="88"/>
      <c r="T1149" s="54"/>
      <c r="U1149" s="54"/>
      <c r="V1149" s="88"/>
    </row>
    <row r="1150" spans="1:22">
      <c r="A1150" s="34">
        <v>1148</v>
      </c>
      <c r="B1150" s="34"/>
      <c r="C1150" s="34"/>
      <c r="D1150" s="34"/>
      <c r="E1150" s="34"/>
      <c r="F1150" s="85"/>
      <c r="G1150" s="159"/>
      <c r="H1150" s="155"/>
      <c r="I1150" s="86"/>
      <c r="J1150" s="86"/>
      <c r="K1150" s="155"/>
      <c r="L1150" s="85"/>
      <c r="M1150" s="100"/>
      <c r="N1150" s="88"/>
      <c r="O1150" s="141"/>
      <c r="P1150" s="85"/>
      <c r="Q1150" s="88"/>
      <c r="R1150" s="88"/>
      <c r="S1150" s="88"/>
      <c r="T1150" s="54"/>
      <c r="U1150" s="54"/>
      <c r="V1150" s="88"/>
    </row>
    <row r="1151" spans="1:22">
      <c r="A1151" s="34">
        <v>1149</v>
      </c>
      <c r="B1151" s="34"/>
      <c r="C1151" s="34"/>
      <c r="D1151" s="34"/>
      <c r="E1151" s="34"/>
      <c r="F1151" s="85"/>
      <c r="G1151" s="159"/>
      <c r="H1151" s="155"/>
      <c r="I1151" s="86"/>
      <c r="J1151" s="86"/>
      <c r="K1151" s="155"/>
      <c r="L1151" s="85"/>
      <c r="M1151" s="100"/>
      <c r="N1151" s="88"/>
      <c r="O1151" s="141"/>
      <c r="P1151" s="85"/>
      <c r="Q1151" s="88"/>
      <c r="R1151" s="88"/>
      <c r="S1151" s="88"/>
      <c r="T1151" s="54"/>
      <c r="U1151" s="54"/>
      <c r="V1151" s="88"/>
    </row>
    <row r="1152" spans="1:22">
      <c r="A1152" s="34">
        <v>1150</v>
      </c>
      <c r="B1152" s="34"/>
      <c r="C1152" s="34"/>
      <c r="D1152" s="34"/>
      <c r="E1152" s="34"/>
      <c r="F1152" s="85"/>
      <c r="G1152" s="159"/>
      <c r="H1152" s="155"/>
      <c r="I1152" s="86"/>
      <c r="J1152" s="86"/>
      <c r="K1152" s="155"/>
      <c r="L1152" s="85"/>
      <c r="M1152" s="100"/>
      <c r="N1152" s="88"/>
      <c r="O1152" s="141"/>
      <c r="P1152" s="85"/>
      <c r="Q1152" s="88"/>
      <c r="R1152" s="88"/>
      <c r="S1152" s="88"/>
      <c r="T1152" s="54"/>
      <c r="U1152" s="54"/>
      <c r="V1152" s="88"/>
    </row>
    <row r="1153" spans="1:22">
      <c r="A1153" s="34">
        <v>1151</v>
      </c>
      <c r="B1153" s="34"/>
      <c r="C1153" s="34"/>
      <c r="D1153" s="34"/>
      <c r="E1153" s="34"/>
      <c r="F1153" s="85"/>
      <c r="G1153" s="159"/>
      <c r="H1153" s="155"/>
      <c r="I1153" s="86"/>
      <c r="J1153" s="86"/>
      <c r="K1153" s="155"/>
      <c r="L1153" s="85"/>
      <c r="M1153" s="100"/>
      <c r="N1153" s="88"/>
      <c r="O1153" s="141"/>
      <c r="P1153" s="85"/>
      <c r="Q1153" s="88"/>
      <c r="R1153" s="88"/>
      <c r="S1153" s="88"/>
      <c r="T1153" s="54"/>
      <c r="U1153" s="54"/>
      <c r="V1153" s="88"/>
    </row>
    <row r="1154" spans="1:22">
      <c r="A1154" s="34">
        <v>1152</v>
      </c>
      <c r="B1154" s="34"/>
      <c r="C1154" s="34"/>
      <c r="D1154" s="34"/>
      <c r="E1154" s="34"/>
      <c r="F1154" s="85"/>
      <c r="G1154" s="159"/>
      <c r="H1154" s="155"/>
      <c r="I1154" s="86"/>
      <c r="J1154" s="86"/>
      <c r="K1154" s="155"/>
      <c r="L1154" s="85"/>
      <c r="M1154" s="100"/>
      <c r="N1154" s="88"/>
      <c r="O1154" s="141"/>
      <c r="P1154" s="85"/>
      <c r="Q1154" s="88"/>
      <c r="R1154" s="88"/>
      <c r="S1154" s="88"/>
      <c r="T1154" s="54"/>
      <c r="U1154" s="54"/>
      <c r="V1154" s="88"/>
    </row>
    <row r="1155" spans="1:22">
      <c r="A1155" s="34">
        <v>1153</v>
      </c>
      <c r="B1155" s="34"/>
      <c r="C1155" s="34"/>
      <c r="D1155" s="34"/>
      <c r="E1155" s="34"/>
      <c r="F1155" s="85"/>
      <c r="G1155" s="159"/>
      <c r="H1155" s="155"/>
      <c r="I1155" s="86"/>
      <c r="J1155" s="86"/>
      <c r="K1155" s="155"/>
      <c r="L1155" s="85"/>
      <c r="M1155" s="100"/>
      <c r="N1155" s="88"/>
      <c r="O1155" s="141"/>
      <c r="P1155" s="85"/>
      <c r="Q1155" s="88"/>
      <c r="R1155" s="88"/>
      <c r="S1155" s="88"/>
      <c r="T1155" s="54"/>
      <c r="U1155" s="54"/>
      <c r="V1155" s="88"/>
    </row>
    <row r="1156" spans="1:22">
      <c r="A1156" s="34">
        <v>1154</v>
      </c>
      <c r="B1156" s="34"/>
      <c r="C1156" s="34"/>
      <c r="D1156" s="34"/>
      <c r="E1156" s="34"/>
      <c r="F1156" s="85"/>
      <c r="G1156" s="159"/>
      <c r="H1156" s="155"/>
      <c r="I1156" s="86"/>
      <c r="J1156" s="86"/>
      <c r="K1156" s="155"/>
      <c r="L1156" s="85"/>
      <c r="M1156" s="100"/>
      <c r="N1156" s="88"/>
      <c r="O1156" s="141"/>
      <c r="P1156" s="85"/>
      <c r="Q1156" s="88"/>
      <c r="R1156" s="88"/>
      <c r="S1156" s="88"/>
      <c r="T1156" s="54"/>
      <c r="U1156" s="54"/>
      <c r="V1156" s="88"/>
    </row>
    <row r="1157" spans="1:22">
      <c r="A1157" s="34">
        <v>1155</v>
      </c>
      <c r="B1157" s="34"/>
      <c r="C1157" s="34"/>
      <c r="D1157" s="34"/>
      <c r="E1157" s="34"/>
      <c r="F1157" s="85"/>
      <c r="G1157" s="159"/>
      <c r="H1157" s="155"/>
      <c r="I1157" s="86"/>
      <c r="J1157" s="86"/>
      <c r="K1157" s="155"/>
      <c r="L1157" s="85"/>
      <c r="M1157" s="100"/>
      <c r="N1157" s="88"/>
      <c r="O1157" s="141"/>
      <c r="P1157" s="85"/>
      <c r="Q1157" s="88"/>
      <c r="R1157" s="88"/>
      <c r="S1157" s="88"/>
      <c r="T1157" s="54"/>
      <c r="U1157" s="54"/>
      <c r="V1157" s="88"/>
    </row>
    <row r="1158" spans="1:22">
      <c r="A1158" s="34">
        <v>1156</v>
      </c>
      <c r="B1158" s="34"/>
      <c r="C1158" s="34"/>
      <c r="D1158" s="34"/>
      <c r="E1158" s="34"/>
      <c r="F1158" s="85"/>
      <c r="G1158" s="159"/>
      <c r="H1158" s="155"/>
      <c r="I1158" s="86"/>
      <c r="J1158" s="86"/>
      <c r="K1158" s="155"/>
      <c r="L1158" s="85"/>
      <c r="M1158" s="100"/>
      <c r="N1158" s="88"/>
      <c r="O1158" s="141"/>
      <c r="P1158" s="85"/>
      <c r="Q1158" s="88"/>
      <c r="R1158" s="88"/>
      <c r="S1158" s="88"/>
      <c r="T1158" s="54"/>
      <c r="U1158" s="54"/>
      <c r="V1158" s="88"/>
    </row>
    <row r="1159" spans="1:22">
      <c r="A1159" s="34">
        <v>1157</v>
      </c>
      <c r="B1159" s="34"/>
      <c r="C1159" s="34"/>
      <c r="D1159" s="34"/>
      <c r="E1159" s="34"/>
      <c r="F1159" s="85"/>
      <c r="G1159" s="159"/>
      <c r="H1159" s="155"/>
      <c r="I1159" s="86"/>
      <c r="J1159" s="86"/>
      <c r="K1159" s="155"/>
      <c r="L1159" s="85"/>
      <c r="M1159" s="100"/>
      <c r="N1159" s="88"/>
      <c r="O1159" s="141"/>
      <c r="P1159" s="85"/>
      <c r="Q1159" s="88"/>
      <c r="R1159" s="88"/>
      <c r="S1159" s="88"/>
      <c r="T1159" s="54"/>
      <c r="U1159" s="54"/>
      <c r="V1159" s="88"/>
    </row>
    <row r="1160" spans="1:22">
      <c r="A1160" s="34">
        <v>1158</v>
      </c>
      <c r="B1160" s="34"/>
      <c r="C1160" s="34"/>
      <c r="D1160" s="34"/>
      <c r="E1160" s="34"/>
      <c r="F1160" s="85"/>
      <c r="G1160" s="159"/>
      <c r="H1160" s="155"/>
      <c r="I1160" s="86"/>
      <c r="J1160" s="86"/>
      <c r="K1160" s="155"/>
      <c r="L1160" s="85"/>
      <c r="M1160" s="100"/>
      <c r="N1160" s="88"/>
      <c r="O1160" s="141"/>
      <c r="P1160" s="85"/>
      <c r="Q1160" s="88"/>
      <c r="R1160" s="88"/>
      <c r="S1160" s="88"/>
      <c r="T1160" s="54"/>
      <c r="U1160" s="54"/>
      <c r="V1160" s="88"/>
    </row>
    <row r="1161" spans="1:22">
      <c r="A1161" s="34">
        <v>1159</v>
      </c>
      <c r="B1161" s="34"/>
      <c r="C1161" s="34"/>
      <c r="D1161" s="34"/>
      <c r="E1161" s="34"/>
      <c r="F1161" s="85"/>
      <c r="G1161" s="159"/>
      <c r="H1161" s="155"/>
      <c r="I1161" s="86"/>
      <c r="J1161" s="86"/>
      <c r="K1161" s="155"/>
      <c r="L1161" s="85"/>
      <c r="M1161" s="100"/>
      <c r="N1161" s="88"/>
      <c r="O1161" s="141"/>
      <c r="P1161" s="85"/>
      <c r="Q1161" s="88"/>
      <c r="R1161" s="88"/>
      <c r="S1161" s="88"/>
      <c r="T1161" s="54"/>
      <c r="U1161" s="54"/>
      <c r="V1161" s="88"/>
    </row>
    <row r="1162" spans="1:22">
      <c r="A1162" s="34">
        <v>1160</v>
      </c>
      <c r="B1162" s="34"/>
      <c r="C1162" s="34"/>
      <c r="D1162" s="34"/>
      <c r="E1162" s="34"/>
      <c r="F1162" s="85"/>
      <c r="G1162" s="159"/>
      <c r="H1162" s="155"/>
      <c r="I1162" s="86"/>
      <c r="J1162" s="86"/>
      <c r="K1162" s="155"/>
      <c r="L1162" s="85"/>
      <c r="M1162" s="100"/>
      <c r="N1162" s="88"/>
      <c r="O1162" s="141"/>
      <c r="P1162" s="85"/>
      <c r="Q1162" s="88"/>
      <c r="R1162" s="88"/>
      <c r="S1162" s="88"/>
      <c r="T1162" s="54"/>
      <c r="U1162" s="54"/>
      <c r="V1162" s="88"/>
    </row>
    <row r="1163" spans="1:22">
      <c r="A1163" s="34">
        <v>1161</v>
      </c>
      <c r="B1163" s="34"/>
      <c r="C1163" s="34"/>
      <c r="D1163" s="34"/>
      <c r="E1163" s="34"/>
      <c r="F1163" s="85"/>
      <c r="G1163" s="159"/>
      <c r="H1163" s="155"/>
      <c r="I1163" s="86"/>
      <c r="J1163" s="86"/>
      <c r="K1163" s="155"/>
      <c r="L1163" s="85"/>
      <c r="M1163" s="100"/>
      <c r="N1163" s="88"/>
      <c r="O1163" s="141"/>
      <c r="P1163" s="85"/>
      <c r="Q1163" s="88"/>
      <c r="R1163" s="88"/>
      <c r="S1163" s="88"/>
      <c r="T1163" s="54"/>
      <c r="U1163" s="54"/>
      <c r="V1163" s="88"/>
    </row>
    <row r="1164" spans="1:22">
      <c r="A1164" s="34">
        <v>1162</v>
      </c>
      <c r="B1164" s="34"/>
      <c r="C1164" s="34"/>
      <c r="D1164" s="34"/>
      <c r="E1164" s="34"/>
      <c r="F1164" s="85"/>
      <c r="G1164" s="159"/>
      <c r="H1164" s="155"/>
      <c r="I1164" s="86"/>
      <c r="J1164" s="86"/>
      <c r="K1164" s="155"/>
      <c r="L1164" s="85"/>
      <c r="M1164" s="100"/>
      <c r="N1164" s="88"/>
      <c r="O1164" s="141"/>
      <c r="P1164" s="85"/>
      <c r="Q1164" s="88"/>
      <c r="R1164" s="88"/>
      <c r="S1164" s="88"/>
      <c r="T1164" s="54"/>
      <c r="U1164" s="54"/>
      <c r="V1164" s="88"/>
    </row>
    <row r="1165" spans="1:22">
      <c r="A1165" s="34">
        <v>1163</v>
      </c>
      <c r="B1165" s="34"/>
      <c r="C1165" s="34"/>
      <c r="D1165" s="34"/>
      <c r="E1165" s="34"/>
      <c r="F1165" s="85"/>
      <c r="G1165" s="159"/>
      <c r="H1165" s="155"/>
      <c r="I1165" s="86"/>
      <c r="J1165" s="86"/>
      <c r="K1165" s="155"/>
      <c r="L1165" s="85"/>
      <c r="M1165" s="100"/>
      <c r="N1165" s="88"/>
      <c r="O1165" s="141"/>
      <c r="P1165" s="85"/>
      <c r="Q1165" s="88"/>
      <c r="R1165" s="88"/>
      <c r="S1165" s="88"/>
      <c r="T1165" s="54"/>
      <c r="U1165" s="54"/>
      <c r="V1165" s="88"/>
    </row>
    <row r="1166" spans="1:22">
      <c r="A1166" s="34">
        <v>1164</v>
      </c>
      <c r="B1166" s="34"/>
      <c r="C1166" s="34"/>
      <c r="D1166" s="34"/>
      <c r="E1166" s="34"/>
      <c r="F1166" s="85"/>
      <c r="G1166" s="159"/>
      <c r="H1166" s="155"/>
      <c r="I1166" s="86"/>
      <c r="J1166" s="86"/>
      <c r="K1166" s="155"/>
      <c r="L1166" s="85"/>
      <c r="M1166" s="100"/>
      <c r="N1166" s="88"/>
      <c r="O1166" s="141"/>
      <c r="P1166" s="85"/>
      <c r="Q1166" s="88"/>
      <c r="R1166" s="88"/>
      <c r="S1166" s="88"/>
      <c r="T1166" s="54"/>
      <c r="U1166" s="54"/>
      <c r="V1166" s="88"/>
    </row>
    <row r="1167" spans="1:22">
      <c r="A1167" s="34">
        <v>1165</v>
      </c>
      <c r="B1167" s="34"/>
      <c r="C1167" s="34"/>
      <c r="D1167" s="34"/>
      <c r="E1167" s="34"/>
      <c r="F1167" s="85"/>
      <c r="G1167" s="159"/>
      <c r="H1167" s="155"/>
      <c r="I1167" s="86"/>
      <c r="J1167" s="86"/>
      <c r="K1167" s="155"/>
      <c r="L1167" s="85"/>
      <c r="M1167" s="100"/>
      <c r="N1167" s="88"/>
      <c r="O1167" s="141"/>
      <c r="P1167" s="85"/>
      <c r="Q1167" s="88"/>
      <c r="R1167" s="88"/>
      <c r="S1167" s="88"/>
      <c r="T1167" s="54"/>
      <c r="U1167" s="54"/>
      <c r="V1167" s="88"/>
    </row>
    <row r="1168" spans="1:22">
      <c r="A1168" s="34">
        <v>1166</v>
      </c>
      <c r="B1168" s="34"/>
      <c r="C1168" s="34"/>
      <c r="D1168" s="34"/>
      <c r="E1168" s="34"/>
      <c r="F1168" s="85"/>
      <c r="G1168" s="159"/>
      <c r="H1168" s="155"/>
      <c r="I1168" s="86"/>
      <c r="J1168" s="86"/>
      <c r="K1168" s="155"/>
      <c r="L1168" s="85"/>
      <c r="M1168" s="100"/>
      <c r="N1168" s="88"/>
      <c r="O1168" s="141"/>
      <c r="P1168" s="85"/>
      <c r="Q1168" s="88"/>
      <c r="R1168" s="88"/>
      <c r="S1168" s="88"/>
      <c r="T1168" s="54"/>
      <c r="U1168" s="54"/>
      <c r="V1168" s="88"/>
    </row>
    <row r="1169" spans="1:22">
      <c r="A1169" s="34">
        <v>1167</v>
      </c>
      <c r="B1169" s="34"/>
      <c r="C1169" s="34"/>
      <c r="D1169" s="34"/>
      <c r="E1169" s="34"/>
      <c r="F1169" s="85"/>
      <c r="G1169" s="159"/>
      <c r="H1169" s="155"/>
      <c r="I1169" s="86"/>
      <c r="J1169" s="86"/>
      <c r="K1169" s="155"/>
      <c r="L1169" s="85"/>
      <c r="M1169" s="100"/>
      <c r="N1169" s="88"/>
      <c r="O1169" s="141"/>
      <c r="P1169" s="85"/>
      <c r="Q1169" s="88"/>
      <c r="R1169" s="88"/>
      <c r="S1169" s="88"/>
      <c r="T1169" s="54"/>
      <c r="U1169" s="54"/>
      <c r="V1169" s="88"/>
    </row>
    <row r="1170" spans="1:22">
      <c r="A1170" s="34">
        <v>1168</v>
      </c>
      <c r="B1170" s="34"/>
      <c r="C1170" s="34"/>
      <c r="D1170" s="34"/>
      <c r="E1170" s="34"/>
      <c r="F1170" s="85"/>
      <c r="G1170" s="159"/>
      <c r="H1170" s="155"/>
      <c r="I1170" s="86"/>
      <c r="J1170" s="86"/>
      <c r="K1170" s="155"/>
      <c r="L1170" s="85"/>
      <c r="M1170" s="100"/>
      <c r="N1170" s="88"/>
      <c r="O1170" s="141"/>
      <c r="P1170" s="85"/>
      <c r="Q1170" s="88"/>
      <c r="R1170" s="88"/>
      <c r="S1170" s="88"/>
      <c r="T1170" s="54"/>
      <c r="U1170" s="54"/>
      <c r="V1170" s="88"/>
    </row>
    <row r="1171" spans="1:22">
      <c r="A1171" s="34">
        <v>1169</v>
      </c>
      <c r="B1171" s="34"/>
      <c r="C1171" s="34"/>
      <c r="D1171" s="34"/>
      <c r="E1171" s="34"/>
      <c r="F1171" s="85"/>
      <c r="G1171" s="159"/>
      <c r="H1171" s="155"/>
      <c r="I1171" s="86"/>
      <c r="J1171" s="86"/>
      <c r="K1171" s="155"/>
      <c r="L1171" s="85"/>
      <c r="M1171" s="100"/>
      <c r="N1171" s="88"/>
      <c r="O1171" s="141"/>
      <c r="P1171" s="85"/>
      <c r="Q1171" s="88"/>
      <c r="R1171" s="88"/>
      <c r="S1171" s="88"/>
      <c r="T1171" s="54"/>
      <c r="U1171" s="54"/>
      <c r="V1171" s="88"/>
    </row>
    <row r="1172" spans="1:22">
      <c r="A1172" s="34">
        <v>1170</v>
      </c>
      <c r="B1172" s="34"/>
      <c r="C1172" s="34"/>
      <c r="D1172" s="34"/>
      <c r="E1172" s="34"/>
      <c r="F1172" s="85"/>
      <c r="G1172" s="159"/>
      <c r="H1172" s="155"/>
      <c r="I1172" s="86"/>
      <c r="J1172" s="86"/>
      <c r="K1172" s="155"/>
      <c r="L1172" s="85"/>
      <c r="M1172" s="100"/>
      <c r="N1172" s="88"/>
      <c r="O1172" s="141"/>
      <c r="P1172" s="85"/>
      <c r="Q1172" s="88"/>
      <c r="R1172" s="88"/>
      <c r="S1172" s="88"/>
      <c r="T1172" s="54"/>
      <c r="U1172" s="54"/>
      <c r="V1172" s="88"/>
    </row>
    <row r="1173" spans="1:22">
      <c r="A1173" s="34">
        <v>1171</v>
      </c>
      <c r="B1173" s="34"/>
      <c r="C1173" s="34"/>
      <c r="D1173" s="34"/>
      <c r="E1173" s="34"/>
      <c r="F1173" s="85"/>
      <c r="G1173" s="159"/>
      <c r="H1173" s="155"/>
      <c r="I1173" s="86"/>
      <c r="J1173" s="86"/>
      <c r="K1173" s="155"/>
      <c r="L1173" s="85"/>
      <c r="M1173" s="100"/>
      <c r="N1173" s="88"/>
      <c r="O1173" s="141"/>
      <c r="P1173" s="85"/>
      <c r="Q1173" s="88"/>
      <c r="R1173" s="88"/>
      <c r="S1173" s="88"/>
      <c r="T1173" s="54"/>
      <c r="U1173" s="54"/>
      <c r="V1173" s="88"/>
    </row>
    <row r="1174" spans="1:22">
      <c r="A1174" s="34">
        <v>1172</v>
      </c>
      <c r="B1174" s="34"/>
      <c r="C1174" s="34"/>
      <c r="D1174" s="34"/>
      <c r="E1174" s="34"/>
      <c r="F1174" s="85"/>
      <c r="G1174" s="159"/>
      <c r="H1174" s="155"/>
      <c r="I1174" s="86"/>
      <c r="J1174" s="86"/>
      <c r="K1174" s="155"/>
      <c r="L1174" s="85"/>
      <c r="M1174" s="100"/>
      <c r="N1174" s="88"/>
      <c r="O1174" s="141"/>
      <c r="P1174" s="85"/>
      <c r="Q1174" s="88"/>
      <c r="R1174" s="88"/>
      <c r="S1174" s="88"/>
      <c r="T1174" s="54"/>
      <c r="U1174" s="54"/>
      <c r="V1174" s="88"/>
    </row>
    <row r="1175" spans="1:22">
      <c r="A1175" s="34">
        <v>1173</v>
      </c>
      <c r="B1175" s="34"/>
      <c r="C1175" s="34"/>
      <c r="D1175" s="34"/>
      <c r="E1175" s="34"/>
      <c r="F1175" s="85"/>
      <c r="G1175" s="159"/>
      <c r="H1175" s="155"/>
      <c r="I1175" s="86"/>
      <c r="J1175" s="86"/>
      <c r="K1175" s="155"/>
      <c r="L1175" s="85"/>
      <c r="M1175" s="100"/>
      <c r="N1175" s="88"/>
      <c r="O1175" s="141"/>
      <c r="P1175" s="85"/>
      <c r="Q1175" s="88"/>
      <c r="R1175" s="88"/>
      <c r="S1175" s="88"/>
      <c r="T1175" s="54"/>
      <c r="U1175" s="54"/>
      <c r="V1175" s="88"/>
    </row>
    <row r="1176" spans="1:22">
      <c r="A1176" s="34">
        <v>1174</v>
      </c>
      <c r="B1176" s="34"/>
      <c r="C1176" s="34"/>
      <c r="D1176" s="34"/>
      <c r="E1176" s="34"/>
      <c r="F1176" s="85"/>
      <c r="G1176" s="159"/>
      <c r="H1176" s="155"/>
      <c r="I1176" s="86"/>
      <c r="J1176" s="86"/>
      <c r="K1176" s="155"/>
      <c r="L1176" s="85"/>
      <c r="M1176" s="100"/>
      <c r="N1176" s="88"/>
      <c r="O1176" s="141"/>
      <c r="P1176" s="85"/>
      <c r="Q1176" s="88"/>
      <c r="R1176" s="88"/>
      <c r="S1176" s="88"/>
      <c r="T1176" s="54"/>
      <c r="U1176" s="54"/>
      <c r="V1176" s="88"/>
    </row>
    <row r="1177" spans="1:22">
      <c r="A1177" s="34">
        <v>1175</v>
      </c>
      <c r="B1177" s="34"/>
      <c r="C1177" s="34"/>
      <c r="D1177" s="34"/>
      <c r="E1177" s="34"/>
      <c r="F1177" s="85"/>
      <c r="G1177" s="159"/>
      <c r="H1177" s="155"/>
      <c r="I1177" s="86"/>
      <c r="J1177" s="86"/>
      <c r="K1177" s="155"/>
      <c r="L1177" s="85"/>
      <c r="M1177" s="100"/>
      <c r="N1177" s="88"/>
      <c r="O1177" s="141"/>
      <c r="P1177" s="85"/>
      <c r="Q1177" s="88"/>
      <c r="R1177" s="88"/>
      <c r="S1177" s="88"/>
      <c r="T1177" s="54"/>
      <c r="U1177" s="54"/>
      <c r="V1177" s="88"/>
    </row>
    <row r="1178" spans="1:22">
      <c r="A1178" s="34">
        <v>1176</v>
      </c>
      <c r="B1178" s="34"/>
      <c r="C1178" s="34"/>
      <c r="D1178" s="34"/>
      <c r="E1178" s="34"/>
      <c r="F1178" s="85"/>
      <c r="G1178" s="159"/>
      <c r="H1178" s="155"/>
      <c r="I1178" s="86"/>
      <c r="J1178" s="86"/>
      <c r="K1178" s="155"/>
      <c r="L1178" s="85"/>
      <c r="M1178" s="100"/>
      <c r="N1178" s="88"/>
      <c r="O1178" s="141"/>
      <c r="P1178" s="85"/>
      <c r="Q1178" s="88"/>
      <c r="R1178" s="88"/>
      <c r="S1178" s="88"/>
      <c r="T1178" s="54"/>
      <c r="U1178" s="54"/>
      <c r="V1178" s="88"/>
    </row>
    <row r="1179" spans="1:22">
      <c r="A1179" s="34">
        <v>1177</v>
      </c>
      <c r="B1179" s="34"/>
      <c r="C1179" s="34"/>
      <c r="D1179" s="34"/>
      <c r="E1179" s="34"/>
      <c r="F1179" s="85"/>
      <c r="G1179" s="159"/>
      <c r="H1179" s="155"/>
      <c r="I1179" s="86"/>
      <c r="J1179" s="86"/>
      <c r="K1179" s="155"/>
      <c r="L1179" s="85"/>
      <c r="M1179" s="100"/>
      <c r="N1179" s="88"/>
      <c r="O1179" s="141"/>
      <c r="P1179" s="85"/>
      <c r="Q1179" s="88"/>
      <c r="R1179" s="88"/>
      <c r="S1179" s="88"/>
      <c r="T1179" s="54"/>
      <c r="U1179" s="54"/>
      <c r="V1179" s="88"/>
    </row>
    <row r="1180" spans="1:22">
      <c r="A1180" s="34">
        <v>1178</v>
      </c>
      <c r="B1180" s="34"/>
      <c r="C1180" s="34"/>
      <c r="D1180" s="34"/>
      <c r="E1180" s="34"/>
      <c r="F1180" s="85"/>
      <c r="G1180" s="159"/>
      <c r="H1180" s="155"/>
      <c r="I1180" s="86"/>
      <c r="J1180" s="86"/>
      <c r="K1180" s="155"/>
      <c r="L1180" s="85"/>
      <c r="M1180" s="100"/>
      <c r="N1180" s="88"/>
      <c r="O1180" s="141"/>
      <c r="P1180" s="85"/>
      <c r="Q1180" s="88"/>
      <c r="R1180" s="88"/>
      <c r="S1180" s="88"/>
      <c r="T1180" s="54"/>
      <c r="U1180" s="54"/>
      <c r="V1180" s="88"/>
    </row>
    <row r="1181" spans="1:22">
      <c r="A1181" s="34">
        <v>1179</v>
      </c>
      <c r="B1181" s="34"/>
      <c r="C1181" s="34"/>
      <c r="D1181" s="34"/>
      <c r="E1181" s="34"/>
      <c r="F1181" s="85"/>
      <c r="G1181" s="159"/>
      <c r="H1181" s="155"/>
      <c r="I1181" s="86"/>
      <c r="J1181" s="86"/>
      <c r="K1181" s="155"/>
      <c r="L1181" s="85"/>
      <c r="M1181" s="100"/>
      <c r="N1181" s="88"/>
      <c r="O1181" s="141"/>
      <c r="P1181" s="85"/>
      <c r="Q1181" s="88"/>
      <c r="R1181" s="88"/>
      <c r="S1181" s="88"/>
      <c r="T1181" s="54"/>
      <c r="U1181" s="54"/>
      <c r="V1181" s="88"/>
    </row>
    <row r="1182" spans="1:22">
      <c r="A1182" s="34">
        <v>1180</v>
      </c>
      <c r="B1182" s="34"/>
      <c r="C1182" s="34"/>
      <c r="D1182" s="34"/>
      <c r="E1182" s="34"/>
      <c r="F1182" s="85"/>
      <c r="G1182" s="159"/>
      <c r="H1182" s="155"/>
      <c r="I1182" s="86"/>
      <c r="J1182" s="86"/>
      <c r="K1182" s="155"/>
      <c r="L1182" s="85"/>
      <c r="M1182" s="100"/>
      <c r="N1182" s="88"/>
      <c r="O1182" s="141"/>
      <c r="P1182" s="85"/>
      <c r="Q1182" s="88"/>
      <c r="R1182" s="88"/>
      <c r="S1182" s="88"/>
      <c r="T1182" s="54"/>
      <c r="U1182" s="54"/>
      <c r="V1182" s="88"/>
    </row>
    <row r="1183" spans="1:22">
      <c r="A1183" s="34">
        <v>1181</v>
      </c>
      <c r="B1183" s="34"/>
      <c r="C1183" s="34"/>
      <c r="D1183" s="34"/>
      <c r="E1183" s="34"/>
      <c r="F1183" s="85"/>
      <c r="G1183" s="159"/>
      <c r="H1183" s="155"/>
      <c r="I1183" s="86"/>
      <c r="J1183" s="86"/>
      <c r="K1183" s="155"/>
      <c r="L1183" s="85"/>
      <c r="M1183" s="100"/>
      <c r="N1183" s="88"/>
      <c r="O1183" s="141"/>
      <c r="P1183" s="85"/>
      <c r="Q1183" s="88"/>
      <c r="R1183" s="88"/>
      <c r="S1183" s="88"/>
      <c r="T1183" s="54"/>
      <c r="U1183" s="54"/>
      <c r="V1183" s="88"/>
    </row>
    <row r="1184" spans="1:22">
      <c r="A1184" s="34">
        <v>1182</v>
      </c>
      <c r="B1184" s="34"/>
      <c r="C1184" s="34"/>
      <c r="D1184" s="34"/>
      <c r="E1184" s="34"/>
      <c r="F1184" s="85"/>
      <c r="G1184" s="159"/>
      <c r="H1184" s="155"/>
      <c r="I1184" s="86"/>
      <c r="J1184" s="86"/>
      <c r="K1184" s="155"/>
      <c r="L1184" s="85"/>
      <c r="M1184" s="100"/>
      <c r="N1184" s="88"/>
      <c r="O1184" s="141"/>
      <c r="P1184" s="85"/>
      <c r="Q1184" s="88"/>
      <c r="R1184" s="88"/>
      <c r="S1184" s="88"/>
      <c r="T1184" s="54"/>
      <c r="U1184" s="54"/>
      <c r="V1184" s="88"/>
    </row>
    <row r="1185" spans="1:22">
      <c r="A1185" s="34">
        <v>1183</v>
      </c>
      <c r="B1185" s="34"/>
      <c r="C1185" s="34"/>
      <c r="D1185" s="34"/>
      <c r="E1185" s="34"/>
      <c r="F1185" s="85"/>
      <c r="G1185" s="159"/>
      <c r="H1185" s="155"/>
      <c r="I1185" s="86"/>
      <c r="J1185" s="86"/>
      <c r="K1185" s="155"/>
      <c r="L1185" s="85"/>
      <c r="M1185" s="100"/>
      <c r="N1185" s="88"/>
      <c r="O1185" s="141"/>
      <c r="P1185" s="85"/>
      <c r="Q1185" s="88"/>
      <c r="R1185" s="88"/>
      <c r="S1185" s="88"/>
      <c r="T1185" s="54"/>
      <c r="U1185" s="54"/>
      <c r="V1185" s="88"/>
    </row>
    <row r="1186" spans="1:22">
      <c r="A1186" s="34">
        <v>1184</v>
      </c>
      <c r="B1186" s="34"/>
      <c r="C1186" s="34"/>
      <c r="D1186" s="34"/>
      <c r="E1186" s="34"/>
      <c r="F1186" s="85"/>
      <c r="G1186" s="159"/>
      <c r="H1186" s="155"/>
      <c r="I1186" s="86"/>
      <c r="J1186" s="86"/>
      <c r="K1186" s="155"/>
      <c r="L1186" s="85"/>
      <c r="M1186" s="100"/>
      <c r="N1186" s="88"/>
      <c r="O1186" s="141"/>
      <c r="P1186" s="85"/>
      <c r="Q1186" s="88"/>
      <c r="R1186" s="88"/>
      <c r="S1186" s="88"/>
      <c r="T1186" s="54"/>
      <c r="U1186" s="54"/>
      <c r="V1186" s="88"/>
    </row>
    <row r="1187" spans="1:22">
      <c r="A1187" s="34">
        <v>1185</v>
      </c>
      <c r="B1187" s="34"/>
      <c r="C1187" s="34"/>
      <c r="D1187" s="34"/>
      <c r="E1187" s="34"/>
      <c r="F1187" s="85"/>
      <c r="G1187" s="159"/>
      <c r="H1187" s="155"/>
      <c r="I1187" s="86"/>
      <c r="J1187" s="86"/>
      <c r="K1187" s="155"/>
      <c r="L1187" s="85"/>
      <c r="M1187" s="100"/>
      <c r="N1187" s="88"/>
      <c r="O1187" s="141"/>
      <c r="P1187" s="85"/>
      <c r="Q1187" s="88"/>
      <c r="R1187" s="88"/>
      <c r="S1187" s="88"/>
      <c r="T1187" s="54"/>
      <c r="U1187" s="54"/>
      <c r="V1187" s="88"/>
    </row>
    <row r="1188" spans="1:22">
      <c r="A1188" s="34">
        <v>1186</v>
      </c>
      <c r="B1188" s="34"/>
      <c r="C1188" s="34"/>
      <c r="D1188" s="34"/>
      <c r="E1188" s="34"/>
      <c r="F1188" s="85"/>
      <c r="G1188" s="159"/>
      <c r="H1188" s="155"/>
      <c r="I1188" s="86"/>
      <c r="J1188" s="86"/>
      <c r="K1188" s="155"/>
      <c r="L1188" s="85"/>
      <c r="M1188" s="100"/>
      <c r="N1188" s="88"/>
      <c r="O1188" s="141"/>
      <c r="P1188" s="85"/>
      <c r="Q1188" s="88"/>
      <c r="R1188" s="88"/>
      <c r="S1188" s="88"/>
      <c r="T1188" s="54"/>
      <c r="U1188" s="54"/>
      <c r="V1188" s="88"/>
    </row>
    <row r="1189" spans="1:22">
      <c r="A1189" s="34">
        <v>1187</v>
      </c>
      <c r="B1189" s="34"/>
      <c r="C1189" s="34"/>
      <c r="D1189" s="34"/>
      <c r="E1189" s="34"/>
      <c r="F1189" s="85"/>
      <c r="G1189" s="159"/>
      <c r="H1189" s="155"/>
      <c r="I1189" s="86"/>
      <c r="J1189" s="86"/>
      <c r="K1189" s="155"/>
      <c r="L1189" s="85"/>
      <c r="M1189" s="100"/>
      <c r="N1189" s="88"/>
      <c r="O1189" s="141"/>
      <c r="P1189" s="85"/>
      <c r="Q1189" s="88"/>
      <c r="R1189" s="88"/>
      <c r="S1189" s="88"/>
      <c r="T1189" s="54"/>
      <c r="U1189" s="54"/>
      <c r="V1189" s="88"/>
    </row>
    <row r="1190" spans="1:22">
      <c r="A1190" s="34">
        <v>1188</v>
      </c>
      <c r="B1190" s="34"/>
      <c r="C1190" s="34"/>
      <c r="D1190" s="34"/>
      <c r="E1190" s="34"/>
      <c r="F1190" s="85"/>
      <c r="G1190" s="159"/>
      <c r="H1190" s="155"/>
      <c r="I1190" s="86"/>
      <c r="J1190" s="86"/>
      <c r="K1190" s="155"/>
      <c r="L1190" s="85"/>
      <c r="M1190" s="100"/>
      <c r="N1190" s="88"/>
      <c r="O1190" s="141"/>
      <c r="P1190" s="85"/>
      <c r="Q1190" s="88"/>
      <c r="R1190" s="88"/>
      <c r="S1190" s="88"/>
      <c r="T1190" s="54"/>
      <c r="U1190" s="54"/>
      <c r="V1190" s="88"/>
    </row>
    <row r="1191" spans="1:22">
      <c r="A1191" s="34">
        <v>1189</v>
      </c>
      <c r="B1191" s="34"/>
      <c r="C1191" s="34"/>
      <c r="D1191" s="34"/>
      <c r="E1191" s="34"/>
      <c r="F1191" s="85"/>
      <c r="G1191" s="159"/>
      <c r="H1191" s="155"/>
      <c r="I1191" s="86"/>
      <c r="J1191" s="86"/>
      <c r="K1191" s="155"/>
      <c r="L1191" s="85"/>
      <c r="M1191" s="100"/>
      <c r="N1191" s="88"/>
      <c r="O1191" s="141"/>
      <c r="P1191" s="85"/>
      <c r="Q1191" s="88"/>
      <c r="R1191" s="88"/>
      <c r="S1191" s="88"/>
      <c r="T1191" s="54"/>
      <c r="U1191" s="54"/>
      <c r="V1191" s="88"/>
    </row>
    <row r="1192" spans="1:22">
      <c r="A1192" s="34">
        <v>1190</v>
      </c>
      <c r="B1192" s="34"/>
      <c r="C1192" s="34"/>
      <c r="D1192" s="34"/>
      <c r="E1192" s="34"/>
      <c r="F1192" s="85"/>
      <c r="G1192" s="159"/>
      <c r="H1192" s="155"/>
      <c r="I1192" s="86"/>
      <c r="J1192" s="86"/>
      <c r="K1192" s="155"/>
      <c r="L1192" s="85"/>
      <c r="M1192" s="100"/>
      <c r="N1192" s="88"/>
      <c r="O1192" s="141"/>
      <c r="P1192" s="85"/>
      <c r="Q1192" s="88"/>
      <c r="R1192" s="88"/>
      <c r="S1192" s="88"/>
      <c r="T1192" s="54"/>
      <c r="U1192" s="54"/>
      <c r="V1192" s="88"/>
    </row>
    <row r="1193" spans="1:22">
      <c r="A1193" s="34">
        <v>1191</v>
      </c>
      <c r="B1193" s="34"/>
      <c r="C1193" s="34"/>
      <c r="D1193" s="34"/>
      <c r="E1193" s="34"/>
      <c r="F1193" s="85"/>
      <c r="G1193" s="159"/>
      <c r="H1193" s="155"/>
      <c r="I1193" s="86"/>
      <c r="J1193" s="86"/>
      <c r="K1193" s="155"/>
      <c r="L1193" s="85"/>
      <c r="M1193" s="100"/>
      <c r="N1193" s="88"/>
      <c r="O1193" s="141"/>
      <c r="P1193" s="85"/>
      <c r="Q1193" s="88"/>
      <c r="R1193" s="88"/>
      <c r="S1193" s="88"/>
      <c r="T1193" s="54"/>
      <c r="U1193" s="54"/>
      <c r="V1193" s="88"/>
    </row>
    <row r="1194" spans="1:22">
      <c r="A1194" s="34">
        <v>1192</v>
      </c>
      <c r="B1194" s="34"/>
      <c r="C1194" s="34"/>
      <c r="D1194" s="34"/>
      <c r="E1194" s="34"/>
      <c r="F1194" s="85"/>
      <c r="G1194" s="159"/>
      <c r="H1194" s="155"/>
      <c r="I1194" s="86"/>
      <c r="J1194" s="86"/>
      <c r="K1194" s="155"/>
      <c r="L1194" s="85"/>
      <c r="M1194" s="100"/>
      <c r="N1194" s="88"/>
      <c r="O1194" s="141"/>
      <c r="P1194" s="85"/>
      <c r="Q1194" s="88"/>
      <c r="R1194" s="88"/>
      <c r="S1194" s="88"/>
      <c r="T1194" s="54"/>
      <c r="U1194" s="54"/>
      <c r="V1194" s="88"/>
    </row>
    <row r="1195" spans="1:22">
      <c r="A1195" s="34">
        <v>1193</v>
      </c>
      <c r="B1195" s="34"/>
      <c r="C1195" s="34"/>
      <c r="D1195" s="34"/>
      <c r="E1195" s="34"/>
      <c r="F1195" s="85"/>
      <c r="G1195" s="159"/>
      <c r="H1195" s="155"/>
      <c r="I1195" s="86"/>
      <c r="J1195" s="86"/>
      <c r="K1195" s="155"/>
      <c r="L1195" s="85"/>
      <c r="M1195" s="100"/>
      <c r="N1195" s="88"/>
      <c r="O1195" s="141"/>
      <c r="P1195" s="85"/>
      <c r="Q1195" s="88"/>
      <c r="R1195" s="88"/>
      <c r="S1195" s="88"/>
      <c r="T1195" s="54"/>
      <c r="U1195" s="54"/>
      <c r="V1195" s="88"/>
    </row>
    <row r="1196" spans="1:22">
      <c r="A1196" s="34">
        <v>1194</v>
      </c>
      <c r="B1196" s="34"/>
      <c r="C1196" s="34"/>
      <c r="D1196" s="34"/>
      <c r="E1196" s="34"/>
      <c r="F1196" s="85"/>
      <c r="G1196" s="159"/>
      <c r="H1196" s="155"/>
      <c r="I1196" s="86"/>
      <c r="J1196" s="86"/>
      <c r="K1196" s="155"/>
      <c r="L1196" s="85"/>
      <c r="M1196" s="100"/>
      <c r="N1196" s="88"/>
      <c r="O1196" s="141"/>
      <c r="P1196" s="85"/>
      <c r="Q1196" s="88"/>
      <c r="R1196" s="88"/>
      <c r="S1196" s="88"/>
      <c r="T1196" s="54"/>
      <c r="U1196" s="54"/>
      <c r="V1196" s="88"/>
    </row>
    <row r="1197" spans="1:22">
      <c r="A1197" s="34">
        <v>1195</v>
      </c>
      <c r="B1197" s="34"/>
      <c r="C1197" s="34"/>
      <c r="D1197" s="34"/>
      <c r="E1197" s="34"/>
      <c r="F1197" s="85"/>
      <c r="G1197" s="159"/>
      <c r="H1197" s="155"/>
      <c r="I1197" s="86"/>
      <c r="J1197" s="86"/>
      <c r="K1197" s="155"/>
      <c r="L1197" s="85"/>
      <c r="M1197" s="100"/>
      <c r="N1197" s="88"/>
      <c r="O1197" s="141"/>
      <c r="P1197" s="85"/>
      <c r="Q1197" s="88"/>
      <c r="R1197" s="88"/>
      <c r="S1197" s="88"/>
      <c r="T1197" s="54"/>
      <c r="U1197" s="54"/>
      <c r="V1197" s="88"/>
    </row>
    <row r="1198" spans="1:22">
      <c r="A1198" s="34">
        <v>1196</v>
      </c>
      <c r="B1198" s="34"/>
      <c r="C1198" s="34"/>
      <c r="D1198" s="34"/>
      <c r="E1198" s="34"/>
      <c r="F1198" s="85"/>
      <c r="G1198" s="159"/>
      <c r="H1198" s="155"/>
      <c r="I1198" s="86"/>
      <c r="J1198" s="86"/>
      <c r="K1198" s="155"/>
      <c r="L1198" s="85"/>
      <c r="M1198" s="100"/>
      <c r="N1198" s="88"/>
      <c r="O1198" s="141"/>
      <c r="P1198" s="85"/>
      <c r="Q1198" s="88"/>
      <c r="R1198" s="88"/>
      <c r="S1198" s="88"/>
      <c r="T1198" s="54"/>
      <c r="U1198" s="54"/>
      <c r="V1198" s="88"/>
    </row>
    <row r="1199" spans="1:22">
      <c r="A1199" s="34">
        <v>1197</v>
      </c>
      <c r="B1199" s="34"/>
      <c r="C1199" s="34"/>
      <c r="D1199" s="34"/>
      <c r="E1199" s="34"/>
      <c r="F1199" s="85"/>
      <c r="G1199" s="159"/>
      <c r="H1199" s="155"/>
      <c r="I1199" s="86"/>
      <c r="J1199" s="86"/>
      <c r="K1199" s="155"/>
      <c r="L1199" s="85"/>
      <c r="M1199" s="100"/>
      <c r="N1199" s="88"/>
      <c r="O1199" s="141"/>
      <c r="P1199" s="85"/>
      <c r="Q1199" s="88"/>
      <c r="R1199" s="88"/>
      <c r="S1199" s="88"/>
      <c r="T1199" s="54"/>
      <c r="U1199" s="54"/>
      <c r="V1199" s="88"/>
    </row>
    <row r="1200" spans="1:22">
      <c r="A1200" s="34">
        <v>1198</v>
      </c>
      <c r="B1200" s="34"/>
      <c r="C1200" s="34"/>
      <c r="D1200" s="34"/>
      <c r="E1200" s="34"/>
      <c r="F1200" s="85"/>
      <c r="G1200" s="159"/>
      <c r="H1200" s="155"/>
      <c r="I1200" s="86"/>
      <c r="J1200" s="86"/>
      <c r="K1200" s="155"/>
      <c r="L1200" s="85"/>
      <c r="M1200" s="100"/>
      <c r="N1200" s="88"/>
      <c r="O1200" s="141"/>
      <c r="P1200" s="85"/>
      <c r="Q1200" s="88"/>
      <c r="R1200" s="88"/>
      <c r="S1200" s="88"/>
      <c r="T1200" s="54"/>
      <c r="U1200" s="54"/>
      <c r="V1200" s="88"/>
    </row>
    <row r="1201" spans="1:22">
      <c r="A1201" s="34">
        <v>1199</v>
      </c>
      <c r="B1201" s="34"/>
      <c r="C1201" s="34"/>
      <c r="D1201" s="34"/>
      <c r="E1201" s="34"/>
      <c r="F1201" s="85"/>
      <c r="G1201" s="159"/>
      <c r="H1201" s="155"/>
      <c r="I1201" s="86"/>
      <c r="J1201" s="86"/>
      <c r="K1201" s="155"/>
      <c r="L1201" s="85"/>
      <c r="M1201" s="100"/>
      <c r="N1201" s="88"/>
      <c r="O1201" s="141"/>
      <c r="P1201" s="85"/>
      <c r="Q1201" s="88"/>
      <c r="R1201" s="88"/>
      <c r="S1201" s="88"/>
      <c r="T1201" s="54"/>
      <c r="U1201" s="54"/>
      <c r="V1201" s="88"/>
    </row>
    <row r="1202" spans="1:22">
      <c r="A1202" s="34">
        <v>1200</v>
      </c>
      <c r="B1202" s="34"/>
      <c r="C1202" s="34"/>
      <c r="D1202" s="34"/>
      <c r="E1202" s="34"/>
      <c r="F1202" s="85"/>
      <c r="G1202" s="159"/>
      <c r="H1202" s="155"/>
      <c r="I1202" s="86"/>
      <c r="J1202" s="86"/>
      <c r="K1202" s="155"/>
      <c r="L1202" s="85"/>
      <c r="M1202" s="100"/>
      <c r="N1202" s="88"/>
      <c r="O1202" s="141"/>
      <c r="P1202" s="85"/>
      <c r="Q1202" s="88"/>
      <c r="R1202" s="88"/>
      <c r="S1202" s="88"/>
      <c r="T1202" s="54"/>
      <c r="U1202" s="54"/>
      <c r="V1202" s="88"/>
    </row>
    <row r="1203" spans="1:22">
      <c r="A1203" s="34">
        <v>1201</v>
      </c>
      <c r="B1203" s="34"/>
      <c r="C1203" s="34"/>
      <c r="D1203" s="34"/>
      <c r="E1203" s="34"/>
      <c r="F1203" s="85"/>
      <c r="G1203" s="159"/>
      <c r="H1203" s="155"/>
      <c r="I1203" s="86"/>
      <c r="J1203" s="86"/>
      <c r="K1203" s="155"/>
      <c r="L1203" s="85"/>
      <c r="M1203" s="100"/>
      <c r="N1203" s="88"/>
      <c r="O1203" s="141"/>
      <c r="P1203" s="85"/>
      <c r="Q1203" s="88"/>
      <c r="R1203" s="88"/>
      <c r="S1203" s="88"/>
      <c r="T1203" s="54"/>
      <c r="U1203" s="54"/>
      <c r="V1203" s="88"/>
    </row>
    <row r="1204" spans="1:22">
      <c r="A1204" s="34">
        <v>1202</v>
      </c>
      <c r="B1204" s="34"/>
      <c r="C1204" s="34"/>
      <c r="D1204" s="34"/>
      <c r="E1204" s="34"/>
      <c r="F1204" s="85"/>
      <c r="G1204" s="159"/>
      <c r="H1204" s="155"/>
      <c r="I1204" s="86"/>
      <c r="J1204" s="86"/>
      <c r="K1204" s="155"/>
      <c r="L1204" s="85"/>
      <c r="M1204" s="100"/>
      <c r="N1204" s="88"/>
      <c r="O1204" s="141"/>
      <c r="P1204" s="85"/>
      <c r="Q1204" s="88"/>
      <c r="R1204" s="88"/>
      <c r="S1204" s="88"/>
      <c r="T1204" s="54"/>
      <c r="U1204" s="54"/>
      <c r="V1204" s="88"/>
    </row>
    <row r="1205" spans="1:22">
      <c r="A1205" s="34">
        <v>1203</v>
      </c>
      <c r="B1205" s="34"/>
      <c r="C1205" s="34"/>
      <c r="D1205" s="34"/>
      <c r="E1205" s="34"/>
      <c r="F1205" s="85"/>
      <c r="G1205" s="159"/>
      <c r="H1205" s="155"/>
      <c r="I1205" s="86"/>
      <c r="J1205" s="86"/>
      <c r="K1205" s="155"/>
      <c r="L1205" s="85"/>
      <c r="M1205" s="100"/>
      <c r="N1205" s="88"/>
      <c r="O1205" s="141"/>
      <c r="P1205" s="85"/>
      <c r="Q1205" s="88"/>
      <c r="R1205" s="88"/>
      <c r="S1205" s="88"/>
      <c r="T1205" s="54"/>
      <c r="U1205" s="54"/>
      <c r="V1205" s="88"/>
    </row>
    <row r="1206" spans="1:22">
      <c r="A1206" s="34">
        <v>1204</v>
      </c>
      <c r="B1206" s="34"/>
      <c r="C1206" s="34"/>
      <c r="D1206" s="34"/>
      <c r="E1206" s="34"/>
      <c r="F1206" s="85"/>
      <c r="G1206" s="159"/>
      <c r="H1206" s="155"/>
      <c r="I1206" s="86"/>
      <c r="J1206" s="86"/>
      <c r="K1206" s="155"/>
      <c r="L1206" s="85"/>
      <c r="M1206" s="100"/>
      <c r="N1206" s="88"/>
      <c r="O1206" s="141"/>
      <c r="P1206" s="85"/>
      <c r="Q1206" s="88"/>
      <c r="R1206" s="88"/>
      <c r="S1206" s="88"/>
      <c r="T1206" s="54"/>
      <c r="U1206" s="54"/>
      <c r="V1206" s="88"/>
    </row>
    <row r="1207" spans="1:22">
      <c r="A1207" s="34">
        <v>1205</v>
      </c>
      <c r="B1207" s="34"/>
      <c r="C1207" s="34"/>
      <c r="D1207" s="34"/>
      <c r="E1207" s="34"/>
      <c r="F1207" s="85"/>
      <c r="G1207" s="159"/>
      <c r="H1207" s="155"/>
      <c r="I1207" s="86"/>
      <c r="J1207" s="86"/>
      <c r="K1207" s="155"/>
      <c r="L1207" s="85"/>
      <c r="M1207" s="100"/>
      <c r="N1207" s="88"/>
      <c r="O1207" s="141"/>
      <c r="P1207" s="85"/>
      <c r="Q1207" s="88"/>
      <c r="R1207" s="88"/>
      <c r="S1207" s="88"/>
      <c r="T1207" s="54"/>
      <c r="U1207" s="54"/>
      <c r="V1207" s="88"/>
    </row>
    <row r="1208" spans="1:22">
      <c r="A1208" s="34">
        <v>1206</v>
      </c>
      <c r="B1208" s="34"/>
      <c r="C1208" s="34"/>
      <c r="D1208" s="34"/>
      <c r="E1208" s="34"/>
      <c r="F1208" s="85"/>
      <c r="G1208" s="159"/>
      <c r="H1208" s="155"/>
      <c r="I1208" s="86"/>
      <c r="J1208" s="86"/>
      <c r="K1208" s="155"/>
      <c r="L1208" s="85"/>
      <c r="M1208" s="100"/>
      <c r="N1208" s="88"/>
      <c r="O1208" s="141"/>
      <c r="P1208" s="85"/>
      <c r="Q1208" s="88"/>
      <c r="R1208" s="88"/>
      <c r="S1208" s="88"/>
      <c r="T1208" s="54"/>
      <c r="U1208" s="54"/>
      <c r="V1208" s="88"/>
    </row>
    <row r="1209" spans="1:22">
      <c r="A1209" s="34">
        <v>1207</v>
      </c>
      <c r="B1209" s="34"/>
      <c r="C1209" s="34"/>
      <c r="D1209" s="34"/>
      <c r="E1209" s="34"/>
      <c r="F1209" s="85"/>
      <c r="G1209" s="159"/>
      <c r="H1209" s="155"/>
      <c r="I1209" s="86"/>
      <c r="J1209" s="86"/>
      <c r="K1209" s="155"/>
      <c r="L1209" s="85"/>
      <c r="M1209" s="100"/>
      <c r="N1209" s="88"/>
      <c r="O1209" s="141"/>
      <c r="P1209" s="85"/>
      <c r="Q1209" s="88"/>
      <c r="R1209" s="88"/>
      <c r="S1209" s="88"/>
      <c r="T1209" s="54"/>
      <c r="U1209" s="54"/>
      <c r="V1209" s="88"/>
    </row>
    <row r="1210" spans="1:22">
      <c r="A1210" s="34">
        <v>1208</v>
      </c>
      <c r="B1210" s="34"/>
      <c r="C1210" s="34"/>
      <c r="D1210" s="34"/>
      <c r="E1210" s="34"/>
      <c r="F1210" s="85"/>
      <c r="G1210" s="159"/>
      <c r="H1210" s="155"/>
      <c r="I1210" s="86"/>
      <c r="J1210" s="86"/>
      <c r="K1210" s="155"/>
      <c r="L1210" s="85"/>
      <c r="M1210" s="100"/>
      <c r="N1210" s="88"/>
      <c r="O1210" s="141"/>
      <c r="P1210" s="85"/>
      <c r="Q1210" s="88"/>
      <c r="R1210" s="88"/>
      <c r="S1210" s="88"/>
      <c r="T1210" s="54"/>
      <c r="U1210" s="54"/>
      <c r="V1210" s="88"/>
    </row>
    <row r="1211" spans="1:22">
      <c r="A1211" s="34">
        <v>1209</v>
      </c>
      <c r="B1211" s="34"/>
      <c r="C1211" s="34"/>
      <c r="D1211" s="34"/>
      <c r="E1211" s="34"/>
      <c r="F1211" s="85"/>
      <c r="G1211" s="159"/>
      <c r="H1211" s="155"/>
      <c r="I1211" s="86"/>
      <c r="J1211" s="86"/>
      <c r="K1211" s="155"/>
      <c r="L1211" s="85"/>
      <c r="M1211" s="100"/>
      <c r="N1211" s="88"/>
      <c r="O1211" s="141"/>
      <c r="P1211" s="85"/>
      <c r="Q1211" s="88"/>
      <c r="R1211" s="88"/>
      <c r="S1211" s="88"/>
      <c r="T1211" s="54"/>
      <c r="U1211" s="54"/>
      <c r="V1211" s="88"/>
    </row>
    <row r="1212" spans="1:22">
      <c r="A1212" s="34">
        <v>1210</v>
      </c>
      <c r="B1212" s="34"/>
      <c r="C1212" s="34"/>
      <c r="D1212" s="34"/>
      <c r="E1212" s="34"/>
      <c r="F1212" s="85"/>
      <c r="G1212" s="159"/>
      <c r="H1212" s="155"/>
      <c r="I1212" s="86"/>
      <c r="J1212" s="86"/>
      <c r="K1212" s="155"/>
      <c r="L1212" s="85"/>
      <c r="M1212" s="100"/>
      <c r="N1212" s="88"/>
      <c r="O1212" s="141"/>
      <c r="P1212" s="85"/>
      <c r="Q1212" s="88"/>
      <c r="R1212" s="88"/>
      <c r="S1212" s="88"/>
      <c r="T1212" s="54"/>
      <c r="U1212" s="54"/>
      <c r="V1212" s="88"/>
    </row>
    <row r="1213" spans="1:22">
      <c r="A1213" s="34">
        <v>1211</v>
      </c>
      <c r="B1213" s="34"/>
      <c r="C1213" s="34"/>
      <c r="D1213" s="34"/>
      <c r="E1213" s="34"/>
      <c r="F1213" s="85"/>
      <c r="G1213" s="159"/>
      <c r="H1213" s="155"/>
      <c r="I1213" s="86"/>
      <c r="J1213" s="86"/>
      <c r="K1213" s="155"/>
      <c r="L1213" s="85"/>
      <c r="M1213" s="100"/>
      <c r="N1213" s="88"/>
      <c r="O1213" s="141"/>
      <c r="P1213" s="85"/>
      <c r="Q1213" s="88"/>
      <c r="R1213" s="88"/>
      <c r="S1213" s="88"/>
      <c r="T1213" s="54"/>
      <c r="U1213" s="54"/>
      <c r="V1213" s="88"/>
    </row>
    <row r="1214" spans="1:22">
      <c r="A1214" s="34">
        <v>1212</v>
      </c>
      <c r="B1214" s="34"/>
      <c r="C1214" s="34"/>
      <c r="D1214" s="34"/>
      <c r="E1214" s="34"/>
      <c r="F1214" s="85"/>
      <c r="G1214" s="159"/>
      <c r="H1214" s="155"/>
      <c r="I1214" s="86"/>
      <c r="J1214" s="86"/>
      <c r="K1214" s="155"/>
      <c r="L1214" s="85"/>
      <c r="M1214" s="100"/>
      <c r="N1214" s="88"/>
      <c r="O1214" s="141"/>
      <c r="P1214" s="85"/>
      <c r="Q1214" s="88"/>
      <c r="R1214" s="88"/>
      <c r="S1214" s="88"/>
      <c r="T1214" s="54"/>
      <c r="U1214" s="54"/>
      <c r="V1214" s="88"/>
    </row>
    <row r="1215" spans="1:22">
      <c r="A1215" s="34">
        <v>1213</v>
      </c>
      <c r="B1215" s="34"/>
      <c r="C1215" s="34"/>
      <c r="D1215" s="34"/>
      <c r="E1215" s="34"/>
      <c r="F1215" s="85"/>
      <c r="G1215" s="159"/>
      <c r="H1215" s="155"/>
      <c r="I1215" s="86"/>
      <c r="J1215" s="86"/>
      <c r="K1215" s="155"/>
      <c r="L1215" s="85"/>
      <c r="M1215" s="100"/>
      <c r="N1215" s="88"/>
      <c r="O1215" s="141"/>
      <c r="P1215" s="85"/>
      <c r="Q1215" s="88"/>
      <c r="R1215" s="88"/>
      <c r="S1215" s="88"/>
      <c r="T1215" s="54"/>
      <c r="U1215" s="54"/>
      <c r="V1215" s="88"/>
    </row>
    <row r="1216" spans="1:22">
      <c r="A1216" s="34"/>
      <c r="B1216" s="34"/>
      <c r="C1216" s="34"/>
      <c r="D1216" s="34"/>
      <c r="E1216" s="34"/>
      <c r="F1216" s="85"/>
      <c r="G1216" s="159"/>
      <c r="H1216" s="155"/>
      <c r="I1216" s="86"/>
      <c r="J1216" s="86"/>
      <c r="K1216" s="155"/>
      <c r="L1216" s="85"/>
      <c r="M1216" s="100"/>
      <c r="N1216" s="78"/>
      <c r="O1216" s="145"/>
      <c r="P1216" s="78"/>
      <c r="Q1216" s="78"/>
      <c r="R1216" s="78"/>
      <c r="S1216" s="78"/>
      <c r="T1216" s="78"/>
      <c r="U1216" s="54"/>
      <c r="V1216" s="78"/>
    </row>
    <row r="1217" spans="1:22">
      <c r="A1217" s="34"/>
      <c r="B1217" s="34"/>
      <c r="C1217" s="34"/>
      <c r="D1217" s="34"/>
      <c r="E1217" s="34"/>
      <c r="F1217" s="85"/>
      <c r="G1217" s="159"/>
      <c r="H1217" s="155"/>
      <c r="I1217" s="86"/>
      <c r="J1217" s="86"/>
      <c r="K1217" s="155"/>
      <c r="L1217" s="85"/>
      <c r="N1217" s="78"/>
      <c r="O1217" s="145"/>
      <c r="P1217" s="78"/>
      <c r="Q1217" s="78"/>
      <c r="R1217" s="78"/>
      <c r="S1217" s="78"/>
      <c r="T1217" s="78"/>
      <c r="U1217" s="54"/>
      <c r="V1217" s="78"/>
    </row>
  </sheetData>
  <autoFilter ref="M2:M1217"/>
  <phoneticPr fontId="1" type="noConversion"/>
  <conditionalFormatting sqref="H3:H402">
    <cfRule type="expression" dxfId="7" priority="1" stopIfTrue="1" operator="" text="">
      <formula>AND(ISNUMBER(H3),H3&gt;10)</formula>
    </cfRule>
    <cfRule type="expression" dxfId="8" priority="2" stopIfTrue="1" operator="" text="">
      <formula>AND(ISNUMBER(H3),H3&gt;=8.5,H3&lt;=10)</formula>
    </cfRule>
  </conditionalFormatting>
  <conditionalFormatting sqref="K3:K402">
    <cfRule type="expression" dxfId="9" priority="3" stopIfTrue="1" operator="" text="">
      <formula>AND(ISNUMBER($A3),ISNUMBER(K3),K3&gt;(IF($A3&lt;=20,50,IF($A3&lt;=30,50-2*($A3-20),IF($A3&lt;=50,30-0.75*($A3-30),IF($A3&lt;=100,15-0.16*($A3-50),7))))))</formula>
    </cfRule>
    <cfRule type="expression" dxfId="8" priority="4" stopIfTrue="1" operator="" text="">
      <formula>AND(ISNUMBER($A3),ISNUMBER(K3),K3&gt;=(IF($A3&lt;=20,45,IF($A3&lt;=30,45-2*($A3-20),IF($A3&lt;=50,25-0.65*($A3-30),IF($A3&lt;=100,12-0.14*($A3-50),5))))),K3&lt;=(IF($A3&lt;=20,50,IF($A3&lt;=30,50-2*($A3-20),IF($A3&lt;=50,30-0.75*($A3-30),IF($A3&lt;=100,15-0.16*($A3-50),7))))))</formula>
    </cfRule>
    <cfRule type="expression" dxfId="7" priority="5" stopIfTrue="1" operator="" text="">
      <formula>AND(ISNUMBER($A3),ISNUMBER(K3),K3&lt;(IF($A3&lt;=20,45,IF($A3&lt;=30,45-2*($A3-20),IF($A3&lt;=50,25-0.65*($A3-30),IF($A3&lt;=100,12-0.14*($A3-50),5))))))</formula>
    </cfRule>
  </conditionalFormatting>
  <dataValidations count="2">
    <dataValidation type="list" allowBlank="1" showInputMessage="1" showErrorMessage="1" sqref="M1002">
      <formula1>"Normal,Hard,Very Hard"</formula1>
    </dataValidation>
    <dataValidation type="list" allowBlank="1" showInputMessage="1" showErrorMessage="1" sqref="M3:M1001">
      <formula1>"Normal,Hard,Very Hard"</formula1>
    </dataValidation>
  </dataValidations>
  <pageMargins left="0.70" right="0.70" top="0.75" bottom="0.75" header="0.30" footer="0.3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X1626"/>
  <sheetViews>
    <sheetView workbookViewId="0">
      <pane xSplit="1" topLeftCell="B1" activePane="topRight" state="frozen"/>
      <selection pane="topRight" activeCell="C2" sqref="C2"/>
    </sheetView>
  </sheetViews>
  <sheetFormatPr defaultColWidth="12.63000000" defaultRowHeight="15.750000" customHeight="1"/>
  <cols>
    <col min="2" max="2" style="168" width="17.29071508" customWidth="1" outlineLevel="0"/>
    <col min="3" max="4" style="168" width="13.43357168" customWidth="1" outlineLevel="0"/>
    <col min="5" max="5" style="168" width="13.57642828" customWidth="1" outlineLevel="0"/>
    <col min="6" max="7" style="168" width="13.43357168" customWidth="1" outlineLevel="0"/>
    <col min="8" max="8" style="168" width="13.57642828" customWidth="1" outlineLevel="0"/>
    <col min="9" max="9" style="168" width="14.71928583" customWidth="1" outlineLevel="0"/>
    <col min="10" max="10" style="168" width="12.57642828" customWidth="1" outlineLevel="0"/>
    <col min="11" max="12" style="168" width="15.86214243" customWidth="1" outlineLevel="0"/>
    <col min="13" max="13" style="168" width="21.57642828" customWidth="1" outlineLevel="0"/>
    <col min="14" max="14" style="168" width="19.29071508" customWidth="1" outlineLevel="0"/>
    <col min="15" max="20" style="168" width="15.00499998" customWidth="1" outlineLevel="0"/>
    <col min="22" max="22" style="168" width="16.57642828" customWidth="1" outlineLevel="0"/>
    <col min="23" max="24" style="168" width="15.86214243" customWidth="1" outlineLevel="0"/>
  </cols>
  <sheetData>
    <row r="1" spans="1:24" s="168" customFormat="1" ht="22.500000" customHeight="1">
      <c r="A1" s="32" t="s">
        <v>5</v>
      </c>
      <c r="B1" s="34"/>
      <c r="C1" s="34" t="s">
        <v>7</v>
      </c>
      <c r="D1" s="48" t="s">
        <v>7</v>
      </c>
      <c r="E1" s="48" t="s">
        <v>7</v>
      </c>
      <c r="F1" s="102" t="s">
        <v>8</v>
      </c>
      <c r="G1" s="102" t="s">
        <v>8</v>
      </c>
      <c r="H1" s="102" t="s">
        <v>8</v>
      </c>
      <c r="I1" s="78"/>
      <c r="J1" s="103" t="s">
        <v>7</v>
      </c>
      <c r="K1" s="103" t="s">
        <v>31</v>
      </c>
      <c r="L1" s="103" t="s">
        <v>32</v>
      </c>
      <c r="M1" s="103" t="s">
        <v>33</v>
      </c>
      <c r="N1" s="34"/>
      <c r="O1" s="34" t="s">
        <v>7</v>
      </c>
      <c r="P1" s="48" t="s">
        <v>7</v>
      </c>
      <c r="Q1" s="48" t="s">
        <v>7</v>
      </c>
      <c r="R1" s="102" t="s">
        <v>8</v>
      </c>
      <c r="S1" s="102" t="s">
        <v>8</v>
      </c>
      <c r="T1" s="102" t="s">
        <v>8</v>
      </c>
      <c r="V1" s="103" t="s">
        <v>7</v>
      </c>
      <c r="W1" s="103" t="s">
        <v>31</v>
      </c>
      <c r="X1" s="103" t="s">
        <v>32</v>
      </c>
    </row>
    <row r="2" spans="1:24" s="168" customFormat="1" ht="22.500000" customHeight="1">
      <c r="A2" s="40" t="s">
        <v>0</v>
      </c>
      <c r="B2" s="104" t="s">
        <v>34</v>
      </c>
      <c r="C2" s="104" t="s">
        <v>35</v>
      </c>
      <c r="D2" s="104" t="s">
        <v>36</v>
      </c>
      <c r="E2" s="104" t="s">
        <v>37</v>
      </c>
      <c r="F2" s="104" t="s">
        <v>35</v>
      </c>
      <c r="G2" s="104" t="s">
        <v>36</v>
      </c>
      <c r="H2" s="104" t="s">
        <v>37</v>
      </c>
      <c r="I2" s="105" t="s">
        <v>21</v>
      </c>
      <c r="J2" s="106" t="s">
        <v>38</v>
      </c>
      <c r="K2" s="106" t="s">
        <v>39</v>
      </c>
      <c r="L2" s="106" t="s">
        <v>40</v>
      </c>
      <c r="M2" s="106" t="s">
        <v>41</v>
      </c>
      <c r="N2" s="104" t="s">
        <v>42</v>
      </c>
      <c r="O2" s="104" t="s">
        <v>43</v>
      </c>
      <c r="P2" s="104" t="s">
        <v>44</v>
      </c>
      <c r="Q2" s="104" t="s">
        <v>45</v>
      </c>
      <c r="R2" s="104" t="s">
        <v>43</v>
      </c>
      <c r="S2" s="104" t="s">
        <v>44</v>
      </c>
      <c r="T2" s="104" t="s">
        <v>45</v>
      </c>
      <c r="U2" s="107" t="s">
        <v>46</v>
      </c>
      <c r="V2" s="106" t="s">
        <v>47</v>
      </c>
      <c r="W2" s="106" t="s">
        <v>48</v>
      </c>
      <c r="X2" s="106" t="s">
        <v>49</v>
      </c>
    </row>
    <row r="3" spans="1:24" s="168" customFormat="1" ht="22.500000" customHeight="1">
      <c r="A3" s="34">
        <v>1</v>
      </c>
      <c r="B3" s="108">
        <f>C3+D3+E3+F3+G3+H3</f>
        <v>0</v>
      </c>
      <c r="C3" s="109">
        <v>0</v>
      </c>
      <c r="D3" s="109">
        <v>0</v>
      </c>
      <c r="E3" s="109">
        <v>0</v>
      </c>
      <c r="F3" s="109">
        <v>0</v>
      </c>
      <c r="G3" s="109">
        <v>0</v>
      </c>
      <c r="H3" s="109">
        <v>0</v>
      </c>
      <c r="I3" s="78" t="e">
        <f>(100*B3)/N3</f>
        <v>#DIV/0!</v>
      </c>
      <c r="J3" s="110" t="e">
        <f>((C3+F3)*100)/B3</f>
        <v>#DIV/0!</v>
      </c>
      <c r="K3" s="110" t="e">
        <f>((D3+G3)*100)/B3</f>
        <v>#DIV/0!</v>
      </c>
      <c r="L3" s="110" t="e">
        <f>((E3+H3)*100)/B3</f>
        <v>#DIV/0!</v>
      </c>
      <c r="M3" s="111"/>
      <c r="N3" s="108">
        <f>O3+P3+Q3+R3+S3+T3</f>
        <v>0</v>
      </c>
      <c r="O3" s="109">
        <v>0</v>
      </c>
      <c r="P3" s="109">
        <v>0</v>
      </c>
      <c r="Q3" s="109">
        <v>0</v>
      </c>
      <c r="R3" s="109">
        <v>0</v>
      </c>
      <c r="S3" s="109">
        <v>0</v>
      </c>
      <c r="T3" s="109">
        <v>0</v>
      </c>
      <c r="U3" s="49">
        <v>0</v>
      </c>
      <c r="V3" s="110" t="e">
        <f>((O3+R3)*100)/N3</f>
        <v>#DIV/0!</v>
      </c>
      <c r="W3" s="110" t="e">
        <f>((P3+S3)*100)/N3</f>
        <v>#DIV/0!</v>
      </c>
      <c r="X3" s="110" t="e">
        <f>((Q3+T3)*100)/N3</f>
        <v>#DIV/0!</v>
      </c>
    </row>
    <row r="4" spans="1:24" s="168" customFormat="1" ht="22.500000" customHeight="1">
      <c r="A4" s="34">
        <v>2</v>
      </c>
      <c r="B4" s="108">
        <f>C4+D4+E4+F4+G4+H4</f>
        <v>0</v>
      </c>
      <c r="C4" s="109">
        <v>0</v>
      </c>
      <c r="D4" s="109">
        <v>0</v>
      </c>
      <c r="E4" s="109">
        <v>0</v>
      </c>
      <c r="F4" s="109">
        <v>0</v>
      </c>
      <c r="G4" s="109">
        <v>0</v>
      </c>
      <c r="H4" s="109">
        <v>0</v>
      </c>
      <c r="I4" s="78" t="e">
        <f>(100*B4)/N4</f>
        <v>#DIV/0!</v>
      </c>
      <c r="J4" s="110" t="e">
        <f>((C4+F4)*100)/B4</f>
        <v>#DIV/0!</v>
      </c>
      <c r="K4" s="110" t="e">
        <f>((D4+G4)*100)/B4</f>
        <v>#DIV/0!</v>
      </c>
      <c r="L4" s="110" t="e">
        <f>((E4+H4)*100)/B4</f>
        <v>#DIV/0!</v>
      </c>
      <c r="M4" s="112">
        <f>N4-B3</f>
        <v>0</v>
      </c>
      <c r="N4" s="108">
        <f>O4+P4+Q4+R4+S4+T4</f>
        <v>0</v>
      </c>
      <c r="O4" s="109">
        <v>0</v>
      </c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49">
        <v>0</v>
      </c>
      <c r="V4" s="110" t="e">
        <f>((O4+R4)*100)/N4</f>
        <v>#DIV/0!</v>
      </c>
      <c r="W4" s="110" t="e">
        <f>((P4+S4)*100)/N4</f>
        <v>#DIV/0!</v>
      </c>
      <c r="X4" s="110" t="e">
        <f>((Q4+T4)*100)/N4</f>
        <v>#DIV/0!</v>
      </c>
    </row>
    <row r="5" spans="1:24" s="168" customFormat="1" ht="22.500000" customHeight="1">
      <c r="A5" s="34">
        <v>3</v>
      </c>
      <c r="B5" s="108">
        <f>C5+D5+E5+F5+G5+H5</f>
        <v>0</v>
      </c>
      <c r="C5" s="109">
        <v>0</v>
      </c>
      <c r="D5" s="109">
        <v>0</v>
      </c>
      <c r="E5" s="109">
        <v>0</v>
      </c>
      <c r="F5" s="109">
        <v>0</v>
      </c>
      <c r="G5" s="109">
        <v>0</v>
      </c>
      <c r="H5" s="109">
        <v>0</v>
      </c>
      <c r="I5" s="78" t="e">
        <f>(100*B5)/N5</f>
        <v>#DIV/0!</v>
      </c>
      <c r="J5" s="110" t="e">
        <f>((C5+F5)*100)/B5</f>
        <v>#DIV/0!</v>
      </c>
      <c r="K5" s="110" t="e">
        <f>((D5+G5)*100)/B5</f>
        <v>#DIV/0!</v>
      </c>
      <c r="L5" s="110" t="e">
        <f>((E5+H5)*100)/B5</f>
        <v>#DIV/0!</v>
      </c>
      <c r="M5" s="112">
        <f>N5-B4</f>
        <v>0</v>
      </c>
      <c r="N5" s="108">
        <f>O5+P5+Q5+R5+S5+T5</f>
        <v>0</v>
      </c>
      <c r="O5" s="109">
        <v>0</v>
      </c>
      <c r="P5" s="109">
        <v>0</v>
      </c>
      <c r="Q5" s="109">
        <v>0</v>
      </c>
      <c r="R5" s="109">
        <v>0</v>
      </c>
      <c r="S5" s="109">
        <v>0</v>
      </c>
      <c r="T5" s="109">
        <v>0</v>
      </c>
      <c r="U5" s="49">
        <v>0</v>
      </c>
      <c r="V5" s="110" t="e">
        <f>((O5+R5)*100)/N5</f>
        <v>#DIV/0!</v>
      </c>
      <c r="W5" s="110" t="e">
        <f>((P5+S5)*100)/N5</f>
        <v>#DIV/0!</v>
      </c>
      <c r="X5" s="110" t="e">
        <f>((Q5+T5)*100)/N5</f>
        <v>#DIV/0!</v>
      </c>
    </row>
    <row r="6" spans="1:24" s="168" customFormat="1" ht="22.500000" customHeight="1">
      <c r="A6" s="34">
        <v>4</v>
      </c>
      <c r="B6" s="108">
        <f>C6+D6+E6+F6+G6+H6</f>
        <v>0</v>
      </c>
      <c r="C6" s="109">
        <v>0</v>
      </c>
      <c r="D6" s="109">
        <v>0</v>
      </c>
      <c r="E6" s="109">
        <v>0</v>
      </c>
      <c r="F6" s="109">
        <v>0</v>
      </c>
      <c r="G6" s="109">
        <v>0</v>
      </c>
      <c r="H6" s="109">
        <v>0</v>
      </c>
      <c r="I6" s="78" t="e">
        <f>(100*B6)/N6</f>
        <v>#DIV/0!</v>
      </c>
      <c r="J6" s="110" t="e">
        <f>((C6+F6)*100)/B6</f>
        <v>#DIV/0!</v>
      </c>
      <c r="K6" s="110" t="e">
        <f>((D6+G6)*100)/B6</f>
        <v>#DIV/0!</v>
      </c>
      <c r="L6" s="110" t="e">
        <f>((E6+H6)*100)/B6</f>
        <v>#DIV/0!</v>
      </c>
      <c r="M6" s="112">
        <f>N6-B5</f>
        <v>0</v>
      </c>
      <c r="N6" s="108">
        <f>O6+P6+Q6+R6+S6+T6</f>
        <v>0</v>
      </c>
      <c r="O6" s="109">
        <v>0</v>
      </c>
      <c r="P6" s="109">
        <v>0</v>
      </c>
      <c r="Q6" s="109">
        <v>0</v>
      </c>
      <c r="R6" s="109">
        <v>0</v>
      </c>
      <c r="S6" s="109">
        <v>0</v>
      </c>
      <c r="T6" s="109">
        <v>0</v>
      </c>
      <c r="U6" s="49">
        <v>0</v>
      </c>
      <c r="V6" s="110" t="e">
        <f>((O6+R6)*100)/N6</f>
        <v>#DIV/0!</v>
      </c>
      <c r="W6" s="110" t="e">
        <f>((P6+S6)*100)/N6</f>
        <v>#DIV/0!</v>
      </c>
      <c r="X6" s="110" t="e">
        <f>((Q6+T6)*100)/N6</f>
        <v>#DIV/0!</v>
      </c>
    </row>
    <row r="7" spans="1:24" s="168" customFormat="1" ht="22.500000" customHeight="1">
      <c r="A7" s="34">
        <v>5</v>
      </c>
      <c r="B7" s="108">
        <f>C7+D7+E7+F7+G7+H7</f>
        <v>0</v>
      </c>
      <c r="C7" s="109">
        <v>0</v>
      </c>
      <c r="D7" s="109">
        <v>0</v>
      </c>
      <c r="E7" s="109">
        <v>0</v>
      </c>
      <c r="F7" s="109">
        <v>0</v>
      </c>
      <c r="G7" s="109">
        <v>0</v>
      </c>
      <c r="H7" s="109">
        <v>0</v>
      </c>
      <c r="I7" s="78" t="e">
        <f>(100*B7)/N7</f>
        <v>#DIV/0!</v>
      </c>
      <c r="J7" s="110" t="e">
        <f>((C7+F7)*100)/B7</f>
        <v>#DIV/0!</v>
      </c>
      <c r="K7" s="110" t="e">
        <f>((D7+G7)*100)/B7</f>
        <v>#DIV/0!</v>
      </c>
      <c r="L7" s="110" t="e">
        <f>((E7+H7)*100)/B7</f>
        <v>#DIV/0!</v>
      </c>
      <c r="M7" s="112">
        <f>N7-B6</f>
        <v>0</v>
      </c>
      <c r="N7" s="108">
        <f>O7+P7+Q7+R7+S7+T7</f>
        <v>0</v>
      </c>
      <c r="O7" s="109">
        <v>0</v>
      </c>
      <c r="P7" s="109">
        <v>0</v>
      </c>
      <c r="Q7" s="109">
        <v>0</v>
      </c>
      <c r="R7" s="109">
        <v>0</v>
      </c>
      <c r="S7" s="109">
        <v>0</v>
      </c>
      <c r="T7" s="109">
        <v>0</v>
      </c>
      <c r="U7" s="49">
        <v>1</v>
      </c>
      <c r="V7" s="110" t="e">
        <f>((O7+R7)*100)/N7</f>
        <v>#DIV/0!</v>
      </c>
      <c r="W7" s="110" t="e">
        <f>((P7+S7)*100)/N7</f>
        <v>#DIV/0!</v>
      </c>
      <c r="X7" s="110" t="e">
        <f>((Q7+T7)*100)/N7</f>
        <v>#DIV/0!</v>
      </c>
    </row>
    <row r="8" spans="1:24" s="168" customFormat="1" ht="22.500000" customHeight="1">
      <c r="A8" s="34">
        <v>6</v>
      </c>
      <c r="B8" s="108">
        <f>C8+D8+E8+F8+G8+H8</f>
        <v>0</v>
      </c>
      <c r="C8" s="109">
        <v>0</v>
      </c>
      <c r="D8" s="109">
        <v>0</v>
      </c>
      <c r="E8" s="109">
        <v>0</v>
      </c>
      <c r="F8" s="109">
        <v>0</v>
      </c>
      <c r="G8" s="109">
        <v>0</v>
      </c>
      <c r="H8" s="109">
        <v>0</v>
      </c>
      <c r="I8" s="78" t="e">
        <f>(100*B8)/N8</f>
        <v>#DIV/0!</v>
      </c>
      <c r="J8" s="110" t="e">
        <f>((C8+F8)*100)/B8</f>
        <v>#DIV/0!</v>
      </c>
      <c r="K8" s="110" t="e">
        <f>((D8+G8)*100)/B8</f>
        <v>#DIV/0!</v>
      </c>
      <c r="L8" s="110" t="e">
        <f>((E8+H8)*100)/B8</f>
        <v>#DIV/0!</v>
      </c>
      <c r="M8" s="112">
        <f>N8-B7</f>
        <v>0</v>
      </c>
      <c r="N8" s="108">
        <f>O8+P8+Q8+R8+S8+T8</f>
        <v>0</v>
      </c>
      <c r="O8" s="109">
        <v>0</v>
      </c>
      <c r="P8" s="109">
        <v>0</v>
      </c>
      <c r="Q8" s="109">
        <v>0</v>
      </c>
      <c r="R8" s="109">
        <v>0</v>
      </c>
      <c r="S8" s="109">
        <v>0</v>
      </c>
      <c r="T8" s="109">
        <v>0</v>
      </c>
      <c r="U8" s="49">
        <v>0</v>
      </c>
      <c r="V8" s="110" t="e">
        <f>((O8+R8)*100)/N8</f>
        <v>#DIV/0!</v>
      </c>
      <c r="W8" s="110" t="e">
        <f>((P8+S8)*100)/N8</f>
        <v>#DIV/0!</v>
      </c>
      <c r="X8" s="110" t="e">
        <f>((Q8+T8)*100)/N8</f>
        <v>#DIV/0!</v>
      </c>
    </row>
    <row r="9" spans="1:24" s="168" customFormat="1" ht="22.500000" customHeight="1">
      <c r="A9" s="34">
        <v>7</v>
      </c>
      <c r="B9" s="108">
        <f>C9+D9+E9+F9+G9+H9</f>
        <v>0</v>
      </c>
      <c r="C9" s="109">
        <v>0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78" t="e">
        <f>(100*B9)/N9</f>
        <v>#DIV/0!</v>
      </c>
      <c r="J9" s="110" t="e">
        <f>((C9+F9)*100)/B9</f>
        <v>#DIV/0!</v>
      </c>
      <c r="K9" s="110" t="e">
        <f>((D9+G9)*100)/B9</f>
        <v>#DIV/0!</v>
      </c>
      <c r="L9" s="110" t="e">
        <f>((E9+H9)*100)/B9</f>
        <v>#DIV/0!</v>
      </c>
      <c r="M9" s="112">
        <f>N9-B8</f>
        <v>0</v>
      </c>
      <c r="N9" s="108">
        <f>O9+P9+Q9+R9+S9+T9</f>
        <v>0</v>
      </c>
      <c r="O9" s="109">
        <v>0</v>
      </c>
      <c r="P9" s="109">
        <v>0</v>
      </c>
      <c r="Q9" s="109">
        <v>0</v>
      </c>
      <c r="R9" s="109">
        <v>0</v>
      </c>
      <c r="S9" s="109">
        <v>0</v>
      </c>
      <c r="T9" s="109">
        <v>0</v>
      </c>
      <c r="U9" s="49">
        <v>0</v>
      </c>
      <c r="V9" s="110" t="e">
        <f>((O9+R9)*100)/N9</f>
        <v>#DIV/0!</v>
      </c>
      <c r="W9" s="110" t="e">
        <f>((P9+S9)*100)/N9</f>
        <v>#DIV/0!</v>
      </c>
      <c r="X9" s="110" t="e">
        <f>((Q9+T9)*100)/N9</f>
        <v>#DIV/0!</v>
      </c>
    </row>
    <row r="10" spans="1:24" s="168" customFormat="1" ht="22.500000" customHeight="1">
      <c r="A10" s="34">
        <v>8</v>
      </c>
      <c r="B10" s="108">
        <f>C10+D10+E10+F10+G10+H10</f>
        <v>717</v>
      </c>
      <c r="C10" s="109">
        <v>717</v>
      </c>
      <c r="D10" s="109">
        <v>0</v>
      </c>
      <c r="E10" s="109">
        <v>0</v>
      </c>
      <c r="F10" s="109">
        <v>0</v>
      </c>
      <c r="G10" s="109">
        <v>0</v>
      </c>
      <c r="H10" s="109">
        <v>0</v>
      </c>
      <c r="I10" s="78">
        <f>(100*B10)/N10</f>
        <v>98.8254532728682</v>
      </c>
      <c r="J10" s="110">
        <f>((C10+F10)*100)/B10</f>
        <v>100</v>
      </c>
      <c r="K10" s="110">
        <f>((D10+G10)*100)/B10</f>
        <v>0</v>
      </c>
      <c r="L10" s="110">
        <f>((E10+H10)*100)/B10</f>
        <v>0</v>
      </c>
      <c r="M10" s="112">
        <f>N10-B9</f>
        <v>725.52159009105</v>
      </c>
      <c r="N10" s="108">
        <f>O10+P10+Q10+R10+S10+T10</f>
        <v>725.52159009105</v>
      </c>
      <c r="O10" s="109">
        <v>721</v>
      </c>
      <c r="P10" s="109">
        <v>0</v>
      </c>
      <c r="Q10" s="109">
        <v>0</v>
      </c>
      <c r="R10" s="109">
        <v>4.52159009104942</v>
      </c>
      <c r="S10" s="109">
        <v>0</v>
      </c>
      <c r="T10" s="109">
        <v>0</v>
      </c>
      <c r="U10" s="49">
        <v>1</v>
      </c>
      <c r="V10" s="110">
        <f>((O10+R10)*100)/N10</f>
        <v>100</v>
      </c>
      <c r="W10" s="110">
        <f>((P10+S10)*100)/N10</f>
        <v>0</v>
      </c>
      <c r="X10" s="110">
        <f>((Q10+T10)*100)/N10</f>
        <v>0</v>
      </c>
    </row>
    <row r="11" spans="1:24" s="168" customFormat="1" ht="22.500000" customHeight="1">
      <c r="A11" s="34">
        <v>9</v>
      </c>
      <c r="B11" s="108">
        <f>C11+D11+E11+F11+G11+H11</f>
        <v>19</v>
      </c>
      <c r="C11" s="109">
        <v>19</v>
      </c>
      <c r="D11" s="109">
        <v>0</v>
      </c>
      <c r="E11" s="109">
        <v>0</v>
      </c>
      <c r="F11" s="109">
        <v>0</v>
      </c>
      <c r="G11" s="109">
        <v>0</v>
      </c>
      <c r="H11" s="109">
        <v>0</v>
      </c>
      <c r="I11" s="78">
        <f>(100*B11)/N11</f>
        <v>2.58213672150348</v>
      </c>
      <c r="J11" s="110">
        <f>((C11+F11)*100)/B11</f>
        <v>100</v>
      </c>
      <c r="K11" s="110">
        <f>((D11+G11)*100)/B11</f>
        <v>0</v>
      </c>
      <c r="L11" s="110">
        <f>((E11+H11)*100)/B11</f>
        <v>0</v>
      </c>
      <c r="M11" s="112">
        <f>N11-B10</f>
        <v>18.8247083422073</v>
      </c>
      <c r="N11" s="108">
        <f>O11+P11+Q11+R11+S11+T11</f>
        <v>735.824708342207</v>
      </c>
      <c r="O11" s="109">
        <v>694</v>
      </c>
      <c r="P11" s="109">
        <v>0</v>
      </c>
      <c r="Q11" s="109">
        <v>0</v>
      </c>
      <c r="R11" s="109">
        <v>41.8247083422072</v>
      </c>
      <c r="S11" s="109">
        <v>0</v>
      </c>
      <c r="T11" s="109">
        <v>0</v>
      </c>
      <c r="U11" s="49">
        <v>3</v>
      </c>
      <c r="V11" s="110">
        <f>((O11+R11)*100)/N11</f>
        <v>100</v>
      </c>
      <c r="W11" s="110">
        <f>((P11+S11)*100)/N11</f>
        <v>0</v>
      </c>
      <c r="X11" s="110">
        <f>((Q11+T11)*100)/N11</f>
        <v>0</v>
      </c>
    </row>
    <row r="12" spans="1:24" s="168" customFormat="1" ht="22.500000" customHeight="1">
      <c r="A12" s="34">
        <v>10</v>
      </c>
      <c r="B12" s="108">
        <f>C12+D12+E12+F12+G12+H12</f>
        <v>13</v>
      </c>
      <c r="C12" s="109">
        <v>13</v>
      </c>
      <c r="D12" s="109">
        <v>0</v>
      </c>
      <c r="E12" s="109">
        <v>0</v>
      </c>
      <c r="F12" s="109">
        <v>0</v>
      </c>
      <c r="G12" s="109">
        <v>0</v>
      </c>
      <c r="H12" s="109">
        <v>0</v>
      </c>
      <c r="I12" s="78">
        <f>(100*B12)/N12</f>
        <v>1.89240660292524</v>
      </c>
      <c r="J12" s="110">
        <f>((C12+F12)*100)/B12</f>
        <v>100</v>
      </c>
      <c r="K12" s="110">
        <f>((D12+G12)*100)/B12</f>
        <v>0</v>
      </c>
      <c r="L12" s="110">
        <f>((E12+H12)*100)/B12</f>
        <v>0</v>
      </c>
      <c r="M12" s="112">
        <f>N12-B11</f>
        <v>667.955962841435</v>
      </c>
      <c r="N12" s="108">
        <f>O12+P12+Q12+R12+S12+T12</f>
        <v>686.955962841435</v>
      </c>
      <c r="O12" s="109">
        <v>670</v>
      </c>
      <c r="P12" s="109">
        <v>0</v>
      </c>
      <c r="Q12" s="109">
        <v>0</v>
      </c>
      <c r="R12" s="109">
        <v>16.9559628414353</v>
      </c>
      <c r="S12" s="109">
        <v>0</v>
      </c>
      <c r="T12" s="109">
        <v>0</v>
      </c>
      <c r="U12" s="49">
        <v>5</v>
      </c>
      <c r="V12" s="110">
        <f>((O12+R12)*100)/N12</f>
        <v>100</v>
      </c>
      <c r="W12" s="110">
        <f>((P12+S12)*100)/N12</f>
        <v>0</v>
      </c>
      <c r="X12" s="110">
        <f>((Q12+T12)*100)/N12</f>
        <v>0</v>
      </c>
    </row>
    <row r="13" spans="1:24" s="168" customFormat="1" ht="22.500000" customHeight="1">
      <c r="A13" s="34">
        <v>11</v>
      </c>
      <c r="B13" s="108">
        <f>C13+D13+E13+F13+G13+H13</f>
        <v>47</v>
      </c>
      <c r="C13" s="109">
        <v>47</v>
      </c>
      <c r="D13" s="109">
        <v>0</v>
      </c>
      <c r="E13" s="109">
        <v>0</v>
      </c>
      <c r="F13" s="109">
        <v>0</v>
      </c>
      <c r="G13" s="109">
        <v>0</v>
      </c>
      <c r="H13" s="109">
        <v>0</v>
      </c>
      <c r="I13" s="78">
        <f>(100*B13)/N13</f>
        <v>5.25733116880203</v>
      </c>
      <c r="J13" s="110">
        <f>((C13+F13)*100)/B13</f>
        <v>100</v>
      </c>
      <c r="K13" s="110">
        <f>((D13+G13)*100)/B13</f>
        <v>0</v>
      </c>
      <c r="L13" s="110">
        <f>((E13+H13)*100)/B13</f>
        <v>0</v>
      </c>
      <c r="M13" s="112">
        <f>N13-B12</f>
        <v>880.98971628241</v>
      </c>
      <c r="N13" s="108">
        <f>O13+P13+Q13+R13+S13+T13</f>
        <v>893.98971628241</v>
      </c>
      <c r="O13" s="109">
        <v>582</v>
      </c>
      <c r="P13" s="109">
        <v>0</v>
      </c>
      <c r="Q13" s="109">
        <v>0</v>
      </c>
      <c r="R13" s="109">
        <v>311.98971628241</v>
      </c>
      <c r="S13" s="109">
        <v>0</v>
      </c>
      <c r="T13" s="109">
        <v>0</v>
      </c>
      <c r="U13" s="49">
        <v>89</v>
      </c>
      <c r="V13" s="110">
        <f>((O13+R13)*100)/N13</f>
        <v>100</v>
      </c>
      <c r="W13" s="110">
        <f>((P13+S13)*100)/N13</f>
        <v>0</v>
      </c>
      <c r="X13" s="110">
        <f>((Q13+T13)*100)/N13</f>
        <v>0</v>
      </c>
    </row>
    <row r="14" spans="1:24" s="168" customFormat="1" ht="22.500000" customHeight="1">
      <c r="A14" s="34">
        <v>12</v>
      </c>
      <c r="B14" s="108">
        <f>C14+D14+E14+F14+G14+H14</f>
        <v>654</v>
      </c>
      <c r="C14" s="109">
        <v>8</v>
      </c>
      <c r="D14" s="109">
        <v>646</v>
      </c>
      <c r="E14" s="109">
        <v>0</v>
      </c>
      <c r="F14" s="109">
        <v>0</v>
      </c>
      <c r="G14" s="109">
        <v>0</v>
      </c>
      <c r="H14" s="109">
        <v>0</v>
      </c>
      <c r="I14" s="78">
        <f>(100*B14)/N14</f>
        <v>55.487116373004</v>
      </c>
      <c r="J14" s="110">
        <f>((C14+F14)*100)/B14</f>
        <v>1.22324159021407</v>
      </c>
      <c r="K14" s="110">
        <f>((D14+G14)*100)/B14</f>
        <v>98.7767584097859</v>
      </c>
      <c r="L14" s="110">
        <f>((E14+H14)*100)/B14</f>
        <v>0</v>
      </c>
      <c r="M14" s="112">
        <f>N14-B13</f>
        <v>1131.65198761381</v>
      </c>
      <c r="N14" s="108">
        <f>O14+P14+Q14+R14+S14+T14</f>
        <v>1178.65198761381</v>
      </c>
      <c r="O14" s="109">
        <v>557</v>
      </c>
      <c r="P14" s="109">
        <v>616</v>
      </c>
      <c r="Q14" s="109">
        <v>0</v>
      </c>
      <c r="R14" s="109">
        <v>2.26079504552471</v>
      </c>
      <c r="S14" s="109">
        <v>3.39119256828707</v>
      </c>
      <c r="T14" s="109">
        <v>0</v>
      </c>
      <c r="U14" s="49">
        <v>77</v>
      </c>
      <c r="V14" s="110">
        <f>((O14+R14)*100)/N14</f>
        <v>47.4491877944186</v>
      </c>
      <c r="W14" s="110">
        <f>((P14+S14)*100)/N14</f>
        <v>52.5508122055814</v>
      </c>
      <c r="X14" s="110">
        <f>((Q14+T14)*100)/N14</f>
        <v>0</v>
      </c>
    </row>
    <row r="15" spans="1:24" s="168" customFormat="1" ht="22.500000" customHeight="1">
      <c r="A15" s="34">
        <v>13</v>
      </c>
      <c r="B15" s="108">
        <f>C15+D15+E15+F15+G15+H15</f>
        <v>5</v>
      </c>
      <c r="C15" s="109">
        <v>2</v>
      </c>
      <c r="D15" s="109">
        <v>3</v>
      </c>
      <c r="E15" s="109">
        <v>0</v>
      </c>
      <c r="F15" s="109">
        <v>0</v>
      </c>
      <c r="G15" s="109">
        <v>0</v>
      </c>
      <c r="H15" s="109">
        <v>0</v>
      </c>
      <c r="I15" s="78">
        <f>(100*B15)/N15</f>
        <v>0.439753737906772</v>
      </c>
      <c r="J15" s="110">
        <f>((C15+F15)*100)/B15</f>
        <v>40</v>
      </c>
      <c r="K15" s="110">
        <f>((D15+G15)*100)/B15</f>
        <v>60</v>
      </c>
      <c r="L15" s="110">
        <f>((E15+H15)*100)/B15</f>
        <v>0</v>
      </c>
      <c r="M15" s="112">
        <f>N15-B14</f>
        <v>483</v>
      </c>
      <c r="N15" s="108">
        <f>O15+P15+Q15+R15+S15+T15</f>
        <v>1137</v>
      </c>
      <c r="O15" s="109">
        <v>540</v>
      </c>
      <c r="P15" s="109">
        <v>597</v>
      </c>
      <c r="Q15" s="109">
        <v>0</v>
      </c>
      <c r="R15" s="109">
        <v>0</v>
      </c>
      <c r="S15" s="109">
        <v>0</v>
      </c>
      <c r="T15" s="109">
        <v>0</v>
      </c>
      <c r="U15" s="49">
        <v>70</v>
      </c>
      <c r="V15" s="110">
        <f>((O15+R15)*100)/N15</f>
        <v>47.4934036939314</v>
      </c>
      <c r="W15" s="110">
        <f>((P15+S15)*100)/N15</f>
        <v>52.5065963060686</v>
      </c>
      <c r="X15" s="110">
        <f>((Q15+T15)*100)/N15</f>
        <v>0</v>
      </c>
    </row>
    <row r="16" spans="1:24" s="168" customFormat="1" ht="22.500000" customHeight="1">
      <c r="A16" s="34">
        <v>14</v>
      </c>
      <c r="B16" s="108">
        <f>C16+D16+E16+F16+G16+H16</f>
        <v>40.3039752276236</v>
      </c>
      <c r="C16" s="109">
        <v>21</v>
      </c>
      <c r="D16" s="109">
        <v>8</v>
      </c>
      <c r="E16" s="109">
        <v>0</v>
      </c>
      <c r="F16" s="109">
        <v>1.13039752276235</v>
      </c>
      <c r="G16" s="109">
        <v>10.1735777048612</v>
      </c>
      <c r="H16" s="109">
        <v>0</v>
      </c>
      <c r="I16" s="78">
        <f>(100*B16)/N16</f>
        <v>2.49704131070514</v>
      </c>
      <c r="J16" s="110">
        <f>((C16+F16)*100)/B16</f>
        <v>54.9087215287752</v>
      </c>
      <c r="K16" s="110">
        <f>((D16+G16)*100)/B16</f>
        <v>45.0912784712248</v>
      </c>
      <c r="L16" s="110">
        <f>((E16+H16)*100)/B16</f>
        <v>0</v>
      </c>
      <c r="M16" s="112">
        <f>N16-B15</f>
        <v>1609.06922083488</v>
      </c>
      <c r="N16" s="108">
        <f>O16+P16+Q16+R16+S16+T16</f>
        <v>1614.06922083488</v>
      </c>
      <c r="O16" s="109">
        <v>509</v>
      </c>
      <c r="P16" s="109">
        <v>567</v>
      </c>
      <c r="Q16" s="109">
        <v>0</v>
      </c>
      <c r="R16" s="109">
        <v>244.165864916669</v>
      </c>
      <c r="S16" s="109">
        <v>293.903355918212</v>
      </c>
      <c r="T16" s="109">
        <v>0</v>
      </c>
      <c r="U16" s="49">
        <v>77</v>
      </c>
      <c r="V16" s="110">
        <f>((O16+R16)*100)/N16</f>
        <v>46.6625504776736</v>
      </c>
      <c r="W16" s="110">
        <f>((P16+S16)*100)/N16</f>
        <v>53.3374495223264</v>
      </c>
      <c r="X16" s="110">
        <f>((Q16+T16)*100)/N16</f>
        <v>0</v>
      </c>
    </row>
    <row r="17" spans="1:24" s="168" customFormat="1" ht="22.500000" customHeight="1">
      <c r="A17" s="34">
        <v>15</v>
      </c>
      <c r="B17" s="108">
        <f>C17+D17+E17+F17+G17+H17</f>
        <v>5</v>
      </c>
      <c r="C17" s="109">
        <v>2</v>
      </c>
      <c r="D17" s="109">
        <v>3</v>
      </c>
      <c r="E17" s="109">
        <v>0</v>
      </c>
      <c r="F17" s="109">
        <v>0</v>
      </c>
      <c r="G17" s="109">
        <v>0</v>
      </c>
      <c r="H17" s="109">
        <v>0</v>
      </c>
      <c r="I17" s="78">
        <f>(100*B17)/N17</f>
        <v>0.458899192510107</v>
      </c>
      <c r="J17" s="110">
        <f>((C17+F17)*100)/B17</f>
        <v>40</v>
      </c>
      <c r="K17" s="110">
        <f>((D17+G17)*100)/B17</f>
        <v>60</v>
      </c>
      <c r="L17" s="110">
        <f>((E17+H17)*100)/B17</f>
        <v>0</v>
      </c>
      <c r="M17" s="112">
        <f>N17-B16</f>
        <v>1049.25993806906</v>
      </c>
      <c r="N17" s="108">
        <f>O17+P17+Q17+R17+S17+T17</f>
        <v>1089.56391329668</v>
      </c>
      <c r="O17" s="109">
        <v>497</v>
      </c>
      <c r="P17" s="109">
        <v>553</v>
      </c>
      <c r="Q17" s="109">
        <v>0</v>
      </c>
      <c r="R17" s="109">
        <v>18.0863603641977</v>
      </c>
      <c r="S17" s="109">
        <v>21.4775529324847</v>
      </c>
      <c r="T17" s="109">
        <v>0</v>
      </c>
      <c r="U17" s="49">
        <v>59</v>
      </c>
      <c r="V17" s="110">
        <f>((O17+R17)*100)/N17</f>
        <v>47.2745429688201</v>
      </c>
      <c r="W17" s="110">
        <f>((P17+S17)*100)/N17</f>
        <v>52.7254570311799</v>
      </c>
      <c r="X17" s="110">
        <f>((Q17+T17)*100)/N17</f>
        <v>0</v>
      </c>
    </row>
    <row r="18" spans="1:24" s="168" customFormat="1" ht="22.500000" customHeight="1">
      <c r="A18" s="34">
        <v>16</v>
      </c>
      <c r="B18" s="108">
        <f>C18+D18+E18+F18+G18+H18</f>
        <v>577.347155409722</v>
      </c>
      <c r="C18" s="109">
        <v>2</v>
      </c>
      <c r="D18" s="109">
        <v>7</v>
      </c>
      <c r="E18" s="109">
        <v>548</v>
      </c>
      <c r="F18" s="109">
        <v>0</v>
      </c>
      <c r="G18" s="109">
        <v>0</v>
      </c>
      <c r="H18" s="109">
        <v>20.3471554097224</v>
      </c>
      <c r="I18" s="78">
        <f>(100*B18)/N18</f>
        <v>33.6492903904165</v>
      </c>
      <c r="J18" s="110">
        <f>((C18+F18)*100)/B18</f>
        <v>0.346412029791794</v>
      </c>
      <c r="K18" s="110">
        <f>((D18+G18)*100)/B18</f>
        <v>1.21244210427128</v>
      </c>
      <c r="L18" s="110">
        <f>((E18+H18)*100)/B18</f>
        <v>98.4411458659369</v>
      </c>
      <c r="M18" s="112">
        <f>N18-B17</f>
        <v>1710.77810025425</v>
      </c>
      <c r="N18" s="108">
        <f>O18+P18+Q18+R18+S18+T18</f>
        <v>1715.77810025425</v>
      </c>
      <c r="O18" s="109">
        <v>482</v>
      </c>
      <c r="P18" s="109">
        <v>531</v>
      </c>
      <c r="Q18" s="109">
        <v>566</v>
      </c>
      <c r="R18" s="109">
        <v>39.5639132966824</v>
      </c>
      <c r="S18" s="109">
        <v>41.8247083422072</v>
      </c>
      <c r="T18" s="109">
        <v>55.3894786153554</v>
      </c>
      <c r="U18" s="49">
        <v>62</v>
      </c>
      <c r="V18" s="110">
        <f>((O18+R18)*100)/N18</f>
        <v>30.3980982866839</v>
      </c>
      <c r="W18" s="110">
        <f>((P18+S18)*100)/N18</f>
        <v>33.3857104399063</v>
      </c>
      <c r="X18" s="110">
        <f>((Q18+T18)*100)/N18</f>
        <v>36.2161912734099</v>
      </c>
    </row>
    <row r="19" spans="1:24" s="168" customFormat="1" ht="22.500000" customHeight="1">
      <c r="A19" s="34">
        <v>17</v>
      </c>
      <c r="B19" s="108">
        <f>C19+D19+E19+F19+G19+H19</f>
        <v>7.13039752276235</v>
      </c>
      <c r="C19" s="109">
        <v>2</v>
      </c>
      <c r="D19" s="109">
        <v>2</v>
      </c>
      <c r="E19" s="109">
        <v>2</v>
      </c>
      <c r="F19" s="109">
        <v>0</v>
      </c>
      <c r="G19" s="109">
        <v>1.13039752276235</v>
      </c>
      <c r="H19" s="109">
        <v>0</v>
      </c>
      <c r="I19" s="78">
        <f>(100*B19)/N19</f>
        <v>0.433093221675963</v>
      </c>
      <c r="J19" s="110">
        <f>((C19+F19)*100)/B19</f>
        <v>28.0489270565267</v>
      </c>
      <c r="K19" s="110">
        <f>((D19+G19)*100)/B19</f>
        <v>43.9021458869466</v>
      </c>
      <c r="L19" s="110">
        <f>((E19+H19)*100)/B19</f>
        <v>28.0489270565267</v>
      </c>
      <c r="M19" s="112">
        <f>N19-B18</f>
        <v>1069.04146622917</v>
      </c>
      <c r="N19" s="108">
        <f>O19+P19+Q19+R19+S19+T19</f>
        <v>1646.38862163889</v>
      </c>
      <c r="O19" s="109">
        <v>480</v>
      </c>
      <c r="P19" s="109">
        <v>524</v>
      </c>
      <c r="Q19" s="109">
        <v>561</v>
      </c>
      <c r="R19" s="109">
        <v>25.9991430235342</v>
      </c>
      <c r="S19" s="109">
        <v>25.9991430235342</v>
      </c>
      <c r="T19" s="109">
        <v>29.3903355918212</v>
      </c>
      <c r="U19" s="49">
        <v>58</v>
      </c>
      <c r="V19" s="110">
        <f>((O19+R19)*100)/N19</f>
        <v>30.7338824122727</v>
      </c>
      <c r="W19" s="110">
        <f>((P19+S19)*100)/N19</f>
        <v>33.4063984526351</v>
      </c>
      <c r="X19" s="110">
        <f>((Q19+T19)*100)/N19</f>
        <v>35.8597191350922</v>
      </c>
    </row>
    <row r="20" spans="1:24" s="168" customFormat="1" ht="22.500000" customHeight="1">
      <c r="A20" s="34">
        <v>18</v>
      </c>
      <c r="B20" s="108">
        <f>C20+D20+E20+F20+G20+H20</f>
        <v>4</v>
      </c>
      <c r="C20" s="109">
        <v>0</v>
      </c>
      <c r="D20" s="109">
        <v>4</v>
      </c>
      <c r="E20" s="109">
        <v>0</v>
      </c>
      <c r="F20" s="109">
        <v>0</v>
      </c>
      <c r="G20" s="109">
        <v>0</v>
      </c>
      <c r="H20" s="109">
        <v>0</v>
      </c>
      <c r="I20" s="78">
        <f>(100*B20)/N20</f>
        <v>0.253681169811745</v>
      </c>
      <c r="J20" s="110">
        <f>((C20+F20)*100)/B20</f>
        <v>0</v>
      </c>
      <c r="K20" s="110">
        <f>((D20+G20)*100)/B20</f>
        <v>100</v>
      </c>
      <c r="L20" s="110">
        <f>((E20+H20)*100)/B20</f>
        <v>0</v>
      </c>
      <c r="M20" s="112">
        <f>N20-B19</f>
        <v>1569.65198761381</v>
      </c>
      <c r="N20" s="108">
        <f>O20+P20+Q20+R20+S20+T20</f>
        <v>1576.78238513657</v>
      </c>
      <c r="O20" s="109">
        <v>485</v>
      </c>
      <c r="P20" s="109">
        <v>524</v>
      </c>
      <c r="Q20" s="109">
        <v>561</v>
      </c>
      <c r="R20" s="109">
        <v>2.26079504552471</v>
      </c>
      <c r="S20" s="109">
        <v>2.26079504552471</v>
      </c>
      <c r="T20" s="109">
        <v>2.26079504552471</v>
      </c>
      <c r="U20" s="49">
        <v>61</v>
      </c>
      <c r="V20" s="110">
        <f>((O20+R20)*100)/N20</f>
        <v>30.9022221226374</v>
      </c>
      <c r="W20" s="110">
        <f>((P20+S20)*100)/N20</f>
        <v>33.375613528302</v>
      </c>
      <c r="X20" s="110">
        <f>((Q20+T20)*100)/N20</f>
        <v>35.7221643490606</v>
      </c>
    </row>
    <row r="21" spans="1:24" s="168" customFormat="1" ht="22.500000" customHeight="1">
      <c r="A21" s="34">
        <v>19</v>
      </c>
      <c r="B21" s="108">
        <f>C21+D21+E21+F21+G21+H21</f>
        <v>6</v>
      </c>
      <c r="C21" s="109">
        <v>2</v>
      </c>
      <c r="D21" s="109">
        <v>1</v>
      </c>
      <c r="E21" s="109">
        <v>3</v>
      </c>
      <c r="F21" s="109">
        <v>0</v>
      </c>
      <c r="G21" s="109">
        <v>0</v>
      </c>
      <c r="H21" s="109">
        <v>0</v>
      </c>
      <c r="I21" s="78">
        <f>(100*B21)/N21</f>
        <v>0.387238085427875</v>
      </c>
      <c r="J21" s="110">
        <f>((C21+F21)*100)/B21</f>
        <v>33.3333333333333</v>
      </c>
      <c r="K21" s="110">
        <f>((D21+G21)*100)/B21</f>
        <v>16.6666666666667</v>
      </c>
      <c r="L21" s="110">
        <f>((E21+H21)*100)/B21</f>
        <v>50</v>
      </c>
      <c r="M21" s="112">
        <f>N21-B20</f>
        <v>1545.43437275039</v>
      </c>
      <c r="N21" s="108">
        <f>O21+P21+Q21+R21+S21+T21</f>
        <v>1549.43437275039</v>
      </c>
      <c r="O21" s="109">
        <v>475</v>
      </c>
      <c r="P21" s="109">
        <v>514</v>
      </c>
      <c r="Q21" s="109">
        <v>548</v>
      </c>
      <c r="R21" s="109">
        <v>3.39119256828707</v>
      </c>
      <c r="S21" s="109">
        <v>4.52159009104942</v>
      </c>
      <c r="T21" s="109">
        <v>4.52159009104942</v>
      </c>
      <c r="U21" s="49">
        <v>110</v>
      </c>
      <c r="V21" s="110">
        <f>((O21+R21)*100)/N21</f>
        <v>30.8752149159502</v>
      </c>
      <c r="W21" s="110">
        <f>((P21+S21)*100)/N21</f>
        <v>33.4652179666459</v>
      </c>
      <c r="X21" s="110">
        <f>((Q21+T21)*100)/N21</f>
        <v>35.6595671174039</v>
      </c>
    </row>
    <row r="22" spans="1:24" s="168" customFormat="1" ht="22.500000" customHeight="1">
      <c r="A22" s="34">
        <v>20</v>
      </c>
      <c r="B22" s="108">
        <f>C22+D22+E22+F22+G22+H22</f>
        <v>85.9559628414353</v>
      </c>
      <c r="C22" s="109">
        <v>17</v>
      </c>
      <c r="D22" s="109">
        <v>33</v>
      </c>
      <c r="E22" s="109">
        <v>19</v>
      </c>
      <c r="F22" s="109">
        <v>1.13039752276235</v>
      </c>
      <c r="G22" s="109">
        <v>14.6951677959106</v>
      </c>
      <c r="H22" s="109">
        <v>1.13039752276235</v>
      </c>
      <c r="I22" s="78">
        <f>(100*B22)/N22</f>
        <v>5.52479670526991</v>
      </c>
      <c r="J22" s="110">
        <f>((C22+F22)*100)/B22</f>
        <v>21.0926582908598</v>
      </c>
      <c r="K22" s="110">
        <f>((D22+G22)*100)/B22</f>
        <v>55.4879105756687</v>
      </c>
      <c r="L22" s="110">
        <f>((E22+H22)*100)/B22</f>
        <v>23.4194311334716</v>
      </c>
      <c r="M22" s="112">
        <f>N22-B21</f>
        <v>1549.82128043634</v>
      </c>
      <c r="N22" s="108">
        <f>O22+P22+Q22+R22+S22+T22</f>
        <v>1555.82128043634</v>
      </c>
      <c r="O22" s="109">
        <v>448</v>
      </c>
      <c r="P22" s="109">
        <v>454</v>
      </c>
      <c r="Q22" s="109">
        <v>508</v>
      </c>
      <c r="R22" s="109">
        <v>48.6070934787813</v>
      </c>
      <c r="S22" s="109">
        <v>39.5639132966824</v>
      </c>
      <c r="T22" s="109">
        <v>57.6502736608802</v>
      </c>
      <c r="U22" s="49">
        <v>76</v>
      </c>
      <c r="V22" s="110">
        <f>((O22+R22)*100)/N22</f>
        <v>31.9192891705083</v>
      </c>
      <c r="W22" s="110">
        <f>((P22+S22)*100)/N22</f>
        <v>31.7236895717391</v>
      </c>
      <c r="X22" s="110">
        <f>((Q22+T22)*100)/N22</f>
        <v>36.3570212577526</v>
      </c>
    </row>
    <row r="23" spans="1:24" s="168" customFormat="1" ht="22.500000" customHeight="1">
      <c r="A23" s="34">
        <v>21</v>
      </c>
      <c r="B23" s="108">
        <f>C23+D23+E23+F23+G23+H23</f>
        <v>19</v>
      </c>
      <c r="C23" s="109">
        <v>6</v>
      </c>
      <c r="D23" s="109">
        <v>8</v>
      </c>
      <c r="E23" s="109">
        <v>5</v>
      </c>
      <c r="F23" s="109">
        <v>0</v>
      </c>
      <c r="G23" s="109">
        <v>0</v>
      </c>
      <c r="H23" s="109">
        <v>0</v>
      </c>
      <c r="I23" s="78">
        <f>(100*B23)/N23</f>
        <v>1.31054228729984</v>
      </c>
      <c r="J23" s="110">
        <f>((C23+F23)*100)/B23</f>
        <v>31.5789473684211</v>
      </c>
      <c r="K23" s="110">
        <f>((D23+G23)*100)/B23</f>
        <v>42.1052631578947</v>
      </c>
      <c r="L23" s="110">
        <f>((E23+H23)*100)/B23</f>
        <v>26.3157894736842</v>
      </c>
      <c r="M23" s="112">
        <f>N23-B22</f>
        <v>1363.82556531867</v>
      </c>
      <c r="N23" s="108">
        <f>O23+P23+Q23+R23+S23+T23</f>
        <v>1449.78152816011</v>
      </c>
      <c r="O23" s="109">
        <v>459</v>
      </c>
      <c r="P23" s="109">
        <v>448</v>
      </c>
      <c r="Q23" s="109">
        <v>510</v>
      </c>
      <c r="R23" s="109">
        <v>9.04318018209885</v>
      </c>
      <c r="S23" s="109">
        <v>10.1735777048612</v>
      </c>
      <c r="T23" s="109">
        <v>13.5647702731482</v>
      </c>
      <c r="U23" s="49">
        <v>165</v>
      </c>
      <c r="V23" s="110">
        <f>((O23+R23)*100)/N23</f>
        <v>32.2837042058388</v>
      </c>
      <c r="W23" s="110">
        <f>((P23+S23)*100)/N23</f>
        <v>31.6029393950357</v>
      </c>
      <c r="X23" s="110">
        <f>((Q23+T23)*100)/N23</f>
        <v>36.1133563991255</v>
      </c>
    </row>
    <row r="24" spans="1:24" s="168" customFormat="1" ht="22.500000" customHeight="1">
      <c r="A24" s="34">
        <v>22</v>
      </c>
      <c r="B24" s="108">
        <f>C24+D24+E24+F24+G24+H24</f>
        <v>4</v>
      </c>
      <c r="C24" s="109">
        <v>3</v>
      </c>
      <c r="D24" s="109">
        <v>1</v>
      </c>
      <c r="E24" s="109">
        <v>0</v>
      </c>
      <c r="F24" s="109">
        <v>0</v>
      </c>
      <c r="G24" s="109">
        <v>0</v>
      </c>
      <c r="H24" s="109">
        <v>0</v>
      </c>
      <c r="I24" s="78">
        <f>(100*B24)/N24</f>
        <v>0.281897402368293</v>
      </c>
      <c r="J24" s="110">
        <f>((C24+F24)*100)/B24</f>
        <v>75</v>
      </c>
      <c r="K24" s="110">
        <f>((D24+G24)*100)/B24</f>
        <v>25</v>
      </c>
      <c r="L24" s="110">
        <f>((E24+H24)*100)/B24</f>
        <v>0</v>
      </c>
      <c r="M24" s="112">
        <f>N24-B23</f>
        <v>1399.95596284144</v>
      </c>
      <c r="N24" s="108">
        <f>O24+P24+Q24+R24+S24+T24</f>
        <v>1418.95596284144</v>
      </c>
      <c r="O24" s="109">
        <v>456</v>
      </c>
      <c r="P24" s="109">
        <v>439</v>
      </c>
      <c r="Q24" s="109">
        <v>507</v>
      </c>
      <c r="R24" s="109">
        <v>3.39119256828707</v>
      </c>
      <c r="S24" s="109">
        <v>5.65198761381178</v>
      </c>
      <c r="T24" s="109">
        <v>7.91278265933649</v>
      </c>
      <c r="U24" s="49">
        <v>71</v>
      </c>
      <c r="V24" s="110">
        <f>((O24+R24)*100)/N24</f>
        <v>32.375295963968</v>
      </c>
      <c r="W24" s="110">
        <f>((P24+S24)*100)/N24</f>
        <v>31.3365600665579</v>
      </c>
      <c r="X24" s="110">
        <f>((Q24+T24)*100)/N24</f>
        <v>36.288143969474</v>
      </c>
    </row>
    <row r="25" spans="1:24" s="168" customFormat="1" ht="22.500000" customHeight="1">
      <c r="A25" s="34">
        <v>23</v>
      </c>
      <c r="B25" s="108">
        <f>C25+D25+E25+F25+G25+H25</f>
        <v>260.868745500772</v>
      </c>
      <c r="C25" s="109">
        <v>62</v>
      </c>
      <c r="D25" s="109">
        <v>108</v>
      </c>
      <c r="E25" s="109">
        <v>66</v>
      </c>
      <c r="F25" s="109">
        <v>5.65198761381178</v>
      </c>
      <c r="G25" s="109">
        <v>12.4343727503859</v>
      </c>
      <c r="H25" s="109">
        <v>6.78238513657414</v>
      </c>
      <c r="I25" s="78">
        <f>(100*B25)/N25</f>
        <v>16.0777079817887</v>
      </c>
      <c r="J25" s="110">
        <f>((C25+F25)*100)/B25</f>
        <v>25.9333434075994</v>
      </c>
      <c r="K25" s="110">
        <f>((D25+G25)*100)/B25</f>
        <v>46.1666546213485</v>
      </c>
      <c r="L25" s="110">
        <f>((E25+H25)*100)/B25</f>
        <v>27.9000019710521</v>
      </c>
      <c r="M25" s="112">
        <f>N25-B24</f>
        <v>1618.54934469676</v>
      </c>
      <c r="N25" s="108">
        <f>O25+P25+Q25+R25+S25+T25</f>
        <v>1622.54934469676</v>
      </c>
      <c r="O25" s="109">
        <v>410</v>
      </c>
      <c r="P25" s="109">
        <v>311</v>
      </c>
      <c r="Q25" s="109">
        <v>420</v>
      </c>
      <c r="R25" s="109">
        <v>175.211616028165</v>
      </c>
      <c r="S25" s="109">
        <v>131.126112640433</v>
      </c>
      <c r="T25" s="109">
        <v>175.211616028165</v>
      </c>
      <c r="U25" s="49">
        <v>68</v>
      </c>
      <c r="V25" s="110">
        <f>((O25+R25)*100)/N25</f>
        <v>36.0674156345941</v>
      </c>
      <c r="W25" s="110">
        <f>((P25+S25)*100)/N25</f>
        <v>27.2488546548987</v>
      </c>
      <c r="X25" s="110">
        <f>((Q25+T25)*100)/N25</f>
        <v>36.6837297105071</v>
      </c>
    </row>
    <row r="26" spans="1:24" s="168" customFormat="1" ht="22.500000" customHeight="1">
      <c r="A26" s="34">
        <v>24</v>
      </c>
      <c r="B26" s="108">
        <f>C26+D26+E26+F26+G26+H26</f>
        <v>139.607950455247</v>
      </c>
      <c r="C26" s="109">
        <v>48</v>
      </c>
      <c r="D26" s="109">
        <v>29</v>
      </c>
      <c r="E26" s="109">
        <v>40</v>
      </c>
      <c r="F26" s="109">
        <v>0</v>
      </c>
      <c r="G26" s="109">
        <v>0</v>
      </c>
      <c r="H26" s="109">
        <v>22.6079504552471</v>
      </c>
      <c r="I26" s="78">
        <f>(100*B26)/N26</f>
        <v>11.7129839323355</v>
      </c>
      <c r="J26" s="110">
        <f>((C26+F26)*100)/B26</f>
        <v>34.3819960421143</v>
      </c>
      <c r="K26" s="110">
        <f>((D26+G26)*100)/B26</f>
        <v>20.7724559421107</v>
      </c>
      <c r="L26" s="110">
        <f>((E26+H26)*100)/B26</f>
        <v>44.8455480157749</v>
      </c>
      <c r="M26" s="112">
        <f>N26-B25</f>
        <v>931.03889529977</v>
      </c>
      <c r="N26" s="108">
        <f>O26+P26+Q26+R26+S26+T26</f>
        <v>1191.90764080054</v>
      </c>
      <c r="O26" s="109">
        <v>374</v>
      </c>
      <c r="P26" s="109">
        <v>287</v>
      </c>
      <c r="Q26" s="109">
        <v>367</v>
      </c>
      <c r="R26" s="109">
        <v>64.4326587974543</v>
      </c>
      <c r="S26" s="109">
        <v>44.0855033877319</v>
      </c>
      <c r="T26" s="109">
        <v>55.3894786153554</v>
      </c>
      <c r="U26" s="49">
        <v>81</v>
      </c>
      <c r="V26" s="110">
        <f>((O26+R26)*100)/N26</f>
        <v>36.7841134488392</v>
      </c>
      <c r="W26" s="110">
        <f>((P26+S26)*100)/N26</f>
        <v>27.7777817721983</v>
      </c>
      <c r="X26" s="110">
        <f>((Q26+T26)*100)/N26</f>
        <v>35.4381047789625</v>
      </c>
    </row>
    <row r="27" spans="1:24" s="168" customFormat="1" ht="22.500000" customHeight="1">
      <c r="A27" s="34">
        <v>25</v>
      </c>
      <c r="B27" s="108">
        <f>C27+D27+E27+F27+G27+H27</f>
        <v>1</v>
      </c>
      <c r="C27" s="109">
        <v>1</v>
      </c>
      <c r="D27" s="109">
        <v>0</v>
      </c>
      <c r="E27" s="109">
        <v>0</v>
      </c>
      <c r="F27" s="109">
        <v>0</v>
      </c>
      <c r="G27" s="109">
        <v>0</v>
      </c>
      <c r="H27" s="109">
        <v>0</v>
      </c>
      <c r="I27" s="78">
        <f>(100*B27)/N27</f>
        <v>0.09952403772127</v>
      </c>
      <c r="J27" s="110">
        <f>((C27+F27)*100)/B27</f>
        <v>100</v>
      </c>
      <c r="K27" s="110">
        <f>((D27+G27)*100)/B27</f>
        <v>0</v>
      </c>
      <c r="L27" s="110">
        <f>((E27+H27)*100)/B27</f>
        <v>0</v>
      </c>
      <c r="M27" s="112">
        <f>N27-B26</f>
        <v>865.174434681327</v>
      </c>
      <c r="N27" s="108">
        <f>O27+P27+Q27+R27+S27+T27</f>
        <v>1004.78238513657</v>
      </c>
      <c r="O27" s="109">
        <v>360</v>
      </c>
      <c r="P27" s="109">
        <v>280</v>
      </c>
      <c r="Q27" s="109">
        <v>358</v>
      </c>
      <c r="R27" s="109">
        <v>2.26079504552471</v>
      </c>
      <c r="S27" s="109">
        <v>2.26079504552471</v>
      </c>
      <c r="T27" s="109">
        <v>2.26079504552471</v>
      </c>
      <c r="U27" s="49">
        <v>51</v>
      </c>
      <c r="V27" s="110">
        <f>((O27+R27)*100)/N27</f>
        <v>36.0536570310481</v>
      </c>
      <c r="W27" s="110">
        <f>((P27+S27)*100)/N27</f>
        <v>28.0917340133465</v>
      </c>
      <c r="X27" s="110">
        <f>((Q27+T27)*100)/N27</f>
        <v>35.8546089556055</v>
      </c>
    </row>
    <row r="28" spans="1:24" s="168" customFormat="1" ht="22.500000" customHeight="1">
      <c r="A28" s="34">
        <v>26</v>
      </c>
      <c r="B28" s="108">
        <f>C28+D28+E28+F28+G28+H28</f>
        <v>0</v>
      </c>
      <c r="C28" s="109">
        <v>0</v>
      </c>
      <c r="D28" s="109">
        <v>0</v>
      </c>
      <c r="E28" s="109">
        <v>0</v>
      </c>
      <c r="F28" s="109">
        <v>0</v>
      </c>
      <c r="G28" s="109">
        <v>0</v>
      </c>
      <c r="H28" s="109">
        <v>0</v>
      </c>
      <c r="I28" s="78">
        <f>(100*B28)/N28</f>
        <v>0</v>
      </c>
      <c r="J28" s="110" t="e">
        <f>((C28+F28)*100)/B28</f>
        <v>#DIV/0!</v>
      </c>
      <c r="K28" s="110" t="e">
        <f>((D28+G28)*100)/B28</f>
        <v>#DIV/0!</v>
      </c>
      <c r="L28" s="110" t="e">
        <f>((E28+H28)*100)/B28</f>
        <v>#DIV/0!</v>
      </c>
      <c r="M28" s="112">
        <f>N28-B27</f>
        <v>998</v>
      </c>
      <c r="N28" s="108">
        <f>O28+P28+Q28+R28+S28+T28</f>
        <v>999</v>
      </c>
      <c r="O28" s="109">
        <v>360</v>
      </c>
      <c r="P28" s="109">
        <v>280</v>
      </c>
      <c r="Q28" s="109">
        <v>359</v>
      </c>
      <c r="R28" s="109">
        <v>0</v>
      </c>
      <c r="S28" s="109">
        <v>0</v>
      </c>
      <c r="T28" s="109">
        <v>0</v>
      </c>
      <c r="U28" s="49">
        <v>54</v>
      </c>
      <c r="V28" s="110">
        <f>((O28+R28)*100)/N28</f>
        <v>36.036036036036</v>
      </c>
      <c r="W28" s="110">
        <f>((P28+S28)*100)/N28</f>
        <v>28.028028028028</v>
      </c>
      <c r="X28" s="110">
        <f>((Q28+T28)*100)/N28</f>
        <v>35.9359359359359</v>
      </c>
    </row>
    <row r="29" spans="1:24" s="168" customFormat="1" ht="22.500000" customHeight="1">
      <c r="A29" s="34">
        <v>27</v>
      </c>
      <c r="B29" s="108">
        <f>C29+D29+E29+F29+G29+H29</f>
        <v>8.2607950455247</v>
      </c>
      <c r="C29" s="109">
        <v>3</v>
      </c>
      <c r="D29" s="109">
        <v>2</v>
      </c>
      <c r="E29" s="109">
        <v>1</v>
      </c>
      <c r="F29" s="109">
        <v>1.13039752276235</v>
      </c>
      <c r="G29" s="109">
        <v>0</v>
      </c>
      <c r="H29" s="109">
        <v>1.13039752276235</v>
      </c>
      <c r="I29" s="78">
        <f>(100*B29)/N29</f>
        <v>0.639816153214327</v>
      </c>
      <c r="J29" s="110">
        <f>((C29+F29)*100)/B29</f>
        <v>50</v>
      </c>
      <c r="K29" s="110">
        <f>((D29+G29)*100)/B29</f>
        <v>24.2107447161942</v>
      </c>
      <c r="L29" s="110">
        <f>((E29+H29)*100)/B29</f>
        <v>25.7892552838058</v>
      </c>
      <c r="M29" s="112">
        <f>N29-B28</f>
        <v>1291.12011380517</v>
      </c>
      <c r="N29" s="108">
        <f>O29+P29+Q29+R29+S29+T29</f>
        <v>1291.12011380517</v>
      </c>
      <c r="O29" s="109">
        <v>354</v>
      </c>
      <c r="P29" s="109">
        <v>272</v>
      </c>
      <c r="Q29" s="109">
        <v>352</v>
      </c>
      <c r="R29" s="109">
        <v>105.126969616899</v>
      </c>
      <c r="S29" s="109">
        <v>93.8229943892756</v>
      </c>
      <c r="T29" s="109">
        <v>114.170149798998</v>
      </c>
      <c r="U29" s="49">
        <v>59</v>
      </c>
      <c r="V29" s="110">
        <f>((O29+R29)*100)/N29</f>
        <v>35.5603607060048</v>
      </c>
      <c r="W29" s="110">
        <f>((P29+S29)*100)/N29</f>
        <v>28.3337692967331</v>
      </c>
      <c r="X29" s="110">
        <f>((Q29+T29)*100)/N29</f>
        <v>36.1058699972621</v>
      </c>
    </row>
    <row r="30" spans="1:24" s="168" customFormat="1" ht="22.500000" customHeight="1">
      <c r="A30" s="34">
        <v>28</v>
      </c>
      <c r="B30" s="108">
        <f>C30+D30+E30+F30+G30+H30</f>
        <v>1</v>
      </c>
      <c r="C30" s="109">
        <v>1</v>
      </c>
      <c r="D30" s="109">
        <v>0</v>
      </c>
      <c r="E30" s="109">
        <v>0</v>
      </c>
      <c r="F30" s="109">
        <v>0</v>
      </c>
      <c r="G30" s="109">
        <v>0</v>
      </c>
      <c r="H30" s="109">
        <v>0</v>
      </c>
      <c r="I30" s="78">
        <f>(100*B30)/N30</f>
        <v>0.101581174700973</v>
      </c>
      <c r="J30" s="110">
        <f>((C30+F30)*100)/B30</f>
        <v>100</v>
      </c>
      <c r="K30" s="110">
        <f>((D30+G30)*100)/B30</f>
        <v>0</v>
      </c>
      <c r="L30" s="110">
        <f>((E30+H30)*100)/B30</f>
        <v>0</v>
      </c>
      <c r="M30" s="112">
        <f>N30-B29</f>
        <v>976.173577704861</v>
      </c>
      <c r="N30" s="108">
        <f>O30+P30+Q30+R30+S30+T30</f>
        <v>984.434372750386</v>
      </c>
      <c r="O30" s="109">
        <v>355</v>
      </c>
      <c r="P30" s="109">
        <v>269</v>
      </c>
      <c r="Q30" s="109">
        <v>348</v>
      </c>
      <c r="R30" s="109">
        <v>5.65198761381178</v>
      </c>
      <c r="S30" s="109">
        <v>3.39119256828707</v>
      </c>
      <c r="T30" s="109">
        <v>3.39119256828707</v>
      </c>
      <c r="U30" s="49">
        <v>42</v>
      </c>
      <c r="V30" s="110">
        <f>((O30+R30)*100)/N30</f>
        <v>36.6354525600519</v>
      </c>
      <c r="W30" s="110">
        <f>((P30+S30)*100)/N30</f>
        <v>27.6698173192856</v>
      </c>
      <c r="X30" s="110">
        <f>((Q30+T30)*100)/N30</f>
        <v>35.6947301206625</v>
      </c>
    </row>
    <row r="31" spans="1:24" s="168" customFormat="1" ht="22.500000" customHeight="1">
      <c r="A31" s="34">
        <v>29</v>
      </c>
      <c r="B31" s="108">
        <f>C31+D31+E31+F31+G31+H31</f>
        <v>1</v>
      </c>
      <c r="C31" s="109">
        <v>1</v>
      </c>
      <c r="D31" s="109">
        <v>0</v>
      </c>
      <c r="E31" s="109">
        <v>0</v>
      </c>
      <c r="F31" s="109">
        <v>0</v>
      </c>
      <c r="G31" s="109">
        <v>0</v>
      </c>
      <c r="H31" s="109">
        <v>0</v>
      </c>
      <c r="I31" s="78">
        <f>(100*B31)/N31</f>
        <v>0.0979266268772541</v>
      </c>
      <c r="J31" s="110">
        <f>((C31+F31)*100)/B31</f>
        <v>100</v>
      </c>
      <c r="K31" s="110">
        <f>((D31+G31)*100)/B31</f>
        <v>0</v>
      </c>
      <c r="L31" s="110">
        <f>((E31+H31)*100)/B31</f>
        <v>0</v>
      </c>
      <c r="M31" s="112">
        <f>N31-B30</f>
        <v>1020.1727207284</v>
      </c>
      <c r="N31" s="108">
        <f>O31+P31+Q31+R31+S31+T31</f>
        <v>1021.1727207284</v>
      </c>
      <c r="O31" s="109">
        <v>362</v>
      </c>
      <c r="P31" s="109">
        <v>271</v>
      </c>
      <c r="Q31" s="109">
        <v>352</v>
      </c>
      <c r="R31" s="109">
        <v>11.3039752276235</v>
      </c>
      <c r="S31" s="109">
        <v>10.1735777048612</v>
      </c>
      <c r="T31" s="109">
        <v>14.6951677959106</v>
      </c>
      <c r="U31" s="49">
        <v>51</v>
      </c>
      <c r="V31" s="110">
        <f>((O31+R31)*100)/N31</f>
        <v>36.5563990939112</v>
      </c>
      <c r="W31" s="110">
        <f>((P31+S31)*100)/N31</f>
        <v>27.5343800316466</v>
      </c>
      <c r="X31" s="110">
        <f>((Q31+T31)*100)/N31</f>
        <v>35.9092208744422</v>
      </c>
    </row>
    <row r="32" spans="1:24" s="168" customFormat="1" ht="22.500000" customHeight="1">
      <c r="A32" s="34">
        <v>30</v>
      </c>
      <c r="B32" s="108">
        <f>C32+D32+E32+F32+G32+H32</f>
        <v>1</v>
      </c>
      <c r="C32" s="109">
        <v>1</v>
      </c>
      <c r="D32" s="109">
        <v>0</v>
      </c>
      <c r="E32" s="109">
        <v>0</v>
      </c>
      <c r="F32" s="109">
        <v>0</v>
      </c>
      <c r="G32" s="109">
        <v>0</v>
      </c>
      <c r="H32" s="109">
        <v>0</v>
      </c>
      <c r="I32" s="78">
        <f>(100*B32)/N32</f>
        <v>0.0904517878545526</v>
      </c>
      <c r="J32" s="110">
        <f>((C32+F32)*100)/B32</f>
        <v>100</v>
      </c>
      <c r="K32" s="110">
        <f>((D32+G32)*100)/B32</f>
        <v>0</v>
      </c>
      <c r="L32" s="110">
        <f>((E32+H32)*100)/B32</f>
        <v>0</v>
      </c>
      <c r="M32" s="112">
        <f>N32-B31</f>
        <v>1104.56134236729</v>
      </c>
      <c r="N32" s="108">
        <f>O32+P32+Q32+R32+S32+T32</f>
        <v>1105.56134236729</v>
      </c>
      <c r="O32" s="109">
        <v>364</v>
      </c>
      <c r="P32" s="109">
        <v>273</v>
      </c>
      <c r="Q32" s="109">
        <v>351</v>
      </c>
      <c r="R32" s="109">
        <v>39.5639132966824</v>
      </c>
      <c r="S32" s="109">
        <v>33.9119256828707</v>
      </c>
      <c r="T32" s="109">
        <v>44.0855033877319</v>
      </c>
      <c r="U32" s="49">
        <v>44</v>
      </c>
      <c r="V32" s="110">
        <f>((O32+R32)*100)/N32</f>
        <v>36.5030774712646</v>
      </c>
      <c r="W32" s="110">
        <f>((P32+S32)*100)/N32</f>
        <v>27.7607323918992</v>
      </c>
      <c r="X32" s="110">
        <f>((Q32+T32)*100)/N32</f>
        <v>35.7361901368362</v>
      </c>
    </row>
    <row r="33" spans="1:24" s="168" customFormat="1" ht="22.500000" customHeight="1">
      <c r="A33" s="34">
        <v>31</v>
      </c>
      <c r="B33" s="108">
        <f>C33+D33+E33+F33+G33+H33</f>
        <v>6.13039752276235</v>
      </c>
      <c r="C33" s="109">
        <v>5</v>
      </c>
      <c r="D33" s="109">
        <v>0</v>
      </c>
      <c r="E33" s="109">
        <v>0</v>
      </c>
      <c r="F33" s="109">
        <v>1.13039752276235</v>
      </c>
      <c r="G33" s="109">
        <v>0</v>
      </c>
      <c r="H33" s="109">
        <v>0</v>
      </c>
      <c r="I33" s="78">
        <f>(100*B33)/N33</f>
        <v>0.360055199149372</v>
      </c>
      <c r="J33" s="110">
        <f>((C33+F33)*100)/B33</f>
        <v>100</v>
      </c>
      <c r="K33" s="110">
        <f>((D33+G33)*100)/B33</f>
        <v>0</v>
      </c>
      <c r="L33" s="110">
        <f>((E33+H33)*100)/B33</f>
        <v>0</v>
      </c>
      <c r="M33" s="112">
        <f>N33-B32</f>
        <v>1701.6271352963</v>
      </c>
      <c r="N33" s="108">
        <f>O33+P33+Q33+R33+S33+T33</f>
        <v>1702.6271352963</v>
      </c>
      <c r="O33" s="109">
        <v>344</v>
      </c>
      <c r="P33" s="109">
        <v>262</v>
      </c>
      <c r="Q33" s="109">
        <v>337</v>
      </c>
      <c r="R33" s="109">
        <v>287.120970781638</v>
      </c>
      <c r="S33" s="109">
        <v>201.210759051699</v>
      </c>
      <c r="T33" s="109">
        <v>271.295405462965</v>
      </c>
      <c r="U33" s="49">
        <v>59</v>
      </c>
      <c r="V33" s="110">
        <f>((O33+R33)*100)/N33</f>
        <v>37.0674798784883</v>
      </c>
      <c r="W33" s="110">
        <f>((P33+S33)*100)/N33</f>
        <v>27.205648814653</v>
      </c>
      <c r="X33" s="110">
        <f>((Q33+T33)*100)/N33</f>
        <v>35.7268713068587</v>
      </c>
    </row>
    <row r="34" spans="1:24" s="168" customFormat="1" ht="22.500000" customHeight="1">
      <c r="A34" s="34">
        <v>32</v>
      </c>
      <c r="B34" s="108">
        <f>C34+D34+E34+F34+G34+H34</f>
        <v>22</v>
      </c>
      <c r="C34" s="109">
        <v>13</v>
      </c>
      <c r="D34" s="109">
        <v>4</v>
      </c>
      <c r="E34" s="109">
        <v>5</v>
      </c>
      <c r="F34" s="109">
        <v>0</v>
      </c>
      <c r="G34" s="109">
        <v>0</v>
      </c>
      <c r="H34" s="109">
        <v>0</v>
      </c>
      <c r="I34" s="78">
        <f>(100*B34)/N34</f>
        <v>2.01787692899607</v>
      </c>
      <c r="J34" s="110">
        <f>((C34+F34)*100)/B34</f>
        <v>59.0909090909091</v>
      </c>
      <c r="K34" s="110">
        <f>((D34+G34)*100)/B34</f>
        <v>18.1818181818182</v>
      </c>
      <c r="L34" s="110">
        <f>((E34+H34)*100)/B34</f>
        <v>22.7272727272727</v>
      </c>
      <c r="M34" s="112">
        <f>N34-B33</f>
        <v>1084.1243986875</v>
      </c>
      <c r="N34" s="108">
        <f>O34+P34+Q34+R34+S34+T34</f>
        <v>1090.25479621026</v>
      </c>
      <c r="O34" s="109">
        <v>328</v>
      </c>
      <c r="P34" s="109">
        <v>254</v>
      </c>
      <c r="Q34" s="109">
        <v>324</v>
      </c>
      <c r="R34" s="109">
        <v>73.4758389795531</v>
      </c>
      <c r="S34" s="109">
        <v>51.9982860470684</v>
      </c>
      <c r="T34" s="109">
        <v>58.7806711836425</v>
      </c>
      <c r="U34" s="49">
        <v>52</v>
      </c>
      <c r="V34" s="110">
        <f>((O34+R34)*100)/N34</f>
        <v>36.8240378648264</v>
      </c>
      <c r="W34" s="110">
        <f>((P34+S34)*100)/N34</f>
        <v>28.0666764421236</v>
      </c>
      <c r="X34" s="110">
        <f>((Q34+T34)*100)/N34</f>
        <v>35.1092856930501</v>
      </c>
    </row>
    <row r="35" spans="1:24" s="168" customFormat="1" ht="22.500000" customHeight="1">
      <c r="A35" s="34">
        <v>33</v>
      </c>
      <c r="B35" s="108">
        <f>C35+D35+E35+F35+G35+H35</f>
        <v>3</v>
      </c>
      <c r="C35" s="109">
        <v>2</v>
      </c>
      <c r="D35" s="109">
        <v>1</v>
      </c>
      <c r="E35" s="109">
        <v>0</v>
      </c>
      <c r="F35" s="109">
        <v>0</v>
      </c>
      <c r="G35" s="109">
        <v>0</v>
      </c>
      <c r="H35" s="109">
        <v>0</v>
      </c>
      <c r="I35" s="78">
        <f>(100*B35)/N35</f>
        <v>0.2634708267157</v>
      </c>
      <c r="J35" s="110">
        <f>((C35+F35)*100)/B35</f>
        <v>66.6666666666667</v>
      </c>
      <c r="K35" s="110">
        <f>((D35+G35)*100)/B35</f>
        <v>33.3333333333333</v>
      </c>
      <c r="L35" s="110">
        <f>((E35+H35)*100)/B35</f>
        <v>0</v>
      </c>
      <c r="M35" s="112">
        <f>N35-B34</f>
        <v>1116.64598877855</v>
      </c>
      <c r="N35" s="108">
        <f>O35+P35+Q35+R35+S35+T35</f>
        <v>1138.64598877855</v>
      </c>
      <c r="O35" s="109">
        <v>350</v>
      </c>
      <c r="P35" s="109">
        <v>267</v>
      </c>
      <c r="Q35" s="109">
        <v>334</v>
      </c>
      <c r="R35" s="109">
        <v>73.4758389795531</v>
      </c>
      <c r="S35" s="109">
        <v>48.6070934787813</v>
      </c>
      <c r="T35" s="109">
        <v>65.5630563202166</v>
      </c>
      <c r="U35" s="49">
        <v>50</v>
      </c>
      <c r="V35" s="110">
        <f>((O35+R35)*100)/N35</f>
        <v>37.1911764633558</v>
      </c>
      <c r="W35" s="110">
        <f>((P35+S35)*100)/N35</f>
        <v>27.7177539453979</v>
      </c>
      <c r="X35" s="110">
        <f>((Q35+T35)*100)/N35</f>
        <v>35.0910695912464</v>
      </c>
    </row>
    <row r="36" spans="1:24" s="168" customFormat="1" ht="22.500000" customHeight="1">
      <c r="A36" s="34">
        <v>34</v>
      </c>
      <c r="B36" s="108">
        <f>C36+D36+E36+F36+G36+H36</f>
        <v>2</v>
      </c>
      <c r="C36" s="109">
        <v>1</v>
      </c>
      <c r="D36" s="109">
        <v>1</v>
      </c>
      <c r="E36" s="109">
        <v>0</v>
      </c>
      <c r="F36" s="109">
        <v>0</v>
      </c>
      <c r="G36" s="109">
        <v>0</v>
      </c>
      <c r="H36" s="109">
        <v>0</v>
      </c>
      <c r="I36" s="78">
        <f>(100*B36)/N36</f>
        <v>0.199134332110903</v>
      </c>
      <c r="J36" s="110">
        <f>((C36+F36)*100)/B36</f>
        <v>50</v>
      </c>
      <c r="K36" s="110">
        <f>((D36+G36)*100)/B36</f>
        <v>50</v>
      </c>
      <c r="L36" s="110">
        <f>((E36+H36)*100)/B36</f>
        <v>0</v>
      </c>
      <c r="M36" s="112">
        <f>N36-B35</f>
        <v>1001.34715540972</v>
      </c>
      <c r="N36" s="108">
        <f>O36+P36+Q36+R36+S36+T36</f>
        <v>1004.34715540972</v>
      </c>
      <c r="O36" s="109">
        <v>365</v>
      </c>
      <c r="P36" s="109">
        <v>275</v>
      </c>
      <c r="Q36" s="109">
        <v>344</v>
      </c>
      <c r="R36" s="109">
        <v>7.91278265933649</v>
      </c>
      <c r="S36" s="109">
        <v>4.52159009104942</v>
      </c>
      <c r="T36" s="109">
        <v>7.91278265933649</v>
      </c>
      <c r="U36" s="49">
        <v>53</v>
      </c>
      <c r="V36" s="110">
        <f>((O36+R36)*100)/N36</f>
        <v>37.1298689552426</v>
      </c>
      <c r="W36" s="110">
        <f>((P36+S36)*100)/N36</f>
        <v>27.8311725766793</v>
      </c>
      <c r="X36" s="110">
        <f>((Q36+T36)*100)/N36</f>
        <v>35.0389584680781</v>
      </c>
    </row>
    <row r="37" spans="1:24" s="168" customFormat="1" ht="22.500000" customHeight="1">
      <c r="A37" s="34">
        <v>35</v>
      </c>
      <c r="B37" s="108">
        <f>C37+D37+E37+F37+G37+H37</f>
        <v>7</v>
      </c>
      <c r="C37" s="109">
        <v>3</v>
      </c>
      <c r="D37" s="109">
        <v>1</v>
      </c>
      <c r="E37" s="109">
        <v>3</v>
      </c>
      <c r="F37" s="109">
        <v>0</v>
      </c>
      <c r="G37" s="109">
        <v>0</v>
      </c>
      <c r="H37" s="109">
        <v>0</v>
      </c>
      <c r="I37" s="78">
        <f>(100*B37)/N37</f>
        <v>0.581126477695925</v>
      </c>
      <c r="J37" s="110">
        <f>((C37+F37)*100)/B37</f>
        <v>42.8571428571429</v>
      </c>
      <c r="K37" s="110">
        <f>((D37+G37)*100)/B37</f>
        <v>14.2857142857143</v>
      </c>
      <c r="L37" s="110">
        <f>((E37+H37)*100)/B37</f>
        <v>42.8571428571429</v>
      </c>
      <c r="M37" s="112">
        <f>N37-B36</f>
        <v>1202.55705748496</v>
      </c>
      <c r="N37" s="108">
        <f>O37+P37+Q37+R37+S37+T37</f>
        <v>1204.55705748496</v>
      </c>
      <c r="O37" s="109">
        <v>357</v>
      </c>
      <c r="P37" s="109">
        <v>266</v>
      </c>
      <c r="Q37" s="109">
        <v>334</v>
      </c>
      <c r="R37" s="109">
        <v>88.1710067754638</v>
      </c>
      <c r="S37" s="109">
        <v>67.8238513657414</v>
      </c>
      <c r="T37" s="109">
        <v>91.5621993437509</v>
      </c>
      <c r="U37" s="49">
        <v>60</v>
      </c>
      <c r="V37" s="110">
        <f>((O37+R37)*100)/N37</f>
        <v>36.9572370199677</v>
      </c>
      <c r="W37" s="110">
        <f>((P37+S37)*100)/N37</f>
        <v>27.7134112735802</v>
      </c>
      <c r="X37" s="110">
        <f>((Q37+T37)*100)/N37</f>
        <v>35.3293517064521</v>
      </c>
    </row>
    <row r="38" spans="1:24" s="168" customFormat="1" ht="22.500000" customHeight="1">
      <c r="A38" s="34">
        <v>36</v>
      </c>
      <c r="B38" s="108">
        <f>C38+D38+E38+F38+G38+H38</f>
        <v>1</v>
      </c>
      <c r="C38" s="109">
        <v>1</v>
      </c>
      <c r="D38" s="109">
        <v>0</v>
      </c>
      <c r="E38" s="109">
        <v>0</v>
      </c>
      <c r="F38" s="109">
        <v>0</v>
      </c>
      <c r="G38" s="109">
        <v>0</v>
      </c>
      <c r="H38" s="109">
        <v>0</v>
      </c>
      <c r="I38" s="78">
        <f>(100*B38)/N38</f>
        <v>0.106723585912487</v>
      </c>
      <c r="J38" s="110">
        <f>((C38+F38)*100)/B38</f>
        <v>100</v>
      </c>
      <c r="K38" s="110">
        <f>((D38+G38)*100)/B38</f>
        <v>0</v>
      </c>
      <c r="L38" s="110">
        <f>((E38+H38)*100)/B38</f>
        <v>0</v>
      </c>
      <c r="M38" s="112">
        <f>N38-B37</f>
        <v>930</v>
      </c>
      <c r="N38" s="108">
        <f>O38+P38+Q38+R38+S38+T38</f>
        <v>937</v>
      </c>
      <c r="O38" s="109">
        <v>345</v>
      </c>
      <c r="P38" s="109">
        <v>263</v>
      </c>
      <c r="Q38" s="109">
        <v>329</v>
      </c>
      <c r="R38" s="109">
        <v>0</v>
      </c>
      <c r="S38" s="109">
        <v>0</v>
      </c>
      <c r="T38" s="109">
        <v>0</v>
      </c>
      <c r="U38" s="49">
        <v>52</v>
      </c>
      <c r="V38" s="110">
        <f>((O38+R38)*100)/N38</f>
        <v>36.8196371398079</v>
      </c>
      <c r="W38" s="110">
        <f>((P38+S38)*100)/N38</f>
        <v>28.068303094984</v>
      </c>
      <c r="X38" s="110">
        <f>((Q38+T38)*100)/N38</f>
        <v>35.1120597652081</v>
      </c>
    </row>
    <row r="39" spans="1:24" s="168" customFormat="1" ht="22.500000" customHeight="1">
      <c r="A39" s="34">
        <v>37</v>
      </c>
      <c r="B39" s="108">
        <f>C39+D39+E39+F39+G39+H39</f>
        <v>1</v>
      </c>
      <c r="C39" s="109">
        <v>1</v>
      </c>
      <c r="D39" s="109">
        <v>0</v>
      </c>
      <c r="E39" s="109">
        <v>0</v>
      </c>
      <c r="F39" s="109">
        <v>0</v>
      </c>
      <c r="G39" s="109">
        <v>0</v>
      </c>
      <c r="H39" s="109">
        <v>0</v>
      </c>
      <c r="I39" s="78">
        <f>(100*B39)/N39</f>
        <v>0.107642626480086</v>
      </c>
      <c r="J39" s="110">
        <f>((C39+F39)*100)/B39</f>
        <v>100</v>
      </c>
      <c r="K39" s="110">
        <f>((D39+G39)*100)/B39</f>
        <v>0</v>
      </c>
      <c r="L39" s="110">
        <f>((E39+H39)*100)/B39</f>
        <v>0</v>
      </c>
      <c r="M39" s="112">
        <f>N39-B38</f>
        <v>928</v>
      </c>
      <c r="N39" s="108">
        <f>O39+P39+Q39+R39+S39+T39</f>
        <v>929</v>
      </c>
      <c r="O39" s="109">
        <v>343</v>
      </c>
      <c r="P39" s="109">
        <v>261</v>
      </c>
      <c r="Q39" s="109">
        <v>325</v>
      </c>
      <c r="R39" s="109">
        <v>0</v>
      </c>
      <c r="S39" s="109">
        <v>0</v>
      </c>
      <c r="T39" s="109">
        <v>0</v>
      </c>
      <c r="U39" s="49">
        <v>43</v>
      </c>
      <c r="V39" s="110">
        <f>((O39+R39)*100)/N39</f>
        <v>36.9214208826695</v>
      </c>
      <c r="W39" s="110">
        <f>((P39+S39)*100)/N39</f>
        <v>28.0947255113025</v>
      </c>
      <c r="X39" s="110">
        <f>((Q39+T39)*100)/N39</f>
        <v>34.983853606028</v>
      </c>
    </row>
    <row r="40" spans="1:24" s="168" customFormat="1" ht="22.500000" customHeight="1">
      <c r="A40" s="34">
        <v>38</v>
      </c>
      <c r="B40" s="108">
        <f>C40+D40+E40+F40+G40+H40</f>
        <v>2</v>
      </c>
      <c r="C40" s="109">
        <v>2</v>
      </c>
      <c r="D40" s="109">
        <v>0</v>
      </c>
      <c r="E40" s="109">
        <v>0</v>
      </c>
      <c r="F40" s="109">
        <v>0</v>
      </c>
      <c r="G40" s="109">
        <v>0</v>
      </c>
      <c r="H40" s="109">
        <v>0</v>
      </c>
      <c r="I40" s="78">
        <f>(100*B40)/N40</f>
        <v>0.211241783898578</v>
      </c>
      <c r="J40" s="110">
        <f>((C40+F40)*100)/B40</f>
        <v>100</v>
      </c>
      <c r="K40" s="110">
        <f>((D40+G40)*100)/B40</f>
        <v>0</v>
      </c>
      <c r="L40" s="110">
        <f>((E40+H40)*100)/B40</f>
        <v>0</v>
      </c>
      <c r="M40" s="112">
        <f>N40-B39</f>
        <v>945.782385136574</v>
      </c>
      <c r="N40" s="108">
        <f>O40+P40+Q40+R40+S40+T40</f>
        <v>946.782385136574</v>
      </c>
      <c r="O40" s="109">
        <v>347</v>
      </c>
      <c r="P40" s="109">
        <v>264</v>
      </c>
      <c r="Q40" s="109">
        <v>329</v>
      </c>
      <c r="R40" s="109">
        <v>2.26079504552471</v>
      </c>
      <c r="S40" s="109">
        <v>3.39119256828707</v>
      </c>
      <c r="T40" s="109">
        <v>1.13039752276235</v>
      </c>
      <c r="U40" s="49">
        <v>45</v>
      </c>
      <c r="V40" s="110">
        <f>((O40+R40)*100)/N40</f>
        <v>36.8892366956261</v>
      </c>
      <c r="W40" s="110">
        <f>((P40+S40)*100)/N40</f>
        <v>28.2420962584465</v>
      </c>
      <c r="X40" s="110">
        <f>((Q40+T40)*100)/N40</f>
        <v>34.8686670459274</v>
      </c>
    </row>
    <row r="41" spans="1:24" s="168" customFormat="1" ht="22.500000" customHeight="1">
      <c r="A41" s="34">
        <v>39</v>
      </c>
      <c r="B41" s="108">
        <f>C41+D41+E41+F41+G41+H41</f>
        <v>90.693453842979</v>
      </c>
      <c r="C41" s="109">
        <v>13</v>
      </c>
      <c r="D41" s="109">
        <v>3</v>
      </c>
      <c r="E41" s="109">
        <v>8</v>
      </c>
      <c r="F41" s="109">
        <v>20.3471554097224</v>
      </c>
      <c r="G41" s="109">
        <v>25.9991430235342</v>
      </c>
      <c r="H41" s="109">
        <v>20.3471554097224</v>
      </c>
      <c r="I41" s="78">
        <f>(100*B41)/N41</f>
        <v>3.53438581532402</v>
      </c>
      <c r="J41" s="110">
        <f>((C41+F41)*100)/B41</f>
        <v>36.7690875103925</v>
      </c>
      <c r="K41" s="110">
        <f>((D41+G41)*100)/B41</f>
        <v>31.9749020406054</v>
      </c>
      <c r="L41" s="110">
        <f>((E41+H41)*100)/B41</f>
        <v>31.2560104490021</v>
      </c>
      <c r="M41" s="112">
        <f>N41-B40</f>
        <v>2564.03151387039</v>
      </c>
      <c r="N41" s="108">
        <f>O41+P41+Q41+R41+S41+T41</f>
        <v>2566.03151387039</v>
      </c>
      <c r="O41" s="109">
        <v>333</v>
      </c>
      <c r="P41" s="109">
        <v>253</v>
      </c>
      <c r="Q41" s="109">
        <v>298</v>
      </c>
      <c r="R41" s="109">
        <v>599.110687064049</v>
      </c>
      <c r="S41" s="109">
        <v>479.288549651239</v>
      </c>
      <c r="T41" s="109">
        <v>603.632277155098</v>
      </c>
      <c r="U41" s="49">
        <v>87</v>
      </c>
      <c r="V41" s="110">
        <f>((O41+R41)*100)/N41</f>
        <v>36.3249898540074</v>
      </c>
      <c r="W41" s="110">
        <f>((P41+S41)*100)/N41</f>
        <v>28.5377847346355</v>
      </c>
      <c r="X41" s="110">
        <f>((Q41+T41)*100)/N41</f>
        <v>35.1372254113572</v>
      </c>
    </row>
    <row r="42" spans="1:24" s="168" customFormat="1" ht="22.500000" customHeight="1">
      <c r="A42" s="34">
        <v>40</v>
      </c>
      <c r="B42" s="108">
        <f>C42+D42+E42+F42+G42+H42</f>
        <v>500.86103271258</v>
      </c>
      <c r="C42" s="109">
        <v>129</v>
      </c>
      <c r="D42" s="109">
        <v>36</v>
      </c>
      <c r="E42" s="109">
        <v>77</v>
      </c>
      <c r="F42" s="109">
        <v>145.821280436344</v>
      </c>
      <c r="G42" s="109">
        <v>41.8247083422072</v>
      </c>
      <c r="H42" s="109">
        <v>71.2150439340284</v>
      </c>
      <c r="I42" s="78">
        <f>(100*B42)/N42</f>
        <v>18.7474008873712</v>
      </c>
      <c r="J42" s="110">
        <f>((C42+F42)*100)/B42</f>
        <v>54.8697667590465</v>
      </c>
      <c r="K42" s="110">
        <f>((D42+G42)*100)/B42</f>
        <v>15.5381838991789</v>
      </c>
      <c r="L42" s="110">
        <f>((E42+H42)*100)/B42</f>
        <v>29.5920493417746</v>
      </c>
      <c r="M42" s="112">
        <f>N42-B41</f>
        <v>2580.93572676506</v>
      </c>
      <c r="N42" s="108">
        <f>O42+P42+Q42+R42+S42+T42</f>
        <v>2671.62918060804</v>
      </c>
      <c r="O42" s="109">
        <v>269</v>
      </c>
      <c r="P42" s="109">
        <v>202</v>
      </c>
      <c r="Q42" s="109">
        <v>184</v>
      </c>
      <c r="R42" s="109">
        <v>671.456128520839</v>
      </c>
      <c r="S42" s="109">
        <v>670.325730998077</v>
      </c>
      <c r="T42" s="109">
        <v>674.847321089127</v>
      </c>
      <c r="U42" s="49">
        <v>159</v>
      </c>
      <c r="V42" s="110">
        <f>((O42+R42)*100)/N42</f>
        <v>35.2015966642047</v>
      </c>
      <c r="W42" s="110">
        <f>((P42+S42)*100)/N42</f>
        <v>32.6514524294701</v>
      </c>
      <c r="X42" s="110">
        <f>((Q42+T42)*100)/N42</f>
        <v>32.1469509063252</v>
      </c>
    </row>
    <row r="43" spans="1:24" s="168" customFormat="1" ht="22.500000" customHeight="1">
      <c r="A43" s="34">
        <v>41</v>
      </c>
      <c r="B43" s="108">
        <f>C43+D43+E43+F43+G43+H43</f>
        <v>11</v>
      </c>
      <c r="C43" s="109">
        <v>6</v>
      </c>
      <c r="D43" s="109">
        <v>2</v>
      </c>
      <c r="E43" s="109">
        <v>3</v>
      </c>
      <c r="F43" s="109">
        <v>0</v>
      </c>
      <c r="G43" s="109">
        <v>0</v>
      </c>
      <c r="H43" s="109">
        <v>0</v>
      </c>
      <c r="I43" s="78">
        <f>(100*B43)/N43</f>
        <v>1.52768615865761</v>
      </c>
      <c r="J43" s="110">
        <f>((C43+F43)*100)/B43</f>
        <v>54.5454545454545</v>
      </c>
      <c r="K43" s="110">
        <f>((D43+G43)*100)/B43</f>
        <v>18.1818181818182</v>
      </c>
      <c r="L43" s="110">
        <f>((E43+H43)*100)/B43</f>
        <v>27.2727272727273</v>
      </c>
      <c r="M43" s="112">
        <f>N43-B42</f>
        <v>219.182147469519</v>
      </c>
      <c r="N43" s="108">
        <f>O43+P43+Q43+R43+S43+T43</f>
        <v>720.043180182099</v>
      </c>
      <c r="O43" s="109">
        <v>339</v>
      </c>
      <c r="P43" s="109">
        <v>194</v>
      </c>
      <c r="Q43" s="109">
        <v>178</v>
      </c>
      <c r="R43" s="109">
        <v>5.65198761381178</v>
      </c>
      <c r="S43" s="109">
        <v>2.26079504552471</v>
      </c>
      <c r="T43" s="109">
        <v>1.13039752276235</v>
      </c>
      <c r="U43" s="49">
        <v>70</v>
      </c>
      <c r="V43" s="110">
        <f>((O43+R43)*100)/N43</f>
        <v>47.8654610028595</v>
      </c>
      <c r="W43" s="110">
        <f>((P43+S43)*100)/N43</f>
        <v>27.2568090980169</v>
      </c>
      <c r="X43" s="110">
        <f>((Q43+T43)*100)/N43</f>
        <v>24.8777298991236</v>
      </c>
    </row>
    <row r="44" spans="1:24" s="168" customFormat="1" ht="22.500000" customHeight="1">
      <c r="A44" s="34">
        <v>42</v>
      </c>
      <c r="B44" s="108">
        <f>C44+D44+E44+F44+G44+H44</f>
        <v>227.17186375193</v>
      </c>
      <c r="C44" s="109">
        <v>117</v>
      </c>
      <c r="D44" s="109">
        <v>11</v>
      </c>
      <c r="E44" s="109">
        <v>37</v>
      </c>
      <c r="F44" s="109">
        <v>35.042323205633</v>
      </c>
      <c r="G44" s="109">
        <v>16.9559628414353</v>
      </c>
      <c r="H44" s="109">
        <v>10.1735777048612</v>
      </c>
      <c r="I44" s="78">
        <f>(100*B44)/N44</f>
        <v>11.5706447503867</v>
      </c>
      <c r="J44" s="110">
        <f>((C44+F44)*100)/B44</f>
        <v>66.9283249670665</v>
      </c>
      <c r="K44" s="110">
        <f>((D44+G44)*100)/B44</f>
        <v>12.3060850845345</v>
      </c>
      <c r="L44" s="110">
        <f>((E44+H44)*100)/B44</f>
        <v>20.7655899483989</v>
      </c>
      <c r="M44" s="112">
        <f>N44-B43</f>
        <v>1952.34662979207</v>
      </c>
      <c r="N44" s="108">
        <f>O44+P44+Q44+R44+S44+T44</f>
        <v>1963.34662979207</v>
      </c>
      <c r="O44" s="109">
        <v>292</v>
      </c>
      <c r="P44" s="109">
        <v>179</v>
      </c>
      <c r="Q44" s="109">
        <v>137</v>
      </c>
      <c r="R44" s="109">
        <v>643.196190451781</v>
      </c>
      <c r="S44" s="109">
        <v>375.291977557102</v>
      </c>
      <c r="T44" s="109">
        <v>336.858461783182</v>
      </c>
      <c r="U44" s="49">
        <v>111</v>
      </c>
      <c r="V44" s="110">
        <f>((O44+R44)*100)/N44</f>
        <v>47.6327601179027</v>
      </c>
      <c r="W44" s="110">
        <f>((P44+S44)*100)/N44</f>
        <v>28.2319978116043</v>
      </c>
      <c r="X44" s="110">
        <f>((Q44+T44)*100)/N44</f>
        <v>24.1352420704931</v>
      </c>
    </row>
    <row r="45" spans="1:24" s="168" customFormat="1" ht="22.500000" customHeight="1">
      <c r="A45" s="34">
        <v>43</v>
      </c>
      <c r="B45" s="108">
        <f>C45+D45+E45+F45+G45+H45</f>
        <v>39</v>
      </c>
      <c r="C45" s="109">
        <v>31</v>
      </c>
      <c r="D45" s="109">
        <v>3</v>
      </c>
      <c r="E45" s="109">
        <v>5</v>
      </c>
      <c r="F45" s="109">
        <v>0</v>
      </c>
      <c r="G45" s="109">
        <v>0</v>
      </c>
      <c r="H45" s="109">
        <v>0</v>
      </c>
      <c r="I45" s="78">
        <f>(100*B45)/N45</f>
        <v>5.8642959845997</v>
      </c>
      <c r="J45" s="110">
        <f>((C45+F45)*100)/B45</f>
        <v>79.4871794871795</v>
      </c>
      <c r="K45" s="110">
        <f>((D45+G45)*100)/B45</f>
        <v>7.69230769230769</v>
      </c>
      <c r="L45" s="110">
        <f>((E45+H45)*100)/B45</f>
        <v>12.8205128205128</v>
      </c>
      <c r="M45" s="112">
        <f>N45-B44</f>
        <v>437.869602477238</v>
      </c>
      <c r="N45" s="108">
        <f>O45+P45+Q45+R45+S45+T45</f>
        <v>665.041466229167</v>
      </c>
      <c r="O45" s="109">
        <v>289</v>
      </c>
      <c r="P45" s="109">
        <v>182</v>
      </c>
      <c r="Q45" s="109">
        <v>133</v>
      </c>
      <c r="R45" s="109">
        <v>29.3903355918212</v>
      </c>
      <c r="S45" s="109">
        <v>18.0863603641977</v>
      </c>
      <c r="T45" s="109">
        <v>13.5647702731482</v>
      </c>
      <c r="U45" s="49">
        <v>84</v>
      </c>
      <c r="V45" s="110">
        <f>((O45+R45)*100)/N45</f>
        <v>47.8752606806787</v>
      </c>
      <c r="W45" s="110">
        <f>((P45+S45)*100)/N45</f>
        <v>30.0862984527419</v>
      </c>
      <c r="X45" s="110">
        <f>((Q45+T45)*100)/N45</f>
        <v>22.0384408665795</v>
      </c>
    </row>
    <row r="46" spans="1:24" s="168" customFormat="1" ht="22.500000" customHeight="1">
      <c r="A46" s="34">
        <v>44</v>
      </c>
      <c r="B46" s="108">
        <f>C46+D46+E46+F46+G46+H46</f>
        <v>0</v>
      </c>
      <c r="C46" s="109">
        <v>0</v>
      </c>
      <c r="D46" s="109">
        <v>0</v>
      </c>
      <c r="E46" s="109">
        <v>0</v>
      </c>
      <c r="F46" s="109">
        <v>0</v>
      </c>
      <c r="G46" s="109">
        <v>0</v>
      </c>
      <c r="H46" s="109">
        <v>0</v>
      </c>
      <c r="I46" s="78">
        <f>(100*B46)/N46</f>
        <v>0</v>
      </c>
      <c r="J46" s="110" t="e">
        <f>((C46+F46)*100)/B46</f>
        <v>#DIV/0!</v>
      </c>
      <c r="K46" s="110" t="e">
        <f>((D46+G46)*100)/B46</f>
        <v>#DIV/0!</v>
      </c>
      <c r="L46" s="110" t="e">
        <f>((E46+H46)*100)/B46</f>
        <v>#DIV/0!</v>
      </c>
      <c r="M46" s="112">
        <f>N46-B45</f>
        <v>587.260795045525</v>
      </c>
      <c r="N46" s="108">
        <f>O46+P46+Q46+R46+S46+T46</f>
        <v>626.260795045525</v>
      </c>
      <c r="O46" s="109">
        <v>303</v>
      </c>
      <c r="P46" s="109">
        <v>185</v>
      </c>
      <c r="Q46" s="109">
        <v>136</v>
      </c>
      <c r="R46" s="109">
        <v>2.26079504552471</v>
      </c>
      <c r="S46" s="109">
        <v>0</v>
      </c>
      <c r="T46" s="109">
        <v>0</v>
      </c>
      <c r="U46" s="49">
        <v>66</v>
      </c>
      <c r="V46" s="110">
        <f>((O46+R46)*100)/N46</f>
        <v>48.743398510733</v>
      </c>
      <c r="W46" s="110">
        <f>((P46+S46)*100)/N46</f>
        <v>29.5404089579888</v>
      </c>
      <c r="X46" s="110">
        <f>((Q46+T46)*100)/N46</f>
        <v>21.7161925312782</v>
      </c>
    </row>
    <row r="47" spans="1:24" s="168" customFormat="1" ht="22.500000" customHeight="1">
      <c r="A47" s="34">
        <v>45</v>
      </c>
      <c r="B47" s="108">
        <f>C47+D47+E47+F47+G47+H47</f>
        <v>0</v>
      </c>
      <c r="C47" s="109">
        <v>0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78">
        <f>(100*B47)/N47</f>
        <v>0</v>
      </c>
      <c r="J47" s="110" t="e">
        <f>((C47+F47)*100)/B47</f>
        <v>#DIV/0!</v>
      </c>
      <c r="K47" s="110" t="e">
        <f>((D47+G47)*100)/B47</f>
        <v>#DIV/0!</v>
      </c>
      <c r="L47" s="110" t="e">
        <f>((E47+H47)*100)/B47</f>
        <v>#DIV/0!</v>
      </c>
      <c r="M47" s="112">
        <f>N47-B46</f>
        <v>648.260795045525</v>
      </c>
      <c r="N47" s="108">
        <f>O47+P47+Q47+R47+S47+T47</f>
        <v>648.260795045525</v>
      </c>
      <c r="O47" s="109">
        <v>316</v>
      </c>
      <c r="P47" s="109">
        <v>191</v>
      </c>
      <c r="Q47" s="109">
        <v>139</v>
      </c>
      <c r="R47" s="109">
        <v>2.26079504552471</v>
      </c>
      <c r="S47" s="109">
        <v>0</v>
      </c>
      <c r="T47" s="109">
        <v>0</v>
      </c>
      <c r="U47" s="49">
        <v>57</v>
      </c>
      <c r="V47" s="110">
        <f>((O47+R47)*100)/N47</f>
        <v>49.0945615526811</v>
      </c>
      <c r="W47" s="110">
        <f>((P47+S47)*100)/N47</f>
        <v>29.4634507376907</v>
      </c>
      <c r="X47" s="110">
        <f>((Q47+T47)*100)/N47</f>
        <v>21.4419877096283</v>
      </c>
    </row>
    <row r="48" spans="1:24" s="168" customFormat="1" ht="22.500000" customHeight="1">
      <c r="A48" s="34">
        <v>46</v>
      </c>
      <c r="B48" s="108">
        <f>C48+D48+E48+F48+G48+H48</f>
        <v>0</v>
      </c>
      <c r="C48" s="109">
        <v>0</v>
      </c>
      <c r="D48" s="109">
        <v>0</v>
      </c>
      <c r="E48" s="109">
        <v>0</v>
      </c>
      <c r="F48" s="109">
        <v>0</v>
      </c>
      <c r="G48" s="109">
        <v>0</v>
      </c>
      <c r="H48" s="109">
        <v>0</v>
      </c>
      <c r="I48" s="78">
        <f>(100*B48)/N48</f>
        <v>0</v>
      </c>
      <c r="J48" s="110" t="e">
        <f>((C48+F48)*100)/B48</f>
        <v>#DIV/0!</v>
      </c>
      <c r="K48" s="110" t="e">
        <f>((D48+G48)*100)/B48</f>
        <v>#DIV/0!</v>
      </c>
      <c r="L48" s="110" t="e">
        <f>((E48+H48)*100)/B48</f>
        <v>#DIV/0!</v>
      </c>
      <c r="M48" s="112">
        <f>N48-B47</f>
        <v>670.391192568287</v>
      </c>
      <c r="N48" s="108">
        <f>O48+P48+Q48+R48+S48+T48</f>
        <v>670.391192568287</v>
      </c>
      <c r="O48" s="109">
        <v>323</v>
      </c>
      <c r="P48" s="109">
        <v>196</v>
      </c>
      <c r="Q48" s="109">
        <v>148</v>
      </c>
      <c r="R48" s="109">
        <v>3.39119256828707</v>
      </c>
      <c r="S48" s="109">
        <v>0</v>
      </c>
      <c r="T48" s="109">
        <v>0</v>
      </c>
      <c r="U48" s="49">
        <v>53</v>
      </c>
      <c r="V48" s="110">
        <f>((O48+R48)*100)/N48</f>
        <v>48.6866767025792</v>
      </c>
      <c r="W48" s="110">
        <f>((P48+S48)*100)/N48</f>
        <v>29.2366609485305</v>
      </c>
      <c r="X48" s="110">
        <f>((Q48+T48)*100)/N48</f>
        <v>22.0766623488903</v>
      </c>
    </row>
    <row r="49" spans="1:24" s="168" customFormat="1" ht="22.500000" customHeight="1">
      <c r="A49" s="34">
        <v>47</v>
      </c>
      <c r="B49" s="108">
        <f>C49+D49+E49+F49+G49+H49</f>
        <v>0</v>
      </c>
      <c r="C49" s="109">
        <v>0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78">
        <f>(100*B49)/N49</f>
        <v>0</v>
      </c>
      <c r="J49" s="110" t="e">
        <f>((C49+F49)*100)/B49</f>
        <v>#DIV/0!</v>
      </c>
      <c r="K49" s="110" t="e">
        <f>((D49+G49)*100)/B49</f>
        <v>#DIV/0!</v>
      </c>
      <c r="L49" s="110" t="e">
        <f>((E49+H49)*100)/B49</f>
        <v>#DIV/0!</v>
      </c>
      <c r="M49" s="112">
        <f>N49-B48</f>
        <v>661</v>
      </c>
      <c r="N49" s="108">
        <f>O49+P49+Q49+R49+S49+T49</f>
        <v>661</v>
      </c>
      <c r="O49" s="109">
        <v>323</v>
      </c>
      <c r="P49" s="109">
        <v>192</v>
      </c>
      <c r="Q49" s="109">
        <v>146</v>
      </c>
      <c r="R49" s="109">
        <v>0</v>
      </c>
      <c r="S49" s="109">
        <v>0</v>
      </c>
      <c r="T49" s="109">
        <v>0</v>
      </c>
      <c r="U49" s="49">
        <v>55</v>
      </c>
      <c r="V49" s="110">
        <f>((O49+R49)*100)/N49</f>
        <v>48.8653555219365</v>
      </c>
      <c r="W49" s="110">
        <f>((P49+S49)*100)/N49</f>
        <v>29.0468986384266</v>
      </c>
      <c r="X49" s="110">
        <f>((Q49+T49)*100)/N49</f>
        <v>22.0877458396369</v>
      </c>
    </row>
    <row r="50" spans="1:24" s="168" customFormat="1" ht="22.500000" customHeight="1">
      <c r="A50" s="34">
        <v>48</v>
      </c>
      <c r="B50" s="108">
        <f>C50+D50+E50+F50+G50+H50</f>
        <v>4</v>
      </c>
      <c r="C50" s="109">
        <v>3</v>
      </c>
      <c r="D50" s="109">
        <v>1</v>
      </c>
      <c r="E50" s="109">
        <v>0</v>
      </c>
      <c r="F50" s="109">
        <v>0</v>
      </c>
      <c r="G50" s="109">
        <v>0</v>
      </c>
      <c r="H50" s="109">
        <v>0</v>
      </c>
      <c r="I50" s="78">
        <f>(100*B50)/N50</f>
        <v>0.484774380391363</v>
      </c>
      <c r="J50" s="110">
        <f>((C50+F50)*100)/B50</f>
        <v>75</v>
      </c>
      <c r="K50" s="110">
        <f>((D50+G50)*100)/B50</f>
        <v>25</v>
      </c>
      <c r="L50" s="110">
        <f>((E50+H50)*100)/B50</f>
        <v>0</v>
      </c>
      <c r="M50" s="112">
        <f>N50-B49</f>
        <v>825.126112640433</v>
      </c>
      <c r="N50" s="108">
        <f>O50+P50+Q50+R50+S50+T50</f>
        <v>825.126112640433</v>
      </c>
      <c r="O50" s="109">
        <v>361</v>
      </c>
      <c r="P50" s="109">
        <v>190</v>
      </c>
      <c r="Q50" s="109">
        <v>143</v>
      </c>
      <c r="R50" s="109">
        <v>63.3022612746919</v>
      </c>
      <c r="S50" s="109">
        <v>42.9551058649695</v>
      </c>
      <c r="T50" s="109">
        <v>24.8687455007718</v>
      </c>
      <c r="U50" s="49">
        <v>62</v>
      </c>
      <c r="V50" s="110">
        <f>((O50+R50)*100)/N50</f>
        <v>51.4227164520233</v>
      </c>
      <c r="W50" s="110">
        <f>((P50+S50)*100)/N50</f>
        <v>28.2326667761737</v>
      </c>
      <c r="X50" s="110">
        <f>((Q50+T50)*100)/N50</f>
        <v>20.344616771803</v>
      </c>
    </row>
    <row r="51" spans="1:24" s="168" customFormat="1" ht="22.500000" customHeight="1">
      <c r="A51" s="34">
        <v>49</v>
      </c>
      <c r="B51" s="108">
        <f>C51+D51+E51+F51+G51+H51</f>
        <v>44.6079504552471</v>
      </c>
      <c r="C51" s="109">
        <v>17</v>
      </c>
      <c r="D51" s="109">
        <v>5</v>
      </c>
      <c r="E51" s="109">
        <v>0</v>
      </c>
      <c r="F51" s="109">
        <v>14.6951677959106</v>
      </c>
      <c r="G51" s="109">
        <v>1.13039752276235</v>
      </c>
      <c r="H51" s="109">
        <v>6.78238513657414</v>
      </c>
      <c r="I51" s="78">
        <f>(100*B51)/N51</f>
        <v>2.7062013890082</v>
      </c>
      <c r="J51" s="110">
        <f>((C51+F51)*100)/B51</f>
        <v>71.0527326910228</v>
      </c>
      <c r="K51" s="110">
        <f>((D51+G51)*100)/B51</f>
        <v>13.7428361092552</v>
      </c>
      <c r="L51" s="110">
        <f>((E51+H51)*100)/B51</f>
        <v>15.204431199722</v>
      </c>
      <c r="M51" s="112">
        <f>N51-B50</f>
        <v>1644.36034141552</v>
      </c>
      <c r="N51" s="108">
        <f>O51+P51+Q51+R51+S51+T51</f>
        <v>1648.36034141552</v>
      </c>
      <c r="O51" s="109">
        <v>375</v>
      </c>
      <c r="P51" s="109">
        <v>190</v>
      </c>
      <c r="Q51" s="109">
        <v>144</v>
      </c>
      <c r="R51" s="109">
        <v>472.506164514665</v>
      </c>
      <c r="S51" s="109">
        <v>279.208188122302</v>
      </c>
      <c r="T51" s="109">
        <v>187.645988778551</v>
      </c>
      <c r="U51" s="49">
        <v>114</v>
      </c>
      <c r="V51" s="110">
        <f>((O51+R51)*100)/N51</f>
        <v>51.4151028279942</v>
      </c>
      <c r="W51" s="110">
        <f>((P51+S51)*100)/N51</f>
        <v>28.4651466268215</v>
      </c>
      <c r="X51" s="110">
        <f>((Q51+T51)*100)/N51</f>
        <v>20.1197505451843</v>
      </c>
    </row>
    <row r="52" spans="1:24" s="168" customFormat="1" ht="22.500000" customHeight="1">
      <c r="A52" s="34">
        <v>50</v>
      </c>
      <c r="B52" s="108">
        <f>C52+D52+E52+F52+G52+H52</f>
        <v>111.390335591821</v>
      </c>
      <c r="C52" s="109">
        <v>49</v>
      </c>
      <c r="D52" s="109">
        <v>22</v>
      </c>
      <c r="E52" s="109">
        <v>11</v>
      </c>
      <c r="F52" s="109">
        <v>9.04318018209885</v>
      </c>
      <c r="G52" s="109">
        <v>7.91278265933649</v>
      </c>
      <c r="H52" s="109">
        <v>12.4343727503859</v>
      </c>
      <c r="I52" s="78">
        <f>(100*B52)/N52</f>
        <v>7.45315225465443</v>
      </c>
      <c r="J52" s="110">
        <f>((C52+F52)*100)/B52</f>
        <v>52.1079139170496</v>
      </c>
      <c r="K52" s="110">
        <f>((D52+G52)*100)/B52</f>
        <v>26.8540196960613</v>
      </c>
      <c r="L52" s="110">
        <f>((E52+H52)*100)/B52</f>
        <v>21.0380663868891</v>
      </c>
      <c r="M52" s="112">
        <f>N52-B51</f>
        <v>1449.93196750039</v>
      </c>
      <c r="N52" s="108">
        <f>O52+P52+Q52+R52+S52+T52</f>
        <v>1494.53991795564</v>
      </c>
      <c r="O52" s="109">
        <v>394</v>
      </c>
      <c r="P52" s="109">
        <v>187</v>
      </c>
      <c r="Q52" s="109">
        <v>146</v>
      </c>
      <c r="R52" s="109">
        <v>409.203903239973</v>
      </c>
      <c r="S52" s="109">
        <v>215.90592684761</v>
      </c>
      <c r="T52" s="109">
        <v>142.430087868056</v>
      </c>
      <c r="U52" s="49">
        <v>110</v>
      </c>
      <c r="V52" s="110">
        <f>((O52+R52)*100)/N52</f>
        <v>53.7425527140596</v>
      </c>
      <c r="W52" s="110">
        <f>((P52+S52)*100)/N52</f>
        <v>26.9585256310008</v>
      </c>
      <c r="X52" s="110">
        <f>((Q52+T52)*100)/N52</f>
        <v>19.2989216549395</v>
      </c>
    </row>
    <row r="53" spans="1:24" s="168" customFormat="1" ht="22.500000" customHeight="1">
      <c r="A53" s="34">
        <v>51</v>
      </c>
      <c r="B53" s="108">
        <f>C53+D53+E53+F53+G53+H53</f>
        <v>364.908497777007</v>
      </c>
      <c r="C53" s="109">
        <v>142</v>
      </c>
      <c r="D53" s="109">
        <v>33</v>
      </c>
      <c r="E53" s="109">
        <v>52</v>
      </c>
      <c r="F53" s="109">
        <v>53.1286835698307</v>
      </c>
      <c r="G53" s="109">
        <v>66.693453842979</v>
      </c>
      <c r="H53" s="109">
        <v>18.0863603641977</v>
      </c>
      <c r="I53" s="78">
        <f>(100*B53)/N53</f>
        <v>20.3972530459468</v>
      </c>
      <c r="J53" s="110">
        <f>((C53+F53)*100)/B53</f>
        <v>53.4733185876839</v>
      </c>
      <c r="K53" s="110">
        <f>((D53+G53)*100)/B53</f>
        <v>27.3201239352614</v>
      </c>
      <c r="L53" s="110">
        <f>((E53+H53)*100)/B53</f>
        <v>19.2065574770547</v>
      </c>
      <c r="M53" s="112">
        <f>N53-B52</f>
        <v>1677.61770855518</v>
      </c>
      <c r="N53" s="108">
        <f>O53+P53+Q53+R53+S53+T53</f>
        <v>1789.008044147</v>
      </c>
      <c r="O53" s="109">
        <v>386</v>
      </c>
      <c r="P53" s="109">
        <v>228</v>
      </c>
      <c r="Q53" s="109">
        <v>100</v>
      </c>
      <c r="R53" s="109">
        <v>523.374053038971</v>
      </c>
      <c r="S53" s="109">
        <v>359.466412238429</v>
      </c>
      <c r="T53" s="109">
        <v>192.1675788696</v>
      </c>
      <c r="U53" s="49">
        <v>145</v>
      </c>
      <c r="V53" s="110">
        <f>((O53+R53)*100)/N53</f>
        <v>50.8311886027634</v>
      </c>
      <c r="W53" s="110">
        <f>((P53+S53)*100)/N53</f>
        <v>32.83755006918</v>
      </c>
      <c r="X53" s="110">
        <f>((Q53+T53)*100)/N53</f>
        <v>16.3312613280566</v>
      </c>
    </row>
    <row r="54" spans="1:24" s="168" customFormat="1" ht="22.500000" customHeight="1">
      <c r="A54" s="34">
        <v>52</v>
      </c>
      <c r="B54" s="108">
        <f>C54+D54+E54+F54+G54+H54</f>
        <v>136.825565318673</v>
      </c>
      <c r="C54" s="109">
        <v>93</v>
      </c>
      <c r="D54" s="109">
        <v>14</v>
      </c>
      <c r="E54" s="109">
        <v>14</v>
      </c>
      <c r="F54" s="109">
        <v>5.65198761381178</v>
      </c>
      <c r="G54" s="109">
        <v>7.91278265933649</v>
      </c>
      <c r="H54" s="109">
        <v>2.26079504552471</v>
      </c>
      <c r="I54" s="78">
        <f>(100*B54)/N54</f>
        <v>15.2412426097075</v>
      </c>
      <c r="J54" s="110">
        <f>((C54+F54)*100)/B54</f>
        <v>72.1005518113861</v>
      </c>
      <c r="K54" s="110">
        <f>((D54+G54)*100)/B54</f>
        <v>16.0151230570841</v>
      </c>
      <c r="L54" s="110">
        <f>((E54+H54)*100)/B54</f>
        <v>11.8843251315298</v>
      </c>
      <c r="M54" s="112">
        <f>N54-B53</f>
        <v>532.823851365742</v>
      </c>
      <c r="N54" s="108">
        <f>O54+P54+Q54+R54+S54+T54</f>
        <v>897.732349142749</v>
      </c>
      <c r="O54" s="109">
        <v>358</v>
      </c>
      <c r="P54" s="109">
        <v>245</v>
      </c>
      <c r="Q54" s="109">
        <v>89</v>
      </c>
      <c r="R54" s="109">
        <v>99.4749820030874</v>
      </c>
      <c r="S54" s="109">
        <v>80.2582241161273</v>
      </c>
      <c r="T54" s="109">
        <v>25.9991430235342</v>
      </c>
      <c r="U54" s="49">
        <v>89</v>
      </c>
      <c r="V54" s="110">
        <f>((O54+R54)*100)/N54</f>
        <v>50.9589503419291</v>
      </c>
      <c r="W54" s="110">
        <f>((P54+S54)*100)/N54</f>
        <v>36.2310909734643</v>
      </c>
      <c r="X54" s="110">
        <f>((Q54+T54)*100)/N54</f>
        <v>12.8099586846066</v>
      </c>
    </row>
    <row r="55" spans="1:24" s="168" customFormat="1" ht="22.500000" customHeight="1">
      <c r="A55" s="34">
        <v>53</v>
      </c>
      <c r="B55" s="108">
        <f>C55+D55+E55+F55+G55+H55</f>
        <v>0</v>
      </c>
      <c r="C55" s="109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78">
        <f>(100*B55)/N55</f>
        <v>0</v>
      </c>
      <c r="J55" s="110" t="e">
        <f>((C55+F55)*100)/B55</f>
        <v>#DIV/0!</v>
      </c>
      <c r="K55" s="110" t="e">
        <f>((D55+G55)*100)/B55</f>
        <v>#DIV/0!</v>
      </c>
      <c r="L55" s="110" t="e">
        <f>((E55+H55)*100)/B55</f>
        <v>#DIV/0!</v>
      </c>
      <c r="M55" s="112">
        <f>N55-B54</f>
        <v>594.217614863426</v>
      </c>
      <c r="N55" s="108">
        <f>O55+P55+Q55+R55+S55+T55</f>
        <v>731.043180182099</v>
      </c>
      <c r="O55" s="109">
        <v>376</v>
      </c>
      <c r="P55" s="109">
        <v>258</v>
      </c>
      <c r="Q55" s="109">
        <v>88</v>
      </c>
      <c r="R55" s="109">
        <v>3.39119256828707</v>
      </c>
      <c r="S55" s="109">
        <v>4.52159009104942</v>
      </c>
      <c r="T55" s="109">
        <v>1.13039752276235</v>
      </c>
      <c r="U55" s="49">
        <v>67</v>
      </c>
      <c r="V55" s="110">
        <f>((O55+R55)*100)/N55</f>
        <v>51.8972343704489</v>
      </c>
      <c r="W55" s="110">
        <f>((P55+S55)*100)/N55</f>
        <v>35.9105449866391</v>
      </c>
      <c r="X55" s="110">
        <f>((Q55+T55)*100)/N55</f>
        <v>12.192220642912</v>
      </c>
    </row>
    <row r="56" spans="1:24" s="168" customFormat="1" ht="22.500000" customHeight="1">
      <c r="A56" s="34">
        <v>54</v>
      </c>
      <c r="B56" s="108">
        <f>C56+D56+E56+F56+G56+H56</f>
        <v>1</v>
      </c>
      <c r="C56" s="109">
        <v>0</v>
      </c>
      <c r="D56" s="109">
        <v>1</v>
      </c>
      <c r="E56" s="109">
        <v>0</v>
      </c>
      <c r="F56" s="109">
        <v>0</v>
      </c>
      <c r="G56" s="109">
        <v>0</v>
      </c>
      <c r="H56" s="109">
        <v>0</v>
      </c>
      <c r="I56" s="78">
        <f>(100*B56)/N56</f>
        <v>0.137362637362637</v>
      </c>
      <c r="J56" s="110">
        <f>((C56+F56)*100)/B56</f>
        <v>0</v>
      </c>
      <c r="K56" s="110">
        <f>((D56+G56)*100)/B56</f>
        <v>100</v>
      </c>
      <c r="L56" s="110">
        <f>((E56+H56)*100)/B56</f>
        <v>0</v>
      </c>
      <c r="M56" s="112">
        <f>N56-B55</f>
        <v>728</v>
      </c>
      <c r="N56" s="108">
        <f>O56+P56+Q56+R56+S56+T56</f>
        <v>728</v>
      </c>
      <c r="O56" s="109">
        <v>376</v>
      </c>
      <c r="P56" s="109">
        <v>263</v>
      </c>
      <c r="Q56" s="109">
        <v>89</v>
      </c>
      <c r="R56" s="109">
        <v>0</v>
      </c>
      <c r="S56" s="109">
        <v>0</v>
      </c>
      <c r="T56" s="109">
        <v>0</v>
      </c>
      <c r="U56" s="49">
        <v>60</v>
      </c>
      <c r="V56" s="110">
        <f>((O56+R56)*100)/N56</f>
        <v>51.6483516483517</v>
      </c>
      <c r="W56" s="110">
        <f>((P56+S56)*100)/N56</f>
        <v>36.1263736263736</v>
      </c>
      <c r="X56" s="110">
        <f>((Q56+T56)*100)/N56</f>
        <v>12.2252747252747</v>
      </c>
    </row>
    <row r="57" spans="1:24" s="168" customFormat="1" ht="22.500000" customHeight="1">
      <c r="A57" s="34">
        <v>55</v>
      </c>
      <c r="B57" s="108">
        <f>C57+D57+E57+F57+G57+H57</f>
        <v>273.124398687501</v>
      </c>
      <c r="C57" s="109">
        <v>80</v>
      </c>
      <c r="D57" s="109">
        <v>4</v>
      </c>
      <c r="E57" s="109">
        <v>6</v>
      </c>
      <c r="F57" s="109">
        <v>103.996572094136</v>
      </c>
      <c r="G57" s="109">
        <v>55.3894786153554</v>
      </c>
      <c r="H57" s="109">
        <v>23.7383479780094</v>
      </c>
      <c r="I57" s="78">
        <f>(100*B57)/N57</f>
        <v>7.99789982350084</v>
      </c>
      <c r="J57" s="110">
        <f>((C57+F57)*100)/B57</f>
        <v>67.3673143001253</v>
      </c>
      <c r="K57" s="110">
        <f>((D57+G57)*100)/B57</f>
        <v>21.7444794023352</v>
      </c>
      <c r="L57" s="110">
        <f>((E57+H57)*100)/B57</f>
        <v>10.8882062975395</v>
      </c>
      <c r="M57" s="112">
        <f>N57-B56</f>
        <v>3413.95148370024</v>
      </c>
      <c r="N57" s="108">
        <f>O57+P57+Q57+R57+S57+T57</f>
        <v>3414.95148370024</v>
      </c>
      <c r="O57" s="109">
        <v>309</v>
      </c>
      <c r="P57" s="109">
        <v>229</v>
      </c>
      <c r="Q57" s="109">
        <v>86</v>
      </c>
      <c r="R57" s="109">
        <v>1328.21708924576</v>
      </c>
      <c r="S57" s="109">
        <v>1050.13929864622</v>
      </c>
      <c r="T57" s="109">
        <v>412.59509580826</v>
      </c>
      <c r="U57" s="49">
        <v>156</v>
      </c>
      <c r="V57" s="110">
        <f>((O57+R57)*100)/N57</f>
        <v>47.942616375673</v>
      </c>
      <c r="W57" s="110">
        <f>((P57+S57)*100)/N57</f>
        <v>37.4570269812507</v>
      </c>
      <c r="X57" s="110">
        <f>((Q57+T57)*100)/N57</f>
        <v>14.6003566430763</v>
      </c>
    </row>
    <row r="58" spans="1:24" s="168" customFormat="1" ht="22.500000" customHeight="1">
      <c r="A58" s="34">
        <v>56</v>
      </c>
      <c r="B58" s="108">
        <f>C58+D58+E58+F58+G58+H58</f>
        <v>0</v>
      </c>
      <c r="C58" s="109">
        <v>0</v>
      </c>
      <c r="D58" s="109">
        <v>0</v>
      </c>
      <c r="E58" s="109">
        <v>0</v>
      </c>
      <c r="F58" s="109">
        <v>0</v>
      </c>
      <c r="G58" s="109">
        <v>0</v>
      </c>
      <c r="H58" s="109">
        <v>0</v>
      </c>
      <c r="I58" s="78">
        <f>(100*B58)/N58</f>
        <v>0</v>
      </c>
      <c r="J58" s="110" t="e">
        <f>((C58+F58)*100)/B58</f>
        <v>#DIV/0!</v>
      </c>
      <c r="K58" s="110" t="e">
        <f>((D58+G58)*100)/B58</f>
        <v>#DIV/0!</v>
      </c>
      <c r="L58" s="110" t="e">
        <f>((E58+H58)*100)/B58</f>
        <v>#DIV/0!</v>
      </c>
      <c r="M58" s="112">
        <f>N58-B57</f>
        <v>376.875601312499</v>
      </c>
      <c r="N58" s="108">
        <f>O58+P58+Q58+R58+S58+T58</f>
        <v>650</v>
      </c>
      <c r="O58" s="109">
        <v>333</v>
      </c>
      <c r="P58" s="109">
        <v>231</v>
      </c>
      <c r="Q58" s="109">
        <v>86</v>
      </c>
      <c r="R58" s="109">
        <v>0</v>
      </c>
      <c r="S58" s="109">
        <v>0</v>
      </c>
      <c r="T58" s="109">
        <v>0</v>
      </c>
      <c r="U58" s="49">
        <v>79</v>
      </c>
      <c r="V58" s="110">
        <f>((O58+R58)*100)/N58</f>
        <v>51.2307692307692</v>
      </c>
      <c r="W58" s="110">
        <f>((P58+S58)*100)/N58</f>
        <v>35.5384615384615</v>
      </c>
      <c r="X58" s="110">
        <f>((Q58+T58)*100)/N58</f>
        <v>13.2307692307692</v>
      </c>
    </row>
    <row r="59" spans="1:24" s="168" customFormat="1" ht="22.500000" customHeight="1">
      <c r="A59" s="34">
        <v>57</v>
      </c>
      <c r="B59" s="108">
        <f>C59+D59+E59+F59+G59+H59</f>
        <v>2</v>
      </c>
      <c r="C59" s="109">
        <v>2</v>
      </c>
      <c r="D59" s="109">
        <v>0</v>
      </c>
      <c r="E59" s="109">
        <v>0</v>
      </c>
      <c r="F59" s="109">
        <v>0</v>
      </c>
      <c r="G59" s="109">
        <v>0</v>
      </c>
      <c r="H59" s="109">
        <v>0</v>
      </c>
      <c r="I59" s="78">
        <f>(100*B59)/N59</f>
        <v>0.305343511450382</v>
      </c>
      <c r="J59" s="110">
        <f>((C59+F59)*100)/B59</f>
        <v>100</v>
      </c>
      <c r="K59" s="110">
        <f>((D59+G59)*100)/B59</f>
        <v>0</v>
      </c>
      <c r="L59" s="110">
        <f>((E59+H59)*100)/B59</f>
        <v>0</v>
      </c>
      <c r="M59" s="112">
        <f>N59-B58</f>
        <v>655</v>
      </c>
      <c r="N59" s="108">
        <f>O59+P59+Q59+R59+S59+T59</f>
        <v>655</v>
      </c>
      <c r="O59" s="109">
        <v>332</v>
      </c>
      <c r="P59" s="109">
        <v>236</v>
      </c>
      <c r="Q59" s="109">
        <v>87</v>
      </c>
      <c r="R59" s="109">
        <v>0</v>
      </c>
      <c r="S59" s="109">
        <v>0</v>
      </c>
      <c r="T59" s="109">
        <v>0</v>
      </c>
      <c r="U59" s="49">
        <v>75</v>
      </c>
      <c r="V59" s="110">
        <f>((O59+R59)*100)/N59</f>
        <v>50.6870229007634</v>
      </c>
      <c r="W59" s="110">
        <f>((P59+S59)*100)/N59</f>
        <v>36.030534351145</v>
      </c>
      <c r="X59" s="110">
        <f>((Q59+T59)*100)/N59</f>
        <v>13.2824427480916</v>
      </c>
    </row>
    <row r="60" spans="1:24" s="168" customFormat="1" ht="22.500000" customHeight="1">
      <c r="A60" s="34">
        <v>58</v>
      </c>
      <c r="B60" s="108">
        <f>C60+D60+E60+F60+G60+H60</f>
        <v>5</v>
      </c>
      <c r="C60" s="109">
        <v>5</v>
      </c>
      <c r="D60" s="109">
        <v>0</v>
      </c>
      <c r="E60" s="109">
        <v>0</v>
      </c>
      <c r="F60" s="109">
        <v>0</v>
      </c>
      <c r="G60" s="109">
        <v>0</v>
      </c>
      <c r="H60" s="109">
        <v>0</v>
      </c>
      <c r="I60" s="78">
        <f>(100*B60)/N60</f>
        <v>0.664550188054247</v>
      </c>
      <c r="J60" s="110">
        <f>((C60+F60)*100)/B60</f>
        <v>100</v>
      </c>
      <c r="K60" s="110">
        <f>((D60+G60)*100)/B60</f>
        <v>0</v>
      </c>
      <c r="L60" s="110">
        <f>((E60+H60)*100)/B60</f>
        <v>0</v>
      </c>
      <c r="M60" s="112">
        <f>N60-B59</f>
        <v>750.38862163889</v>
      </c>
      <c r="N60" s="108">
        <f>O60+P60+Q60+R60+S60+T60</f>
        <v>752.38862163889</v>
      </c>
      <c r="O60" s="109">
        <v>352</v>
      </c>
      <c r="P60" s="109">
        <v>234</v>
      </c>
      <c r="Q60" s="109">
        <v>85</v>
      </c>
      <c r="R60" s="109">
        <v>48.6070934787813</v>
      </c>
      <c r="S60" s="109">
        <v>27.1295405462965</v>
      </c>
      <c r="T60" s="109">
        <v>5.65198761381178</v>
      </c>
      <c r="U60" s="49">
        <v>75</v>
      </c>
      <c r="V60" s="110">
        <f>((O60+R60)*100)/N60</f>
        <v>53.2447038614379</v>
      </c>
      <c r="W60" s="110">
        <f>((P60+S60)*100)/N60</f>
        <v>34.7067370553121</v>
      </c>
      <c r="X60" s="110">
        <f>((Q60+T60)*100)/N60</f>
        <v>12.04855908325</v>
      </c>
    </row>
    <row r="61" spans="1:24" s="168" customFormat="1" ht="22.500000" customHeight="1">
      <c r="A61" s="34">
        <v>59</v>
      </c>
      <c r="B61" s="108">
        <f>C61+D61+E61+F61+G61+H61</f>
        <v>160.738347978009</v>
      </c>
      <c r="C61" s="109">
        <v>110</v>
      </c>
      <c r="D61" s="109">
        <v>17</v>
      </c>
      <c r="E61" s="109">
        <v>10</v>
      </c>
      <c r="F61" s="109">
        <v>6.78238513657414</v>
      </c>
      <c r="G61" s="109">
        <v>13.5647702731482</v>
      </c>
      <c r="H61" s="109">
        <v>3.39119256828707</v>
      </c>
      <c r="I61" s="78">
        <f>(100*B61)/N61</f>
        <v>12.7726533231083</v>
      </c>
      <c r="J61" s="110">
        <f>((C61+F61)*100)/B61</f>
        <v>72.6537174268776</v>
      </c>
      <c r="K61" s="110">
        <f>((D61+G61)*100)/B61</f>
        <v>19.0152323061885</v>
      </c>
      <c r="L61" s="110">
        <f>((E61+H61)*100)/B61</f>
        <v>8.33105026693389</v>
      </c>
      <c r="M61" s="112">
        <f>N61-B60</f>
        <v>1253.4569854973</v>
      </c>
      <c r="N61" s="108">
        <f>O61+P61+Q61+R61+S61+T61</f>
        <v>1258.4569854973</v>
      </c>
      <c r="O61" s="109">
        <v>311</v>
      </c>
      <c r="P61" s="109">
        <v>228</v>
      </c>
      <c r="Q61" s="109">
        <v>74</v>
      </c>
      <c r="R61" s="109">
        <v>316.511306373459</v>
      </c>
      <c r="S61" s="109">
        <v>245.296262439431</v>
      </c>
      <c r="T61" s="109">
        <v>83.6494166844144</v>
      </c>
      <c r="U61" s="49">
        <v>105</v>
      </c>
      <c r="V61" s="110">
        <f>((O61+R61)*100)/N61</f>
        <v>49.8635482662513</v>
      </c>
      <c r="W61" s="110">
        <f>((P61+S61)*100)/N61</f>
        <v>37.6092522743158</v>
      </c>
      <c r="X61" s="110">
        <f>((Q61+T61)*100)/N61</f>
        <v>12.5271994594329</v>
      </c>
    </row>
    <row r="62" spans="1:24" s="168" customFormat="1" ht="22.500000" customHeight="1">
      <c r="A62" s="34">
        <v>60</v>
      </c>
      <c r="B62" s="108">
        <f>C62+D62+E62+F62+G62+H62</f>
        <v>23.1303975227624</v>
      </c>
      <c r="C62" s="109">
        <v>20</v>
      </c>
      <c r="D62" s="109">
        <v>2</v>
      </c>
      <c r="E62" s="109">
        <v>0</v>
      </c>
      <c r="F62" s="109">
        <v>0</v>
      </c>
      <c r="G62" s="109">
        <v>1.13039752276235</v>
      </c>
      <c r="H62" s="109">
        <v>0</v>
      </c>
      <c r="I62" s="78">
        <f>(100*B62)/N62</f>
        <v>2.9559024486199</v>
      </c>
      <c r="J62" s="110">
        <f>((C62+F62)*100)/B62</f>
        <v>86.4663046984741</v>
      </c>
      <c r="K62" s="110">
        <f>((D62+G62)*100)/B62</f>
        <v>13.5336953015259</v>
      </c>
      <c r="L62" s="110">
        <f>((E62+H62)*100)/B62</f>
        <v>0</v>
      </c>
      <c r="M62" s="112">
        <f>N62-B61</f>
        <v>621.77724327778</v>
      </c>
      <c r="N62" s="108">
        <f>O62+P62+Q62+R62+S62+T62</f>
        <v>782.515591255789</v>
      </c>
      <c r="O62" s="109">
        <v>307</v>
      </c>
      <c r="P62" s="109">
        <v>217</v>
      </c>
      <c r="Q62" s="109">
        <v>72</v>
      </c>
      <c r="R62" s="109">
        <v>99.4749820030874</v>
      </c>
      <c r="S62" s="109">
        <v>59.9110687064049</v>
      </c>
      <c r="T62" s="109">
        <v>27.1295405462965</v>
      </c>
      <c r="U62" s="49">
        <v>81</v>
      </c>
      <c r="V62" s="110">
        <f>((O62+R62)*100)/N62</f>
        <v>51.9446496076548</v>
      </c>
      <c r="W62" s="110">
        <f>((P62+S62)*100)/N62</f>
        <v>35.3872909116118</v>
      </c>
      <c r="X62" s="110">
        <f>((Q62+T62)*100)/N62</f>
        <v>12.6680594807335</v>
      </c>
    </row>
    <row r="63" spans="1:24" s="168" customFormat="1" ht="22.500000" customHeight="1">
      <c r="A63" s="34">
        <v>61</v>
      </c>
      <c r="B63" s="108">
        <f>C63+D63+E63+F63+G63+H63</f>
        <v>50.1735777048612</v>
      </c>
      <c r="C63" s="109">
        <v>37</v>
      </c>
      <c r="D63" s="109">
        <v>1</v>
      </c>
      <c r="E63" s="109">
        <v>2</v>
      </c>
      <c r="F63" s="109">
        <v>6.78238513657414</v>
      </c>
      <c r="G63" s="109">
        <v>1.13039752276235</v>
      </c>
      <c r="H63" s="109">
        <v>2.26079504552471</v>
      </c>
      <c r="I63" s="78">
        <f>(100*B63)/N63</f>
        <v>4.24144391583227</v>
      </c>
      <c r="J63" s="110">
        <f>((C63+F63)*100)/B63</f>
        <v>87.2618360885438</v>
      </c>
      <c r="K63" s="110">
        <f>((D63+G63)*100)/B63</f>
        <v>4.24605463715206</v>
      </c>
      <c r="L63" s="110">
        <f>((E63+H63)*100)/B63</f>
        <v>8.49210927430414</v>
      </c>
      <c r="M63" s="112">
        <f>N63-B62</f>
        <v>1159.80585485996</v>
      </c>
      <c r="N63" s="108">
        <f>O63+P63+Q63+R63+S63+T63</f>
        <v>1182.93625238272</v>
      </c>
      <c r="O63" s="109">
        <v>285</v>
      </c>
      <c r="P63" s="109">
        <v>220</v>
      </c>
      <c r="Q63" s="109">
        <v>63</v>
      </c>
      <c r="R63" s="109">
        <v>284.860175736113</v>
      </c>
      <c r="S63" s="109">
        <v>239.644274825619</v>
      </c>
      <c r="T63" s="109">
        <v>90.4318018209885</v>
      </c>
      <c r="U63" s="49">
        <v>94</v>
      </c>
      <c r="V63" s="110">
        <f>((O63+R63)*100)/N63</f>
        <v>48.1733630690814</v>
      </c>
      <c r="W63" s="110">
        <f>((P63+S63)*100)/N63</f>
        <v>38.8562167994923</v>
      </c>
      <c r="X63" s="110">
        <f>((Q63+T63)*100)/N63</f>
        <v>12.9704201314263</v>
      </c>
    </row>
    <row r="64" spans="1:24" s="168" customFormat="1" ht="22.500000" customHeight="1">
      <c r="A64" s="34">
        <v>62</v>
      </c>
      <c r="B64" s="108">
        <f>C64+D64+E64+F64+G64+H64</f>
        <v>39.1735777048612</v>
      </c>
      <c r="C64" s="109">
        <v>24</v>
      </c>
      <c r="D64" s="109">
        <v>4</v>
      </c>
      <c r="E64" s="109">
        <v>1</v>
      </c>
      <c r="F64" s="109">
        <v>6.78238513657414</v>
      </c>
      <c r="G64" s="109">
        <v>2.26079504552471</v>
      </c>
      <c r="H64" s="109">
        <v>1.13039752276235</v>
      </c>
      <c r="I64" s="78">
        <f>(100*B64)/N64</f>
        <v>3.86796893795844</v>
      </c>
      <c r="J64" s="110">
        <f>((C64+F64)*100)/B64</f>
        <v>78.5794582473233</v>
      </c>
      <c r="K64" s="110">
        <f>((D64+G64)*100)/B64</f>
        <v>15.9821885371164</v>
      </c>
      <c r="L64" s="110">
        <f>((E64+H64)*100)/B64</f>
        <v>5.43835321556035</v>
      </c>
      <c r="M64" s="112">
        <f>N64-B63</f>
        <v>962.595095808259</v>
      </c>
      <c r="N64" s="108">
        <f>O64+P64+Q64+R64+S64+T64</f>
        <v>1012.76867351312</v>
      </c>
      <c r="O64" s="109">
        <v>290</v>
      </c>
      <c r="P64" s="109">
        <v>227</v>
      </c>
      <c r="Q64" s="109">
        <v>73</v>
      </c>
      <c r="R64" s="109">
        <v>221.557914461421</v>
      </c>
      <c r="S64" s="109">
        <v>152.603665572918</v>
      </c>
      <c r="T64" s="109">
        <v>48.6070934787813</v>
      </c>
      <c r="U64" s="49">
        <v>96</v>
      </c>
      <c r="V64" s="110">
        <f>((O64+R64)*100)/N64</f>
        <v>50.5108350840784</v>
      </c>
      <c r="W64" s="110">
        <f>((P64+S64)*100)/N64</f>
        <v>37.4817740221109</v>
      </c>
      <c r="X64" s="110">
        <f>((Q64+T64)*100)/N64</f>
        <v>12.0073908938107</v>
      </c>
    </row>
    <row r="65" spans="1:24" s="168" customFormat="1" ht="22.500000" customHeight="1">
      <c r="A65" s="34">
        <v>63</v>
      </c>
      <c r="B65" s="108">
        <f>C65+D65+E65+F65+G65+H65</f>
        <v>3</v>
      </c>
      <c r="C65" s="109">
        <v>2</v>
      </c>
      <c r="D65" s="109">
        <v>0</v>
      </c>
      <c r="E65" s="109">
        <v>1</v>
      </c>
      <c r="F65" s="109">
        <v>0</v>
      </c>
      <c r="G65" s="109">
        <v>0</v>
      </c>
      <c r="H65" s="109">
        <v>0</v>
      </c>
      <c r="I65" s="78">
        <f>(100*B65)/N65</f>
        <v>0.505902192242833</v>
      </c>
      <c r="J65" s="110">
        <f>((C65+F65)*100)/B65</f>
        <v>66.6666666666667</v>
      </c>
      <c r="K65" s="110">
        <f>((D65+G65)*100)/B65</f>
        <v>0</v>
      </c>
      <c r="L65" s="110">
        <f>((E65+H65)*100)/B65</f>
        <v>33.3333333333333</v>
      </c>
      <c r="M65" s="112">
        <f>N65-B64</f>
        <v>553.826422295139</v>
      </c>
      <c r="N65" s="108">
        <f>O65+P65+Q65+R65+S65+T65</f>
        <v>593</v>
      </c>
      <c r="O65" s="109">
        <v>291</v>
      </c>
      <c r="P65" s="109">
        <v>225</v>
      </c>
      <c r="Q65" s="109">
        <v>77</v>
      </c>
      <c r="R65" s="109">
        <v>0</v>
      </c>
      <c r="S65" s="109">
        <v>0</v>
      </c>
      <c r="T65" s="109">
        <v>0</v>
      </c>
      <c r="U65" s="49">
        <v>63</v>
      </c>
      <c r="V65" s="110">
        <f>((O65+R65)*100)/N65</f>
        <v>49.0725126475548</v>
      </c>
      <c r="W65" s="110">
        <f>((P65+S65)*100)/N65</f>
        <v>37.9426644182125</v>
      </c>
      <c r="X65" s="110">
        <f>((Q65+T65)*100)/N65</f>
        <v>12.9848229342327</v>
      </c>
    </row>
    <row r="66" spans="1:24" s="168" customFormat="1" ht="22.500000" customHeight="1">
      <c r="A66" s="34">
        <v>64</v>
      </c>
      <c r="B66" s="108">
        <f>C66+D66+E66+F66+G66+H66</f>
        <v>27.3911925682871</v>
      </c>
      <c r="C66" s="109">
        <v>19</v>
      </c>
      <c r="D66" s="109">
        <v>1</v>
      </c>
      <c r="E66" s="109">
        <v>4</v>
      </c>
      <c r="F66" s="109">
        <v>2.26079504552471</v>
      </c>
      <c r="G66" s="109">
        <v>0</v>
      </c>
      <c r="H66" s="109">
        <v>1.13039752276235</v>
      </c>
      <c r="I66" s="78">
        <f>(100*B66)/N66</f>
        <v>2.99460146133911</v>
      </c>
      <c r="J66" s="110">
        <f>((C66+F66)*100)/B66</f>
        <v>77.6190923141478</v>
      </c>
      <c r="K66" s="110">
        <f>((D66+G66)*100)/B66</f>
        <v>3.65080854916036</v>
      </c>
      <c r="L66" s="110">
        <f>((E66+H66)*100)/B66</f>
        <v>18.7300991366919</v>
      </c>
      <c r="M66" s="112">
        <f>N66-B65</f>
        <v>911.685741054786</v>
      </c>
      <c r="N66" s="108">
        <f>O66+P66+Q66+R66+S66+T66</f>
        <v>914.685741054786</v>
      </c>
      <c r="O66" s="109">
        <v>301</v>
      </c>
      <c r="P66" s="109">
        <v>237</v>
      </c>
      <c r="Q66" s="109">
        <v>76</v>
      </c>
      <c r="R66" s="109">
        <v>144.690882913581</v>
      </c>
      <c r="S66" s="109">
        <v>113.039752276235</v>
      </c>
      <c r="T66" s="109">
        <v>42.9551058649695</v>
      </c>
      <c r="U66" s="49">
        <v>79</v>
      </c>
      <c r="V66" s="110">
        <f>((O66+R66)*100)/N66</f>
        <v>48.7261212140057</v>
      </c>
      <c r="W66" s="110">
        <f>((P66+S66)*100)/N66</f>
        <v>38.2688541610565</v>
      </c>
      <c r="X66" s="110">
        <f>((Q66+T66)*100)/N66</f>
        <v>13.0050246249378</v>
      </c>
    </row>
    <row r="67" spans="1:24" s="168" customFormat="1" ht="22.500000" customHeight="1">
      <c r="A67" s="34">
        <v>65</v>
      </c>
      <c r="B67" s="108">
        <f>C67+D67+E67+F67+G67+H67</f>
        <v>975.976861635422</v>
      </c>
      <c r="C67" s="109">
        <v>245</v>
      </c>
      <c r="D67" s="109">
        <v>16</v>
      </c>
      <c r="E67" s="109">
        <v>13</v>
      </c>
      <c r="F67" s="109">
        <v>503.026897629248</v>
      </c>
      <c r="G67" s="109">
        <v>110.77895723071</v>
      </c>
      <c r="H67" s="109">
        <v>88.1710067754638</v>
      </c>
      <c r="I67" s="78">
        <f>(100*B67)/N67</f>
        <v>18.0184783464757</v>
      </c>
      <c r="J67" s="110">
        <f>((C67+F67)*100)/B67</f>
        <v>76.6439171903929</v>
      </c>
      <c r="K67" s="110">
        <f>((D67+G67)*100)/B67</f>
        <v>12.9899552145396</v>
      </c>
      <c r="L67" s="110">
        <f>((E67+H67)*100)/B67</f>
        <v>10.3661275950676</v>
      </c>
      <c r="M67" s="112">
        <f>N67-B66</f>
        <v>5389.14200667557</v>
      </c>
      <c r="N67" s="108">
        <f>O67+P67+Q67+R67+S67+T67</f>
        <v>5416.53319924386</v>
      </c>
      <c r="O67" s="109">
        <v>239</v>
      </c>
      <c r="P67" s="109">
        <v>177</v>
      </c>
      <c r="Q67" s="109">
        <v>72</v>
      </c>
      <c r="R67" s="109">
        <v>2243.83908268327</v>
      </c>
      <c r="S67" s="109">
        <v>1961.23970199268</v>
      </c>
      <c r="T67" s="109">
        <v>723.454414567908</v>
      </c>
      <c r="U67" s="49">
        <v>249</v>
      </c>
      <c r="V67" s="110">
        <f>((O67+R67)*100)/N67</f>
        <v>45.8381586773967</v>
      </c>
      <c r="W67" s="110">
        <f>((P67+S67)*100)/N67</f>
        <v>39.4761671965968</v>
      </c>
      <c r="X67" s="110">
        <f>((Q67+T67)*100)/N67</f>
        <v>14.6856741260065</v>
      </c>
    </row>
    <row r="68" spans="1:24" s="168" customFormat="1" ht="22.500000" customHeight="1">
      <c r="A68" s="34">
        <v>66</v>
      </c>
      <c r="B68" s="108">
        <f>C68+D68+E68+F68+G68+H68</f>
        <v>0</v>
      </c>
      <c r="C68" s="109">
        <v>0</v>
      </c>
      <c r="D68" s="109">
        <v>0</v>
      </c>
      <c r="E68" s="109">
        <v>0</v>
      </c>
      <c r="F68" s="109">
        <v>0</v>
      </c>
      <c r="G68" s="109">
        <v>0</v>
      </c>
      <c r="H68" s="109">
        <v>0</v>
      </c>
      <c r="I68" s="78">
        <f>(100*B68)/N68</f>
        <v>0</v>
      </c>
      <c r="J68" s="110" t="e">
        <f>((C68+F68)*100)/B68</f>
        <v>#DIV/0!</v>
      </c>
      <c r="K68" s="110" t="e">
        <f>((D68+G68)*100)/B68</f>
        <v>#DIV/0!</v>
      </c>
      <c r="L68" s="110" t="e">
        <f>((E68+H68)*100)/B68</f>
        <v>#DIV/0!</v>
      </c>
      <c r="M68" s="112">
        <f>N68-B67</f>
        <v>-441.32487402161</v>
      </c>
      <c r="N68" s="108">
        <f>O68+P68+Q68+R68+S68+T68</f>
        <v>534.651987613812</v>
      </c>
      <c r="O68" s="109">
        <v>259</v>
      </c>
      <c r="P68" s="109">
        <v>190</v>
      </c>
      <c r="Q68" s="109">
        <v>80</v>
      </c>
      <c r="R68" s="109">
        <v>4.52159009104942</v>
      </c>
      <c r="S68" s="109">
        <v>1.13039752276235</v>
      </c>
      <c r="T68" s="109">
        <v>0</v>
      </c>
      <c r="U68" s="49">
        <v>53</v>
      </c>
      <c r="V68" s="110">
        <f>((O68+R68)*100)/N68</f>
        <v>49.2884336345899</v>
      </c>
      <c r="W68" s="110">
        <f>((P68+S68)*100)/N68</f>
        <v>35.7485620460873</v>
      </c>
      <c r="X68" s="110">
        <f>((Q68+T68)*100)/N68</f>
        <v>14.9630043193228</v>
      </c>
    </row>
    <row r="69" spans="1:24" s="168" customFormat="1" ht="22.500000" customHeight="1">
      <c r="A69" s="34">
        <v>67</v>
      </c>
      <c r="B69" s="108">
        <f>C69+D69+E69+F69+G69+H69</f>
        <v>38.1303975227624</v>
      </c>
      <c r="C69" s="109">
        <v>28</v>
      </c>
      <c r="D69" s="109">
        <v>4</v>
      </c>
      <c r="E69" s="109">
        <v>5</v>
      </c>
      <c r="F69" s="109">
        <v>0</v>
      </c>
      <c r="G69" s="109">
        <v>0</v>
      </c>
      <c r="H69" s="109">
        <v>1.13039752276235</v>
      </c>
      <c r="I69" s="78">
        <f>(100*B69)/N69</f>
        <v>6.25137126887914</v>
      </c>
      <c r="J69" s="110">
        <f>((C69+F69)*100)/B69</f>
        <v>73.4322268297494</v>
      </c>
      <c r="K69" s="110">
        <f>((D69+G69)*100)/B69</f>
        <v>10.4903181185356</v>
      </c>
      <c r="L69" s="110">
        <f>((E69+H69)*100)/B69</f>
        <v>16.077455051715</v>
      </c>
      <c r="M69" s="112">
        <f>N69-B68</f>
        <v>609.952534935572</v>
      </c>
      <c r="N69" s="108">
        <f>O69+P69+Q69+R69+S69+T69</f>
        <v>609.952534935572</v>
      </c>
      <c r="O69" s="109">
        <v>236</v>
      </c>
      <c r="P69" s="109">
        <v>183</v>
      </c>
      <c r="Q69" s="109">
        <v>70</v>
      </c>
      <c r="R69" s="109">
        <v>57.6502736608802</v>
      </c>
      <c r="S69" s="109">
        <v>36.1727207283954</v>
      </c>
      <c r="T69" s="109">
        <v>27.1295405462965</v>
      </c>
      <c r="U69" s="49">
        <v>72</v>
      </c>
      <c r="V69" s="110">
        <f>((O69+R69)*100)/N69</f>
        <v>48.1431352182015</v>
      </c>
      <c r="W69" s="110">
        <f>((P69+S69)*100)/N69</f>
        <v>35.9327502018737</v>
      </c>
      <c r="X69" s="110">
        <f>((Q69+T69)*100)/N69</f>
        <v>15.9241145799248</v>
      </c>
    </row>
    <row r="70" spans="1:24" s="168" customFormat="1" ht="22.500000" customHeight="1">
      <c r="A70" s="34">
        <v>68</v>
      </c>
      <c r="B70" s="108">
        <f>C70+D70+E70+F70+G70+H70</f>
        <v>9</v>
      </c>
      <c r="C70" s="109">
        <v>7</v>
      </c>
      <c r="D70" s="109">
        <v>2</v>
      </c>
      <c r="E70" s="109">
        <v>0</v>
      </c>
      <c r="F70" s="109">
        <v>0</v>
      </c>
      <c r="G70" s="109">
        <v>0</v>
      </c>
      <c r="H70" s="109">
        <v>0</v>
      </c>
      <c r="I70" s="78">
        <f>(100*B70)/N70</f>
        <v>1.3906735096303</v>
      </c>
      <c r="J70" s="110">
        <f>((C70+F70)*100)/B70</f>
        <v>77.7777777777778</v>
      </c>
      <c r="K70" s="110">
        <f>((D70+G70)*100)/B70</f>
        <v>22.2222222222222</v>
      </c>
      <c r="L70" s="110">
        <f>((E70+H70)*100)/B70</f>
        <v>0</v>
      </c>
      <c r="M70" s="112">
        <f>N70-B69</f>
        <v>609.038038323304</v>
      </c>
      <c r="N70" s="108">
        <f>O70+P70+Q70+R70+S70+T70</f>
        <v>647.168435846066</v>
      </c>
      <c r="O70" s="109">
        <v>227</v>
      </c>
      <c r="P70" s="109">
        <v>186</v>
      </c>
      <c r="Q70" s="109">
        <v>68</v>
      </c>
      <c r="R70" s="109">
        <v>75.7366340250779</v>
      </c>
      <c r="S70" s="109">
        <v>63.3022612746919</v>
      </c>
      <c r="T70" s="109">
        <v>27.1295405462965</v>
      </c>
      <c r="U70" s="49">
        <v>71</v>
      </c>
      <c r="V70" s="110">
        <f>((O70+R70)*100)/N70</f>
        <v>46.7786463703687</v>
      </c>
      <c r="W70" s="110">
        <f>((P70+S70)*100)/N70</f>
        <v>38.5220056272939</v>
      </c>
      <c r="X70" s="110">
        <f>((Q70+T70)*100)/N70</f>
        <v>14.6993480023373</v>
      </c>
    </row>
    <row r="71" spans="1:24" s="168" customFormat="1" ht="22.500000" customHeight="1">
      <c r="A71" s="34">
        <v>69</v>
      </c>
      <c r="B71" s="108">
        <f>C71+D71+E71+F71+G71+H71</f>
        <v>7</v>
      </c>
      <c r="C71" s="109">
        <v>5</v>
      </c>
      <c r="D71" s="109">
        <v>2</v>
      </c>
      <c r="E71" s="109">
        <v>0</v>
      </c>
      <c r="F71" s="109">
        <v>0</v>
      </c>
      <c r="G71" s="109">
        <v>0</v>
      </c>
      <c r="H71" s="109">
        <v>0</v>
      </c>
      <c r="I71" s="78">
        <f>(100*B71)/N71</f>
        <v>1.10026135874721</v>
      </c>
      <c r="J71" s="110">
        <f>((C71+F71)*100)/B71</f>
        <v>71.4285714285714</v>
      </c>
      <c r="K71" s="110">
        <f>((D71+G71)*100)/B71</f>
        <v>28.5714285714286</v>
      </c>
      <c r="L71" s="110">
        <f>((E71+H71)*100)/B71</f>
        <v>0</v>
      </c>
      <c r="M71" s="112">
        <f>N71-B70</f>
        <v>627.212473004631</v>
      </c>
      <c r="N71" s="108">
        <f>O71+P71+Q71+R71+S71+T71</f>
        <v>636.212473004631</v>
      </c>
      <c r="O71" s="109">
        <v>229</v>
      </c>
      <c r="P71" s="109">
        <v>187</v>
      </c>
      <c r="Q71" s="109">
        <v>71</v>
      </c>
      <c r="R71" s="109">
        <v>80.2582241161273</v>
      </c>
      <c r="S71" s="109">
        <v>42.9551058649695</v>
      </c>
      <c r="T71" s="109">
        <v>25.9991430235342</v>
      </c>
      <c r="U71" s="49">
        <v>75</v>
      </c>
      <c r="V71" s="110">
        <f>((O71+R71)*100)/N71</f>
        <v>48.6092676956801</v>
      </c>
      <c r="W71" s="110">
        <f>((P71+S71)*100)/N71</f>
        <v>36.1443881756929</v>
      </c>
      <c r="X71" s="110">
        <f>((Q71+T71)*100)/N71</f>
        <v>15.246344128627</v>
      </c>
    </row>
    <row r="72" spans="1:24" s="168" customFormat="1" ht="22.500000" customHeight="1">
      <c r="A72" s="34">
        <v>70</v>
      </c>
      <c r="B72" s="108">
        <f>C72+D72+E72+F72+G72+H72</f>
        <v>2</v>
      </c>
      <c r="C72" s="109">
        <v>2</v>
      </c>
      <c r="D72" s="109">
        <v>0</v>
      </c>
      <c r="E72" s="109">
        <v>0</v>
      </c>
      <c r="F72" s="109">
        <v>0</v>
      </c>
      <c r="G72" s="109">
        <v>0</v>
      </c>
      <c r="H72" s="109">
        <v>0</v>
      </c>
      <c r="I72" s="78">
        <f>(100*B72)/N72</f>
        <v>0.41093483813644</v>
      </c>
      <c r="J72" s="110">
        <f>((C72+F72)*100)/B72</f>
        <v>100</v>
      </c>
      <c r="K72" s="110">
        <f>((D72+G72)*100)/B72</f>
        <v>0</v>
      </c>
      <c r="L72" s="110">
        <f>((E72+H72)*100)/B72</f>
        <v>0</v>
      </c>
      <c r="M72" s="112">
        <f>N72-B71</f>
        <v>479.695167795911</v>
      </c>
      <c r="N72" s="108">
        <f>O72+P72+Q72+R72+S72+T72</f>
        <v>486.695167795911</v>
      </c>
      <c r="O72" s="109">
        <v>224</v>
      </c>
      <c r="P72" s="109">
        <v>182</v>
      </c>
      <c r="Q72" s="109">
        <v>66</v>
      </c>
      <c r="R72" s="109">
        <v>5.65198761381178</v>
      </c>
      <c r="S72" s="109">
        <v>6.78238513657414</v>
      </c>
      <c r="T72" s="109">
        <v>2.26079504552471</v>
      </c>
      <c r="U72" s="49">
        <v>57</v>
      </c>
      <c r="V72" s="110">
        <f>((O72+R72)*100)/N72</f>
        <v>47.1860011788967</v>
      </c>
      <c r="W72" s="110">
        <f>((P72+S72)*100)/N72</f>
        <v>38.7886294395546</v>
      </c>
      <c r="X72" s="110">
        <f>((Q72+T72)*100)/N72</f>
        <v>14.0253693815487</v>
      </c>
    </row>
    <row r="73" spans="1:24" s="168" customFormat="1" ht="22.500000" customHeight="1">
      <c r="A73" s="34">
        <v>71</v>
      </c>
      <c r="B73" s="108">
        <f>C73+D73+E73+F73+G73+H73</f>
        <v>17</v>
      </c>
      <c r="C73" s="109">
        <v>16</v>
      </c>
      <c r="D73" s="109">
        <v>0</v>
      </c>
      <c r="E73" s="109">
        <v>1</v>
      </c>
      <c r="F73" s="109">
        <v>0</v>
      </c>
      <c r="G73" s="109">
        <v>0</v>
      </c>
      <c r="H73" s="109">
        <v>0</v>
      </c>
      <c r="I73" s="78">
        <f>(100*B73)/N73</f>
        <v>3.12575909677746</v>
      </c>
      <c r="J73" s="110">
        <f>((C73+F73)*100)/B73</f>
        <v>94.1176470588235</v>
      </c>
      <c r="K73" s="110">
        <f>((D73+G73)*100)/B73</f>
        <v>0</v>
      </c>
      <c r="L73" s="110">
        <f>((E73+H73)*100)/B73</f>
        <v>5.88235294117647</v>
      </c>
      <c r="M73" s="112">
        <f>N73-B72</f>
        <v>541.867888524306</v>
      </c>
      <c r="N73" s="108">
        <f>O73+P73+Q73+R73+S73+T73</f>
        <v>543.867888524306</v>
      </c>
      <c r="O73" s="109">
        <v>234</v>
      </c>
      <c r="P73" s="109">
        <v>190</v>
      </c>
      <c r="Q73" s="109">
        <v>69</v>
      </c>
      <c r="R73" s="109">
        <v>28.2599380690589</v>
      </c>
      <c r="S73" s="109">
        <v>16.9559628414353</v>
      </c>
      <c r="T73" s="109">
        <v>5.65198761381178</v>
      </c>
      <c r="U73" s="49">
        <v>61</v>
      </c>
      <c r="V73" s="110">
        <f>((O73+R73)*100)/N73</f>
        <v>48.2212580670385</v>
      </c>
      <c r="W73" s="110">
        <f>((P73+S73)*100)/N73</f>
        <v>38.0526166755268</v>
      </c>
      <c r="X73" s="110">
        <f>((Q73+T73)*100)/N73</f>
        <v>13.7261252574347</v>
      </c>
    </row>
    <row r="74" spans="1:24" s="168" customFormat="1" ht="22.500000" customHeight="1">
      <c r="A74" s="34">
        <v>72</v>
      </c>
      <c r="B74" s="108">
        <f>C74+D74+E74+F74+G74+H74</f>
        <v>26</v>
      </c>
      <c r="C74" s="109">
        <v>24</v>
      </c>
      <c r="D74" s="109">
        <v>1</v>
      </c>
      <c r="E74" s="109">
        <v>1</v>
      </c>
      <c r="F74" s="109">
        <v>0</v>
      </c>
      <c r="G74" s="109">
        <v>0</v>
      </c>
      <c r="H74" s="109">
        <v>0</v>
      </c>
      <c r="I74" s="78">
        <f>(100*B74)/N74</f>
        <v>5.19819541833973</v>
      </c>
      <c r="J74" s="110">
        <f>((C74+F74)*100)/B74</f>
        <v>92.3076923076923</v>
      </c>
      <c r="K74" s="110">
        <f>((D74+G74)*100)/B74</f>
        <v>3.84615384615385</v>
      </c>
      <c r="L74" s="110">
        <f>((E74+H74)*100)/B74</f>
        <v>3.84615384615385</v>
      </c>
      <c r="M74" s="112">
        <f>N74-B73</f>
        <v>483.173577704861</v>
      </c>
      <c r="N74" s="108">
        <f>O74+P74+Q74+R74+S74+T74</f>
        <v>500.173577704861</v>
      </c>
      <c r="O74" s="109">
        <v>233</v>
      </c>
      <c r="P74" s="109">
        <v>187</v>
      </c>
      <c r="Q74" s="109">
        <v>70</v>
      </c>
      <c r="R74" s="109">
        <v>3.39119256828707</v>
      </c>
      <c r="S74" s="109">
        <v>3.39119256828707</v>
      </c>
      <c r="T74" s="109">
        <v>3.39119256828707</v>
      </c>
      <c r="U74" s="49">
        <v>61</v>
      </c>
      <c r="V74" s="110">
        <f>((O74+R74)*100)/N74</f>
        <v>47.2618313132436</v>
      </c>
      <c r="W74" s="110">
        <f>((P74+S74)*100)/N74</f>
        <v>38.0650240346426</v>
      </c>
      <c r="X74" s="110">
        <f>((Q74+T74)*100)/N74</f>
        <v>14.6731446521138</v>
      </c>
    </row>
    <row r="75" spans="1:24" s="168" customFormat="1" ht="22.500000" customHeight="1">
      <c r="A75" s="34">
        <v>73</v>
      </c>
      <c r="B75" s="108">
        <f>C75+D75+E75+F75+G75+H75</f>
        <v>39.1735777048612</v>
      </c>
      <c r="C75" s="109">
        <v>23</v>
      </c>
      <c r="D75" s="109">
        <v>3</v>
      </c>
      <c r="E75" s="109">
        <v>3</v>
      </c>
      <c r="F75" s="109">
        <v>0</v>
      </c>
      <c r="G75" s="109">
        <v>2.26079504552471</v>
      </c>
      <c r="H75" s="109">
        <v>7.91278265933649</v>
      </c>
      <c r="I75" s="78">
        <f>(100*B75)/N75</f>
        <v>4.44677292241409</v>
      </c>
      <c r="J75" s="110">
        <f>((C75+F75)*100)/B75</f>
        <v>58.7130442189503</v>
      </c>
      <c r="K75" s="110">
        <f>((D75+G75)*100)/B75</f>
        <v>13.4294474841186</v>
      </c>
      <c r="L75" s="110">
        <f>((E75+H75)*100)/B75</f>
        <v>27.8575082969312</v>
      </c>
      <c r="M75" s="112">
        <f>N75-B74</f>
        <v>854.943965170913</v>
      </c>
      <c r="N75" s="108">
        <f>O75+P75+Q75+R75+S75+T75</f>
        <v>880.943965170913</v>
      </c>
      <c r="O75" s="109">
        <v>242</v>
      </c>
      <c r="P75" s="109">
        <v>186</v>
      </c>
      <c r="Q75" s="109">
        <v>72</v>
      </c>
      <c r="R75" s="109">
        <v>183.124398687501</v>
      </c>
      <c r="S75" s="109">
        <v>140.169292822532</v>
      </c>
      <c r="T75" s="109">
        <v>57.6502736608802</v>
      </c>
      <c r="U75" s="49">
        <v>77</v>
      </c>
      <c r="V75" s="110">
        <f>((O75+R75)*100)/N75</f>
        <v>48.2578251847178</v>
      </c>
      <c r="W75" s="110">
        <f>((P75+S75)*100)/N75</f>
        <v>37.0249761299235</v>
      </c>
      <c r="X75" s="110">
        <f>((Q75+T75)*100)/N75</f>
        <v>14.7171986853587</v>
      </c>
    </row>
    <row r="76" spans="1:24" s="168" customFormat="1" ht="22.500000" customHeight="1">
      <c r="A76" s="34">
        <v>74</v>
      </c>
      <c r="B76" s="108">
        <f>C76+D76+E76+F76+G76+H76</f>
        <v>3</v>
      </c>
      <c r="C76" s="109">
        <v>2</v>
      </c>
      <c r="D76" s="109">
        <v>0</v>
      </c>
      <c r="E76" s="109">
        <v>1</v>
      </c>
      <c r="F76" s="109">
        <v>0</v>
      </c>
      <c r="G76" s="109">
        <v>0</v>
      </c>
      <c r="H76" s="109">
        <v>0</v>
      </c>
      <c r="I76" s="78">
        <f>(100*B76)/N76</f>
        <v>0.522847866905546</v>
      </c>
      <c r="J76" s="110">
        <f>((C76+F76)*100)/B76</f>
        <v>66.6666666666667</v>
      </c>
      <c r="K76" s="110">
        <f>((D76+G76)*100)/B76</f>
        <v>0</v>
      </c>
      <c r="L76" s="110">
        <f>((E76+H76)*100)/B76</f>
        <v>33.3333333333333</v>
      </c>
      <c r="M76" s="112">
        <f>N76-B75</f>
        <v>534.607093478781</v>
      </c>
      <c r="N76" s="108">
        <f>O76+P76+Q76+R76+S76+T76</f>
        <v>573.780671183642</v>
      </c>
      <c r="O76" s="109">
        <v>253</v>
      </c>
      <c r="P76" s="109">
        <v>191</v>
      </c>
      <c r="Q76" s="109">
        <v>71</v>
      </c>
      <c r="R76" s="109">
        <v>28.2599380690589</v>
      </c>
      <c r="S76" s="109">
        <v>19.21675788696</v>
      </c>
      <c r="T76" s="109">
        <v>11.3039752276235</v>
      </c>
      <c r="U76" s="49">
        <v>60</v>
      </c>
      <c r="V76" s="110">
        <f>((O76+R76)*100)/N76</f>
        <v>49.0187195551312</v>
      </c>
      <c r="W76" s="110">
        <f>((P76+S76)*100)/N76</f>
        <v>36.6371278163322</v>
      </c>
      <c r="X76" s="110">
        <f>((Q76+T76)*100)/N76</f>
        <v>14.3441526285366</v>
      </c>
    </row>
    <row r="77" spans="1:24" s="168" customFormat="1" ht="22.500000" customHeight="1">
      <c r="A77" s="34">
        <v>75</v>
      </c>
      <c r="B77" s="108">
        <f>C77+D77+E77+F77+G77+H77</f>
        <v>482.552772602627</v>
      </c>
      <c r="C77" s="109">
        <v>69</v>
      </c>
      <c r="D77" s="109">
        <v>9</v>
      </c>
      <c r="E77" s="109">
        <v>27</v>
      </c>
      <c r="F77" s="109">
        <v>267.904212894678</v>
      </c>
      <c r="G77" s="109">
        <v>54.2590810925931</v>
      </c>
      <c r="H77" s="109">
        <v>55.3894786153554</v>
      </c>
      <c r="I77" s="78">
        <f>(100*B77)/N77</f>
        <v>16.6757284013422</v>
      </c>
      <c r="J77" s="110">
        <f>((C77+F77)*100)/B77</f>
        <v>69.8170712143255</v>
      </c>
      <c r="K77" s="110">
        <f>((D77+G77)*100)/B77</f>
        <v>13.1092565796292</v>
      </c>
      <c r="L77" s="110">
        <f>((E77+H77)*100)/B77</f>
        <v>17.0736722060453</v>
      </c>
      <c r="M77" s="112">
        <f>N77-B76</f>
        <v>2890.74329557794</v>
      </c>
      <c r="N77" s="108">
        <f>O77+P77+Q77+R77+S77+T77</f>
        <v>2893.74329557794</v>
      </c>
      <c r="O77" s="109">
        <v>182</v>
      </c>
      <c r="P77" s="109">
        <v>149</v>
      </c>
      <c r="Q77" s="109">
        <v>51</v>
      </c>
      <c r="R77" s="109">
        <v>1245.69807008411</v>
      </c>
      <c r="S77" s="109">
        <v>1028.66174571374</v>
      </c>
      <c r="T77" s="109">
        <v>237.383479780094</v>
      </c>
      <c r="U77" s="49">
        <v>188</v>
      </c>
      <c r="V77" s="110">
        <f>((O77+R77)*100)/N77</f>
        <v>49.3374126262629</v>
      </c>
      <c r="W77" s="110">
        <f>((P77+S77)*100)/N77</f>
        <v>40.696828482104</v>
      </c>
      <c r="X77" s="110">
        <f>((Q77+T77)*100)/N77</f>
        <v>9.96575889163304</v>
      </c>
    </row>
    <row r="78" spans="1:24" s="168" customFormat="1" ht="22.500000" customHeight="1">
      <c r="A78" s="34">
        <v>76</v>
      </c>
      <c r="B78" s="108">
        <f>C78+D78+E78+F78+G78+H78</f>
        <v>0</v>
      </c>
      <c r="C78" s="109">
        <v>0</v>
      </c>
      <c r="D78" s="109">
        <v>0</v>
      </c>
      <c r="E78" s="109">
        <v>0</v>
      </c>
      <c r="F78" s="109">
        <v>0</v>
      </c>
      <c r="G78" s="109">
        <v>0</v>
      </c>
      <c r="H78" s="109">
        <v>0</v>
      </c>
      <c r="I78" s="78">
        <f>(100*B78)/N78</f>
        <v>0</v>
      </c>
      <c r="J78" s="110" t="e">
        <f>((C78+F78)*100)/B78</f>
        <v>#DIV/0!</v>
      </c>
      <c r="K78" s="110" t="e">
        <f>((D78+G78)*100)/B78</f>
        <v>#DIV/0!</v>
      </c>
      <c r="L78" s="110" t="e">
        <f>((E78+H78)*100)/B78</f>
        <v>#DIV/0!</v>
      </c>
      <c r="M78" s="112">
        <f>N78-B77</f>
        <v>-65.5527726026265</v>
      </c>
      <c r="N78" s="108">
        <f>O78+P78+Q78+R78+S78+T78</f>
        <v>417</v>
      </c>
      <c r="O78" s="109">
        <v>201</v>
      </c>
      <c r="P78" s="109">
        <v>159</v>
      </c>
      <c r="Q78" s="109">
        <v>57</v>
      </c>
      <c r="R78" s="109">
        <v>0</v>
      </c>
      <c r="S78" s="109">
        <v>0</v>
      </c>
      <c r="T78" s="109">
        <v>0</v>
      </c>
      <c r="U78" s="49">
        <v>51</v>
      </c>
      <c r="V78" s="110">
        <f>((O78+R78)*100)/N78</f>
        <v>48.2014388489209</v>
      </c>
      <c r="W78" s="110">
        <f>((P78+S78)*100)/N78</f>
        <v>38.1294964028777</v>
      </c>
      <c r="X78" s="110">
        <f>((Q78+T78)*100)/N78</f>
        <v>13.6690647482014</v>
      </c>
    </row>
    <row r="79" spans="1:24" s="168" customFormat="1" ht="22.500000" customHeight="1">
      <c r="A79" s="34">
        <v>77</v>
      </c>
      <c r="B79" s="108">
        <f>C79+D79+E79+F79+G79+H79</f>
        <v>1</v>
      </c>
      <c r="C79" s="109">
        <v>1</v>
      </c>
      <c r="D79" s="109">
        <v>0</v>
      </c>
      <c r="E79" s="109">
        <v>0</v>
      </c>
      <c r="F79" s="109">
        <v>0</v>
      </c>
      <c r="G79" s="109">
        <v>0</v>
      </c>
      <c r="H79" s="109">
        <v>0</v>
      </c>
      <c r="I79" s="78">
        <f>(100*B79)/N79</f>
        <v>0.263037743453157</v>
      </c>
      <c r="J79" s="110">
        <f>((C79+F79)*100)/B79</f>
        <v>100</v>
      </c>
      <c r="K79" s="110">
        <f>((D79+G79)*100)/B79</f>
        <v>0</v>
      </c>
      <c r="L79" s="110">
        <f>((E79+H79)*100)/B79</f>
        <v>0</v>
      </c>
      <c r="M79" s="112">
        <f>N79-B78</f>
        <v>380.173577704861</v>
      </c>
      <c r="N79" s="108">
        <f>O79+P79+Q79+R79+S79+T79</f>
        <v>380.173577704861</v>
      </c>
      <c r="O79" s="109">
        <v>180</v>
      </c>
      <c r="P79" s="109">
        <v>145</v>
      </c>
      <c r="Q79" s="109">
        <v>45</v>
      </c>
      <c r="R79" s="109">
        <v>5.65198761381178</v>
      </c>
      <c r="S79" s="109">
        <v>2.26079504552471</v>
      </c>
      <c r="T79" s="109">
        <v>2.26079504552471</v>
      </c>
      <c r="U79" s="49">
        <v>52</v>
      </c>
      <c r="V79" s="110">
        <f>((O79+R79)*100)/N79</f>
        <v>48.8334798895304</v>
      </c>
      <c r="W79" s="110">
        <f>((P79+S79)*100)/N79</f>
        <v>38.7351472278926</v>
      </c>
      <c r="X79" s="110">
        <f>((Q79+T79)*100)/N79</f>
        <v>12.4313728825769</v>
      </c>
    </row>
    <row r="80" spans="1:24" s="168" customFormat="1" ht="22.500000" customHeight="1">
      <c r="A80" s="34">
        <v>78</v>
      </c>
      <c r="B80" s="108">
        <f>C80+D80+E80+F80+G80+H80</f>
        <v>0</v>
      </c>
      <c r="C80" s="109">
        <v>0</v>
      </c>
      <c r="D80" s="109">
        <v>0</v>
      </c>
      <c r="E80" s="109">
        <v>0</v>
      </c>
      <c r="F80" s="109">
        <v>0</v>
      </c>
      <c r="G80" s="109">
        <v>0</v>
      </c>
      <c r="H80" s="109">
        <v>0</v>
      </c>
      <c r="I80" s="78">
        <f>(100*B80)/N80</f>
        <v>0</v>
      </c>
      <c r="J80" s="110" t="e">
        <f>((C80+F80)*100)/B80</f>
        <v>#DIV/0!</v>
      </c>
      <c r="K80" s="110" t="e">
        <f>((D80+G80)*100)/B80</f>
        <v>#DIV/0!</v>
      </c>
      <c r="L80" s="110" t="e">
        <f>((E80+H80)*100)/B80</f>
        <v>#DIV/0!</v>
      </c>
      <c r="M80" s="112">
        <f>N80-B79</f>
        <v>405.651987613812</v>
      </c>
      <c r="N80" s="108">
        <f>O80+P80+Q80+R80+S80+T80</f>
        <v>406.651987613812</v>
      </c>
      <c r="O80" s="109">
        <v>189</v>
      </c>
      <c r="P80" s="109">
        <v>150</v>
      </c>
      <c r="Q80" s="109">
        <v>62</v>
      </c>
      <c r="R80" s="109">
        <v>1.13039752276235</v>
      </c>
      <c r="S80" s="109">
        <v>4.52159009104942</v>
      </c>
      <c r="T80" s="109">
        <v>0</v>
      </c>
      <c r="U80" s="49">
        <v>45</v>
      </c>
      <c r="V80" s="110">
        <f>((O80+R80)*100)/N80</f>
        <v>46.7550641122957</v>
      </c>
      <c r="W80" s="110">
        <f>((P80+S80)*100)/N80</f>
        <v>37.9984839119476</v>
      </c>
      <c r="X80" s="110">
        <f>((Q80+T80)*100)/N80</f>
        <v>15.2464519757567</v>
      </c>
    </row>
    <row r="81" spans="1:24" s="168" customFormat="1" ht="22.500000" customHeight="1">
      <c r="A81" s="34">
        <v>79</v>
      </c>
      <c r="B81" s="108">
        <f>C81+D81+E81+F81+G81+H81</f>
        <v>12.2607950455247</v>
      </c>
      <c r="C81" s="109">
        <v>6</v>
      </c>
      <c r="D81" s="109">
        <v>1</v>
      </c>
      <c r="E81" s="109">
        <v>3</v>
      </c>
      <c r="F81" s="109">
        <v>2.26079504552471</v>
      </c>
      <c r="G81" s="109">
        <v>0</v>
      </c>
      <c r="H81" s="109">
        <v>0</v>
      </c>
      <c r="I81" s="78">
        <f>(100*B81)/N81</f>
        <v>1.61098334680226</v>
      </c>
      <c r="J81" s="110">
        <f>((C81+F81)*100)/B81</f>
        <v>67.3756882392383</v>
      </c>
      <c r="K81" s="110">
        <f>((D81+G81)*100)/B81</f>
        <v>8.15607794019041</v>
      </c>
      <c r="L81" s="110">
        <f>((E81+H81)*100)/B81</f>
        <v>24.4682338205712</v>
      </c>
      <c r="M81" s="112">
        <f>N81-B80</f>
        <v>761.075219670142</v>
      </c>
      <c r="N81" s="108">
        <f>O81+P81+Q81+R81+S81+T81</f>
        <v>761.075219670142</v>
      </c>
      <c r="O81" s="109">
        <v>189</v>
      </c>
      <c r="P81" s="109">
        <v>152</v>
      </c>
      <c r="Q81" s="109">
        <v>64</v>
      </c>
      <c r="R81" s="109">
        <v>168.429230891591</v>
      </c>
      <c r="S81" s="109">
        <v>119.822137412809</v>
      </c>
      <c r="T81" s="109">
        <v>67.8238513657414</v>
      </c>
      <c r="U81" s="49">
        <v>58</v>
      </c>
      <c r="V81" s="110">
        <f>((O81+R81)*100)/N81</f>
        <v>46.9637194397822</v>
      </c>
      <c r="W81" s="110">
        <f>((P81+S81)*100)/N81</f>
        <v>35.7155416951586</v>
      </c>
      <c r="X81" s="110">
        <f>((Q81+T81)*100)/N81</f>
        <v>17.3207388650593</v>
      </c>
    </row>
    <row r="82" spans="1:24" s="168" customFormat="1" ht="22.500000" customHeight="1">
      <c r="A82" s="34">
        <v>80</v>
      </c>
      <c r="B82" s="108">
        <f>C82+D82+E82+F82+G82+H82</f>
        <v>194.997429070603</v>
      </c>
      <c r="C82" s="109">
        <v>92</v>
      </c>
      <c r="D82" s="109">
        <v>6</v>
      </c>
      <c r="E82" s="109">
        <v>19</v>
      </c>
      <c r="F82" s="109">
        <v>46.3462984332566</v>
      </c>
      <c r="G82" s="109">
        <v>10.1735777048612</v>
      </c>
      <c r="H82" s="109">
        <v>21.4775529324847</v>
      </c>
      <c r="I82" s="78">
        <f>(100*B82)/N82</f>
        <v>11.4716002876482</v>
      </c>
      <c r="J82" s="110">
        <f>((C82+F82)*100)/B82</f>
        <v>70.9477551025382</v>
      </c>
      <c r="K82" s="110">
        <f>((D82+G82)*100)/B82</f>
        <v>8.29425176626573</v>
      </c>
      <c r="L82" s="110">
        <f>((E82+H82)*100)/B82</f>
        <v>20.7579931311961</v>
      </c>
      <c r="M82" s="112">
        <f>N82-B81</f>
        <v>1687.56681558489</v>
      </c>
      <c r="N82" s="108">
        <f>O82+P82+Q82+R82+S82+T82</f>
        <v>1699.82761063041</v>
      </c>
      <c r="O82" s="109">
        <v>195</v>
      </c>
      <c r="P82" s="109">
        <v>161</v>
      </c>
      <c r="Q82" s="109">
        <v>71</v>
      </c>
      <c r="R82" s="109">
        <v>510.939680288585</v>
      </c>
      <c r="S82" s="109">
        <v>553.894786153554</v>
      </c>
      <c r="T82" s="109">
        <v>207.993144188273</v>
      </c>
      <c r="U82" s="49">
        <v>112</v>
      </c>
      <c r="V82" s="110">
        <f>((O82+R82)*100)/N82</f>
        <v>41.5300749248787</v>
      </c>
      <c r="W82" s="110">
        <f>((P82+S82)*100)/N82</f>
        <v>42.0568992810055</v>
      </c>
      <c r="X82" s="110">
        <f>((Q82+T82)*100)/N82</f>
        <v>16.4130257941159</v>
      </c>
    </row>
    <row r="83" spans="1:24" s="168" customFormat="1" ht="22.500000" customHeight="1">
      <c r="A83" s="34">
        <v>81</v>
      </c>
      <c r="B83" s="108">
        <f>C83+D83+E83+F83+G83+H83</f>
        <v>46.7823851365741</v>
      </c>
      <c r="C83" s="109">
        <v>36</v>
      </c>
      <c r="D83" s="109">
        <v>3</v>
      </c>
      <c r="E83" s="109">
        <v>1</v>
      </c>
      <c r="F83" s="109">
        <v>6.78238513657414</v>
      </c>
      <c r="G83" s="109">
        <v>0</v>
      </c>
      <c r="H83" s="109">
        <v>0</v>
      </c>
      <c r="I83" s="78">
        <f>(100*B83)/N83</f>
        <v>6.58916376726303</v>
      </c>
      <c r="J83" s="110">
        <f>((C83+F83)*100)/B83</f>
        <v>91.4497732676036</v>
      </c>
      <c r="K83" s="110">
        <f>((D83+G83)*100)/B83</f>
        <v>6.4126700492973</v>
      </c>
      <c r="L83" s="110">
        <f>((E83+H83)*100)/B83</f>
        <v>2.1375566830991</v>
      </c>
      <c r="M83" s="112">
        <f>N83-B82</f>
        <v>514.992287211807</v>
      </c>
      <c r="N83" s="108">
        <f>O83+P83+Q83+R83+S83+T83</f>
        <v>709.98971628241</v>
      </c>
      <c r="O83" s="109">
        <v>171</v>
      </c>
      <c r="P83" s="109">
        <v>156</v>
      </c>
      <c r="Q83" s="109">
        <v>71</v>
      </c>
      <c r="R83" s="109">
        <v>133.386907685958</v>
      </c>
      <c r="S83" s="109">
        <v>132.256510163195</v>
      </c>
      <c r="T83" s="109">
        <v>46.3462984332566</v>
      </c>
      <c r="U83" s="49">
        <v>69</v>
      </c>
      <c r="V83" s="110">
        <f>((O83+R83)*100)/N83</f>
        <v>42.8720164116973</v>
      </c>
      <c r="W83" s="110">
        <f>((P83+S83)*100)/N83</f>
        <v>40.6000965299245</v>
      </c>
      <c r="X83" s="110">
        <f>((Q83+T83)*100)/N83</f>
        <v>16.5278870583782</v>
      </c>
    </row>
    <row r="84" spans="1:24" s="168" customFormat="1" ht="22.500000" customHeight="1">
      <c r="A84" s="34">
        <v>82</v>
      </c>
      <c r="B84" s="108">
        <f>C84+D84+E84+F84+G84+H84</f>
        <v>22.1735777048612</v>
      </c>
      <c r="C84" s="109">
        <v>9</v>
      </c>
      <c r="D84" s="109">
        <v>2</v>
      </c>
      <c r="E84" s="109">
        <v>1</v>
      </c>
      <c r="F84" s="109">
        <v>4.52159009104942</v>
      </c>
      <c r="G84" s="109">
        <v>2.26079504552471</v>
      </c>
      <c r="H84" s="109">
        <v>3.39119256828707</v>
      </c>
      <c r="I84" s="78">
        <f>(100*B84)/N84</f>
        <v>4.57600236561811</v>
      </c>
      <c r="J84" s="110">
        <f>((C84+F84)*100)/B84</f>
        <v>60.9806422356688</v>
      </c>
      <c r="K84" s="110">
        <f>((D84+G84)*100)/B84</f>
        <v>19.215640805636</v>
      </c>
      <c r="L84" s="110">
        <f>((E84+H84)*100)/B84</f>
        <v>19.8037169586953</v>
      </c>
      <c r="M84" s="112">
        <f>N84-B83</f>
        <v>437.779814207177</v>
      </c>
      <c r="N84" s="108">
        <f>O84+P84+Q84+R84+S84+T84</f>
        <v>484.562199343751</v>
      </c>
      <c r="O84" s="109">
        <v>171</v>
      </c>
      <c r="P84" s="109">
        <v>152</v>
      </c>
      <c r="Q84" s="109">
        <v>70</v>
      </c>
      <c r="R84" s="109">
        <v>44.0855033877319</v>
      </c>
      <c r="S84" s="109">
        <v>24.8687455007718</v>
      </c>
      <c r="T84" s="109">
        <v>22.6079504552471</v>
      </c>
      <c r="U84" s="49">
        <v>58</v>
      </c>
      <c r="V84" s="110">
        <f>((O84+R84)*100)/N84</f>
        <v>44.3875943437241</v>
      </c>
      <c r="W84" s="110">
        <f>((P84+S84)*100)/N84</f>
        <v>36.5007311218885</v>
      </c>
      <c r="X84" s="110">
        <f>((Q84+T84)*100)/N84</f>
        <v>19.1116745343874</v>
      </c>
    </row>
    <row r="85" spans="1:24" s="168" customFormat="1" ht="22.500000" customHeight="1">
      <c r="A85" s="34">
        <v>83</v>
      </c>
      <c r="B85" s="108">
        <f>C85+D85+E85+F85+G85+H85</f>
        <v>1</v>
      </c>
      <c r="C85" s="109">
        <v>1</v>
      </c>
      <c r="D85" s="109">
        <v>0</v>
      </c>
      <c r="E85" s="109">
        <v>0</v>
      </c>
      <c r="F85" s="109">
        <v>0</v>
      </c>
      <c r="G85" s="109">
        <v>0</v>
      </c>
      <c r="H85" s="109">
        <v>0</v>
      </c>
      <c r="I85" s="78">
        <f>(100*B85)/N85</f>
        <v>0.245098039215686</v>
      </c>
      <c r="J85" s="110">
        <f>((C85+F85)*100)/B85</f>
        <v>100</v>
      </c>
      <c r="K85" s="110">
        <f>((D85+G85)*100)/B85</f>
        <v>0</v>
      </c>
      <c r="L85" s="110">
        <f>((E85+H85)*100)/B85</f>
        <v>0</v>
      </c>
      <c r="M85" s="112">
        <f>N85-B84</f>
        <v>385.826422295139</v>
      </c>
      <c r="N85" s="108">
        <f>O85+P85+Q85+R85+S85+T85</f>
        <v>408</v>
      </c>
      <c r="O85" s="109">
        <v>177</v>
      </c>
      <c r="P85" s="109">
        <v>158</v>
      </c>
      <c r="Q85" s="109">
        <v>73</v>
      </c>
      <c r="R85" s="109">
        <v>0</v>
      </c>
      <c r="S85" s="109">
        <v>0</v>
      </c>
      <c r="T85" s="109">
        <v>0</v>
      </c>
      <c r="U85" s="49">
        <v>54</v>
      </c>
      <c r="V85" s="110">
        <f>((O85+R85)*100)/N85</f>
        <v>43.3823529411765</v>
      </c>
      <c r="W85" s="110">
        <f>((P85+S85)*100)/N85</f>
        <v>38.7254901960784</v>
      </c>
      <c r="X85" s="110">
        <f>((Q85+T85)*100)/N85</f>
        <v>17.8921568627451</v>
      </c>
    </row>
    <row r="86" spans="1:24" s="168" customFormat="1" ht="22.500000" customHeight="1">
      <c r="A86" s="34">
        <v>84</v>
      </c>
      <c r="B86" s="108">
        <f>C86+D86+E86+F86+G86+H86</f>
        <v>64.6511306373459</v>
      </c>
      <c r="C86" s="109">
        <v>11</v>
      </c>
      <c r="D86" s="109">
        <v>15</v>
      </c>
      <c r="E86" s="109">
        <v>7</v>
      </c>
      <c r="F86" s="109">
        <v>7.91278265933649</v>
      </c>
      <c r="G86" s="109">
        <v>13.5647702731482</v>
      </c>
      <c r="H86" s="109">
        <v>10.1735777048612</v>
      </c>
      <c r="I86" s="78">
        <f>(100*B86)/N86</f>
        <v>10.0201835557729</v>
      </c>
      <c r="J86" s="110">
        <f>((C86+F86)*100)/B86</f>
        <v>29.2535992377703</v>
      </c>
      <c r="K86" s="110">
        <f>((D86+G86)*100)/B86</f>
        <v>44.1829400221621</v>
      </c>
      <c r="L86" s="110">
        <f>((E86+H86)*100)/B86</f>
        <v>26.5634607400676</v>
      </c>
      <c r="M86" s="112">
        <f>N86-B85</f>
        <v>644.209045098767</v>
      </c>
      <c r="N86" s="108">
        <f>O86+P86+Q86+R86+S86+T86</f>
        <v>645.209045098767</v>
      </c>
      <c r="O86" s="109">
        <v>173</v>
      </c>
      <c r="P86" s="109">
        <v>147</v>
      </c>
      <c r="Q86" s="109">
        <v>72</v>
      </c>
      <c r="R86" s="109">
        <v>126.604522549383</v>
      </c>
      <c r="S86" s="109">
        <v>91.5621993437509</v>
      </c>
      <c r="T86" s="109">
        <v>35.042323205633</v>
      </c>
      <c r="U86" s="49">
        <v>83</v>
      </c>
      <c r="V86" s="110">
        <f>((O86+R86)*100)/N86</f>
        <v>46.4352638614234</v>
      </c>
      <c r="W86" s="110">
        <f>((P86+S86)*100)/N86</f>
        <v>36.9744040564764</v>
      </c>
      <c r="X86" s="110">
        <f>((Q86+T86)*100)/N86</f>
        <v>16.5903320821002</v>
      </c>
    </row>
    <row r="87" spans="1:24" s="168" customFormat="1" ht="22.500000" customHeight="1">
      <c r="A87" s="34">
        <v>85</v>
      </c>
      <c r="B87" s="108">
        <f>C87+D87+E87+F87+G87+H87</f>
        <v>84.3471554097223</v>
      </c>
      <c r="C87" s="109">
        <v>59</v>
      </c>
      <c r="D87" s="109">
        <v>0</v>
      </c>
      <c r="E87" s="109">
        <v>5</v>
      </c>
      <c r="F87" s="109">
        <v>13.5647702731482</v>
      </c>
      <c r="G87" s="109">
        <v>3.39119256828707</v>
      </c>
      <c r="H87" s="109">
        <v>3.39119256828707</v>
      </c>
      <c r="I87" s="78">
        <f>(100*B87)/N87</f>
        <v>7.66626691038461</v>
      </c>
      <c r="J87" s="110">
        <f>((C87+F87)*100)/B87</f>
        <v>86.0310818078685</v>
      </c>
      <c r="K87" s="110">
        <f>((D87+G87)*100)/B87</f>
        <v>4.02051800302465</v>
      </c>
      <c r="L87" s="110">
        <f>((E87+H87)*100)/B87</f>
        <v>9.94840018910686</v>
      </c>
      <c r="M87" s="112">
        <f>N87-B86</f>
        <v>1035.5865260436</v>
      </c>
      <c r="N87" s="108">
        <f>O87+P87+Q87+R87+S87+T87</f>
        <v>1100.23765668095</v>
      </c>
      <c r="O87" s="109">
        <v>172</v>
      </c>
      <c r="P87" s="109">
        <v>150</v>
      </c>
      <c r="Q87" s="109">
        <v>74</v>
      </c>
      <c r="R87" s="109">
        <v>297.294548486499</v>
      </c>
      <c r="S87" s="109">
        <v>288.2513683044</v>
      </c>
      <c r="T87" s="109">
        <v>118.691739890047</v>
      </c>
      <c r="U87" s="49">
        <v>99</v>
      </c>
      <c r="V87" s="110">
        <f>((O87+R87)*100)/N87</f>
        <v>42.6539253257524</v>
      </c>
      <c r="W87" s="110">
        <f>((P87+S87)*100)/N87</f>
        <v>39.8324276253605</v>
      </c>
      <c r="X87" s="110">
        <f>((Q87+T87)*100)/N87</f>
        <v>17.5136470488871</v>
      </c>
    </row>
    <row r="88" spans="1:24" s="168" customFormat="1" ht="22.500000" customHeight="1">
      <c r="A88" s="34">
        <v>86</v>
      </c>
      <c r="B88" s="108">
        <f>C88+D88+E88+F88+G88+H88</f>
        <v>6</v>
      </c>
      <c r="C88" s="109">
        <v>6</v>
      </c>
      <c r="D88" s="109">
        <v>0</v>
      </c>
      <c r="E88" s="109">
        <v>0</v>
      </c>
      <c r="F88" s="109">
        <v>0</v>
      </c>
      <c r="G88" s="109">
        <v>0</v>
      </c>
      <c r="H88" s="109">
        <v>0</v>
      </c>
      <c r="I88" s="78">
        <f>(100*B88)/N88</f>
        <v>1.61592668010672</v>
      </c>
      <c r="J88" s="110">
        <f>((C88+F88)*100)/B88</f>
        <v>100</v>
      </c>
      <c r="K88" s="110">
        <f>((D88+G88)*100)/B88</f>
        <v>0</v>
      </c>
      <c r="L88" s="110">
        <f>((E88+H88)*100)/B88</f>
        <v>0</v>
      </c>
      <c r="M88" s="112">
        <f>N88-B87</f>
        <v>286.956819817901</v>
      </c>
      <c r="N88" s="108">
        <f>O88+P88+Q88+R88+S88+T88</f>
        <v>371.303975227624</v>
      </c>
      <c r="O88" s="109">
        <v>155</v>
      </c>
      <c r="P88" s="109">
        <v>138</v>
      </c>
      <c r="Q88" s="109">
        <v>67</v>
      </c>
      <c r="R88" s="109">
        <v>9.04318018209885</v>
      </c>
      <c r="S88" s="109">
        <v>2.26079504552471</v>
      </c>
      <c r="T88" s="109">
        <v>0</v>
      </c>
      <c r="U88" s="49">
        <v>59</v>
      </c>
      <c r="V88" s="110">
        <f>((O88+R88)*100)/N88</f>
        <v>44.1802919243011</v>
      </c>
      <c r="W88" s="110">
        <f>((P88+S88)*100)/N88</f>
        <v>37.7751934811739</v>
      </c>
      <c r="X88" s="110">
        <f>((Q88+T88)*100)/N88</f>
        <v>18.044514594525</v>
      </c>
    </row>
    <row r="89" spans="1:24" s="168" customFormat="1" ht="22.500000" customHeight="1">
      <c r="A89" s="34">
        <v>87</v>
      </c>
      <c r="B89" s="108">
        <f>C89+D89+E89+F89+G89+H89</f>
        <v>126.911068706405</v>
      </c>
      <c r="C89" s="109">
        <v>51</v>
      </c>
      <c r="D89" s="109">
        <v>6</v>
      </c>
      <c r="E89" s="109">
        <v>10</v>
      </c>
      <c r="F89" s="109">
        <v>42.9551058649695</v>
      </c>
      <c r="G89" s="109">
        <v>5.65198761381178</v>
      </c>
      <c r="H89" s="109">
        <v>11.3039752276235</v>
      </c>
      <c r="I89" s="78">
        <f>(100*B89)/N89</f>
        <v>13.8756255344834</v>
      </c>
      <c r="J89" s="110">
        <f>((C89+F89)*100)/B89</f>
        <v>74.0322391282707</v>
      </c>
      <c r="K89" s="110">
        <f>((D89+G89)*100)/B89</f>
        <v>9.18122251477325</v>
      </c>
      <c r="L89" s="110">
        <f>((E89+H89)*100)/B89</f>
        <v>16.7865383569561</v>
      </c>
      <c r="M89" s="112">
        <f>N89-B88</f>
        <v>908.633134131562</v>
      </c>
      <c r="N89" s="108">
        <f>O89+P89+Q89+R89+S89+T89</f>
        <v>914.633134131562</v>
      </c>
      <c r="O89" s="109">
        <v>157</v>
      </c>
      <c r="P89" s="109">
        <v>124</v>
      </c>
      <c r="Q89" s="109">
        <v>56</v>
      </c>
      <c r="R89" s="109">
        <v>296.164150963737</v>
      </c>
      <c r="S89" s="109">
        <v>170.690025937115</v>
      </c>
      <c r="T89" s="109">
        <v>110.77895723071</v>
      </c>
      <c r="U89" s="49">
        <v>102</v>
      </c>
      <c r="V89" s="110">
        <f>((O89+R89)*100)/N89</f>
        <v>49.5460020037447</v>
      </c>
      <c r="W89" s="110">
        <f>((P89+S89)*100)/N89</f>
        <v>32.2194784925347</v>
      </c>
      <c r="X89" s="110">
        <f>((Q89+T89)*100)/N89</f>
        <v>18.2345195037205</v>
      </c>
    </row>
    <row r="90" spans="1:24" s="168" customFormat="1" ht="22.500000" customHeight="1">
      <c r="A90" s="34">
        <v>88</v>
      </c>
      <c r="B90" s="108">
        <f>C90+D90+E90+F90+G90+H90</f>
        <v>0</v>
      </c>
      <c r="C90" s="109">
        <v>0</v>
      </c>
      <c r="D90" s="109">
        <v>0</v>
      </c>
      <c r="E90" s="109">
        <v>0</v>
      </c>
      <c r="F90" s="109">
        <v>0</v>
      </c>
      <c r="G90" s="109">
        <v>0</v>
      </c>
      <c r="H90" s="109">
        <v>0</v>
      </c>
      <c r="I90" s="78">
        <f>(100*B90)/N90</f>
        <v>0</v>
      </c>
      <c r="J90" s="110" t="e">
        <f>((C90+F90)*100)/B90</f>
        <v>#DIV/0!</v>
      </c>
      <c r="K90" s="110" t="e">
        <f>((D90+G90)*100)/B90</f>
        <v>#DIV/0!</v>
      </c>
      <c r="L90" s="110" t="e">
        <f>((E90+H90)*100)/B90</f>
        <v>#DIV/0!</v>
      </c>
      <c r="M90" s="112">
        <f>N90-B89</f>
        <v>269.956819817901</v>
      </c>
      <c r="N90" s="108">
        <f>O90+P90+Q90+R90+S90+T90</f>
        <v>396.867888524306</v>
      </c>
      <c r="O90" s="109">
        <v>159</v>
      </c>
      <c r="P90" s="109">
        <v>129</v>
      </c>
      <c r="Q90" s="109">
        <v>58</v>
      </c>
      <c r="R90" s="109">
        <v>33.9119256828707</v>
      </c>
      <c r="S90" s="109">
        <v>10.1735777048612</v>
      </c>
      <c r="T90" s="109">
        <v>6.78238513657414</v>
      </c>
      <c r="U90" s="49">
        <v>55</v>
      </c>
      <c r="V90" s="110">
        <f>((O90+R90)*100)/N90</f>
        <v>48.6086003078216</v>
      </c>
      <c r="W90" s="110">
        <f>((P90+S90)*100)/N90</f>
        <v>35.0679865338457</v>
      </c>
      <c r="X90" s="110">
        <f>((Q90+T90)*100)/N90</f>
        <v>16.3234131583328</v>
      </c>
    </row>
    <row r="91" spans="1:24" s="168" customFormat="1" ht="22.500000" customHeight="1">
      <c r="A91" s="34">
        <v>89</v>
      </c>
      <c r="B91" s="108">
        <f>C91+D91+E91+F91+G91+H91</f>
        <v>0</v>
      </c>
      <c r="C91" s="109">
        <v>0</v>
      </c>
      <c r="D91" s="109">
        <v>0</v>
      </c>
      <c r="E91" s="109">
        <v>0</v>
      </c>
      <c r="F91" s="109">
        <v>0</v>
      </c>
      <c r="G91" s="109">
        <v>0</v>
      </c>
      <c r="H91" s="109">
        <v>0</v>
      </c>
      <c r="I91" s="78">
        <f>(100*B91)/N91</f>
        <v>0</v>
      </c>
      <c r="J91" s="110" t="e">
        <f>((C91+F91)*100)/B91</f>
        <v>#DIV/0!</v>
      </c>
      <c r="K91" s="110" t="e">
        <f>((D91+G91)*100)/B91</f>
        <v>#DIV/0!</v>
      </c>
      <c r="L91" s="110" t="e">
        <f>((E91+H91)*100)/B91</f>
        <v>#DIV/0!</v>
      </c>
      <c r="M91" s="112">
        <f>N91-B90</f>
        <v>409.347155409722</v>
      </c>
      <c r="N91" s="108">
        <f>O91+P91+Q91+R91+S91+T91</f>
        <v>409.347155409722</v>
      </c>
      <c r="O91" s="109">
        <v>200</v>
      </c>
      <c r="P91" s="109">
        <v>131</v>
      </c>
      <c r="Q91" s="109">
        <v>58</v>
      </c>
      <c r="R91" s="109">
        <v>10.1735777048612</v>
      </c>
      <c r="S91" s="109">
        <v>6.78238513657414</v>
      </c>
      <c r="T91" s="109">
        <v>3.39119256828707</v>
      </c>
      <c r="U91" s="49">
        <v>52</v>
      </c>
      <c r="V91" s="110">
        <f>((O91+R91)*100)/N91</f>
        <v>51.3436028386456</v>
      </c>
      <c r="W91" s="110">
        <f>((P91+S91)*100)/N91</f>
        <v>33.6590552336111</v>
      </c>
      <c r="X91" s="110">
        <f>((Q91+T91)*100)/N91</f>
        <v>14.9973419277434</v>
      </c>
    </row>
    <row r="92" spans="1:24" s="168" customFormat="1" ht="22.500000" customHeight="1">
      <c r="A92" s="34">
        <v>90</v>
      </c>
      <c r="B92" s="108">
        <f>C92+D92+E92+F92+G92+H92</f>
        <v>104.824708342207</v>
      </c>
      <c r="C92" s="109">
        <v>50</v>
      </c>
      <c r="D92" s="109">
        <v>5</v>
      </c>
      <c r="E92" s="109">
        <v>8</v>
      </c>
      <c r="F92" s="109">
        <v>24.8687455007718</v>
      </c>
      <c r="G92" s="109">
        <v>10.1735777048612</v>
      </c>
      <c r="H92" s="109">
        <v>6.78238513657414</v>
      </c>
      <c r="I92" s="78">
        <f>(100*B92)/N92</f>
        <v>12.2504604433319</v>
      </c>
      <c r="J92" s="110">
        <f>((C92+F92)*100)/B92</f>
        <v>71.4228035401328</v>
      </c>
      <c r="K92" s="110">
        <f>((D92+G92)*100)/B92</f>
        <v>14.4751919130803</v>
      </c>
      <c r="L92" s="110">
        <f>((E92+H92)*100)/B92</f>
        <v>14.1020045467869</v>
      </c>
      <c r="M92" s="112">
        <f>N92-B91</f>
        <v>855.679742219526</v>
      </c>
      <c r="N92" s="108">
        <f>O92+P92+Q92+R92+S92+T92</f>
        <v>855.679742219526</v>
      </c>
      <c r="O92" s="109">
        <v>194</v>
      </c>
      <c r="P92" s="109">
        <v>126</v>
      </c>
      <c r="Q92" s="109">
        <v>53</v>
      </c>
      <c r="R92" s="109">
        <v>210.253939233798</v>
      </c>
      <c r="S92" s="109">
        <v>203.471554097224</v>
      </c>
      <c r="T92" s="109">
        <v>68.9542488885037</v>
      </c>
      <c r="U92" s="49">
        <v>80</v>
      </c>
      <c r="V92" s="110">
        <f>((O92+R92)*100)/N92</f>
        <v>47.2436028677288</v>
      </c>
      <c r="W92" s="110">
        <f>((P92+S92)*100)/N92</f>
        <v>38.5040731760946</v>
      </c>
      <c r="X92" s="110">
        <f>((Q92+T92)*100)/N92</f>
        <v>14.2523239561766</v>
      </c>
    </row>
    <row r="93" spans="1:24" s="168" customFormat="1" ht="22.500000" customHeight="1">
      <c r="A93" s="34">
        <v>91</v>
      </c>
      <c r="B93" s="108">
        <f>C93+D93+E93+F93+G93+H93</f>
        <v>40.1303975227624</v>
      </c>
      <c r="C93" s="109">
        <v>39</v>
      </c>
      <c r="D93" s="109">
        <v>0</v>
      </c>
      <c r="E93" s="109">
        <v>0</v>
      </c>
      <c r="F93" s="109">
        <v>0</v>
      </c>
      <c r="G93" s="109">
        <v>0</v>
      </c>
      <c r="H93" s="109">
        <v>1.13039752276235</v>
      </c>
      <c r="I93" s="78">
        <f>(100*B93)/N93</f>
        <v>8.27067086642607</v>
      </c>
      <c r="J93" s="110">
        <f>((C93+F93)*100)/B93</f>
        <v>97.1831888230831</v>
      </c>
      <c r="K93" s="110">
        <f>((D93+G93)*100)/B93</f>
        <v>0</v>
      </c>
      <c r="L93" s="110">
        <f>((E93+H93)*100)/B93</f>
        <v>2.81681117691689</v>
      </c>
      <c r="M93" s="112">
        <f>N93-B92</f>
        <v>380.38862163889</v>
      </c>
      <c r="N93" s="108">
        <f>O93+P93+Q93+R93+S93+T93</f>
        <v>485.213329981097</v>
      </c>
      <c r="O93" s="109">
        <v>180</v>
      </c>
      <c r="P93" s="109">
        <v>123</v>
      </c>
      <c r="Q93" s="109">
        <v>59</v>
      </c>
      <c r="R93" s="109">
        <v>55.3894786153554</v>
      </c>
      <c r="S93" s="109">
        <v>51.9982860470684</v>
      </c>
      <c r="T93" s="109">
        <v>15.8255653186729</v>
      </c>
      <c r="U93" s="49">
        <v>52</v>
      </c>
      <c r="V93" s="110">
        <f>((O93+R93)*100)/N93</f>
        <v>48.5125745874554</v>
      </c>
      <c r="W93" s="110">
        <f>((P93+S93)*100)/N93</f>
        <v>36.0662568882611</v>
      </c>
      <c r="X93" s="110">
        <f>((Q93+T93)*100)/N93</f>
        <v>15.4211685242835</v>
      </c>
    </row>
    <row r="94" spans="1:24" s="168" customFormat="1" ht="22.500000" customHeight="1">
      <c r="A94" s="34">
        <v>92</v>
      </c>
      <c r="B94" s="108">
        <f>C94+D94+E94+F94+G94+H94</f>
        <v>47.0863603641977</v>
      </c>
      <c r="C94" s="109">
        <v>14</v>
      </c>
      <c r="D94" s="109">
        <v>10</v>
      </c>
      <c r="E94" s="109">
        <v>5</v>
      </c>
      <c r="F94" s="109">
        <v>10.1735777048612</v>
      </c>
      <c r="G94" s="109">
        <v>2.26079504552471</v>
      </c>
      <c r="H94" s="109">
        <v>5.65198761381178</v>
      </c>
      <c r="I94" s="78">
        <f>(100*B94)/N94</f>
        <v>7.92420794543294</v>
      </c>
      <c r="J94" s="110">
        <f>((C94+F94)*100)/B94</f>
        <v>51.3388113200647</v>
      </c>
      <c r="K94" s="110">
        <f>((D94+G94)*100)/B94</f>
        <v>26.0389525771188</v>
      </c>
      <c r="L94" s="110">
        <f>((E94+H94)*100)/B94</f>
        <v>22.6222361028164</v>
      </c>
      <c r="M94" s="112">
        <f>N94-B93</f>
        <v>554.078647576005</v>
      </c>
      <c r="N94" s="108">
        <f>O94+P94+Q94+R94+S94+T94</f>
        <v>594.209045098767</v>
      </c>
      <c r="O94" s="109">
        <v>170</v>
      </c>
      <c r="P94" s="109">
        <v>115</v>
      </c>
      <c r="Q94" s="109">
        <v>56</v>
      </c>
      <c r="R94" s="109">
        <v>141.299690345294</v>
      </c>
      <c r="S94" s="109">
        <v>71.2150439340284</v>
      </c>
      <c r="T94" s="109">
        <v>40.6943108194448</v>
      </c>
      <c r="U94" s="49">
        <v>61</v>
      </c>
      <c r="V94" s="110">
        <f>((O94+R94)*100)/N94</f>
        <v>52.3889181615455</v>
      </c>
      <c r="W94" s="110">
        <f>((P94+S94)*100)/N94</f>
        <v>31.3383051755929</v>
      </c>
      <c r="X94" s="110">
        <f>((Q94+T94)*100)/N94</f>
        <v>16.2727766628616</v>
      </c>
    </row>
    <row r="95" spans="1:24" s="168" customFormat="1" ht="22.500000" customHeight="1">
      <c r="A95" s="34">
        <v>93</v>
      </c>
      <c r="B95" s="108">
        <f>C95+D95+E95+F95+G95+H95</f>
        <v>0</v>
      </c>
      <c r="C95" s="109">
        <v>0</v>
      </c>
      <c r="D95" s="109">
        <v>0</v>
      </c>
      <c r="E95" s="109">
        <v>0</v>
      </c>
      <c r="F95" s="109">
        <v>0</v>
      </c>
      <c r="G95" s="109">
        <v>0</v>
      </c>
      <c r="H95" s="109">
        <v>0</v>
      </c>
      <c r="I95" s="78">
        <f>(100*B95)/N95</f>
        <v>0</v>
      </c>
      <c r="J95" s="110" t="e">
        <f>((C95+F95)*100)/B95</f>
        <v>#DIV/0!</v>
      </c>
      <c r="K95" s="110" t="e">
        <f>((D95+G95)*100)/B95</f>
        <v>#DIV/0!</v>
      </c>
      <c r="L95" s="110" t="e">
        <f>((E95+H95)*100)/B95</f>
        <v>#DIV/0!</v>
      </c>
      <c r="M95" s="112">
        <f>N95-B94</f>
        <v>308.435229726852</v>
      </c>
      <c r="N95" s="108">
        <f>O95+P95+Q95+R95+S95+T95</f>
        <v>355.521590091049</v>
      </c>
      <c r="O95" s="109">
        <v>173</v>
      </c>
      <c r="P95" s="109">
        <v>122</v>
      </c>
      <c r="Q95" s="109">
        <v>56</v>
      </c>
      <c r="R95" s="109">
        <v>0</v>
      </c>
      <c r="S95" s="109">
        <v>4.52159009104942</v>
      </c>
      <c r="T95" s="109">
        <v>0</v>
      </c>
      <c r="U95" s="49">
        <v>42</v>
      </c>
      <c r="V95" s="110">
        <f>((O95+R95)*100)/N95</f>
        <v>48.6608984719309</v>
      </c>
      <c r="W95" s="110">
        <f>((P95+S95)*100)/N95</f>
        <v>35.587596820392</v>
      </c>
      <c r="X95" s="110">
        <f>((Q95+T95)*100)/N95</f>
        <v>15.7515047076771</v>
      </c>
    </row>
    <row r="96" spans="1:24" s="168" customFormat="1" ht="22.500000" customHeight="1">
      <c r="A96" s="34">
        <v>94</v>
      </c>
      <c r="B96" s="108">
        <f>C96+D96+E96+F96+G96+H96</f>
        <v>0</v>
      </c>
      <c r="C96" s="109">
        <v>0</v>
      </c>
      <c r="D96" s="109">
        <v>0</v>
      </c>
      <c r="E96" s="109">
        <v>0</v>
      </c>
      <c r="F96" s="109">
        <v>0</v>
      </c>
      <c r="G96" s="109">
        <v>0</v>
      </c>
      <c r="H96" s="109">
        <v>0</v>
      </c>
      <c r="I96" s="78">
        <f>(100*B96)/N96</f>
        <v>0</v>
      </c>
      <c r="J96" s="110" t="e">
        <f>((C96+F96)*100)/B96</f>
        <v>#DIV/0!</v>
      </c>
      <c r="K96" s="110" t="e">
        <f>((D96+G96)*100)/B96</f>
        <v>#DIV/0!</v>
      </c>
      <c r="L96" s="110" t="e">
        <f>((E96+H96)*100)/B96</f>
        <v>#DIV/0!</v>
      </c>
      <c r="M96" s="112">
        <f>N96-B95</f>
        <v>360</v>
      </c>
      <c r="N96" s="108">
        <f>O96+P96+Q96+R96+S96+T96</f>
        <v>360</v>
      </c>
      <c r="O96" s="109">
        <v>182</v>
      </c>
      <c r="P96" s="109">
        <v>122</v>
      </c>
      <c r="Q96" s="109">
        <v>56</v>
      </c>
      <c r="R96" s="109">
        <v>0</v>
      </c>
      <c r="S96" s="109">
        <v>0</v>
      </c>
      <c r="T96" s="109">
        <v>0</v>
      </c>
      <c r="U96" s="49">
        <v>42</v>
      </c>
      <c r="V96" s="110">
        <f>((O96+R96)*100)/N96</f>
        <v>50.5555555555556</v>
      </c>
      <c r="W96" s="110">
        <f>((P96+S96)*100)/N96</f>
        <v>33.8888888888889</v>
      </c>
      <c r="X96" s="110">
        <f>((Q96+T96)*100)/N96</f>
        <v>15.5555555555556</v>
      </c>
    </row>
    <row r="97" spans="1:24" s="168" customFormat="1" ht="22.500000" customHeight="1">
      <c r="A97" s="34">
        <v>95</v>
      </c>
      <c r="B97" s="108">
        <f>C97+D97+E97+F97+G97+H97</f>
        <v>416.077790599539</v>
      </c>
      <c r="C97" s="109">
        <v>102</v>
      </c>
      <c r="D97" s="109">
        <v>9</v>
      </c>
      <c r="E97" s="109">
        <v>27</v>
      </c>
      <c r="F97" s="109">
        <v>204.601951619986</v>
      </c>
      <c r="G97" s="109">
        <v>40.6943108194448</v>
      </c>
      <c r="H97" s="109">
        <v>32.7815281601083</v>
      </c>
      <c r="I97" s="78">
        <f>(100*B97)/N97</f>
        <v>16.5414650706016</v>
      </c>
      <c r="J97" s="110">
        <f>((C97+F97)*100)/B97</f>
        <v>73.6886126938412</v>
      </c>
      <c r="K97" s="110">
        <f>((D97+G97)*100)/B97</f>
        <v>11.9435143961514</v>
      </c>
      <c r="L97" s="110">
        <f>((E97+H97)*100)/B97</f>
        <v>14.3678729100074</v>
      </c>
      <c r="M97" s="112">
        <f>N97-B96</f>
        <v>2515.36238672725</v>
      </c>
      <c r="N97" s="108">
        <f>O97+P97+Q97+R97+S97+T97</f>
        <v>2515.36238672725</v>
      </c>
      <c r="O97" s="109">
        <v>168</v>
      </c>
      <c r="P97" s="109">
        <v>104</v>
      </c>
      <c r="Q97" s="109">
        <v>47</v>
      </c>
      <c r="R97" s="109">
        <v>1004.92339773573</v>
      </c>
      <c r="S97" s="109">
        <v>855.710924731104</v>
      </c>
      <c r="T97" s="109">
        <v>335.728064260419</v>
      </c>
      <c r="U97" s="49">
        <v>127</v>
      </c>
      <c r="V97" s="110">
        <f>((O97+R97)*100)/N97</f>
        <v>46.6303942495469</v>
      </c>
      <c r="W97" s="110">
        <f>((P97+S97)*100)/N97</f>
        <v>38.1539824955317</v>
      </c>
      <c r="X97" s="110">
        <f>((Q97+T97)*100)/N97</f>
        <v>15.2156232549214</v>
      </c>
    </row>
    <row r="98" spans="1:24" s="168" customFormat="1" ht="22.500000" customHeight="1">
      <c r="A98" s="34">
        <v>96</v>
      </c>
      <c r="B98" s="108">
        <f>C98+D98+E98+F98+G98+H98</f>
        <v>29.2607950455247</v>
      </c>
      <c r="C98" s="109">
        <v>18</v>
      </c>
      <c r="D98" s="109">
        <v>4</v>
      </c>
      <c r="E98" s="109">
        <v>5</v>
      </c>
      <c r="F98" s="109">
        <v>2.26079504552471</v>
      </c>
      <c r="G98" s="109">
        <v>0</v>
      </c>
      <c r="H98" s="109">
        <v>0</v>
      </c>
      <c r="I98" s="78">
        <f>(100*B98)/N98</f>
        <v>7.41763934673865</v>
      </c>
      <c r="J98" s="110">
        <f>((C98+F98)*100)/B98</f>
        <v>69.2421207762894</v>
      </c>
      <c r="K98" s="110">
        <f>((D98+G98)*100)/B98</f>
        <v>13.6701685438714</v>
      </c>
      <c r="L98" s="110">
        <f>((E98+H98)*100)/B98</f>
        <v>17.0877106798393</v>
      </c>
      <c r="M98" s="112">
        <f>N98-B97</f>
        <v>-21.6019516199861</v>
      </c>
      <c r="N98" s="108">
        <f>O98+P98+Q98+R98+S98+T98</f>
        <v>394.475838979553</v>
      </c>
      <c r="O98" s="109">
        <v>162</v>
      </c>
      <c r="P98" s="109">
        <v>117</v>
      </c>
      <c r="Q98" s="109">
        <v>42</v>
      </c>
      <c r="R98" s="109">
        <v>33.9119256828707</v>
      </c>
      <c r="S98" s="109">
        <v>31.6511306373459</v>
      </c>
      <c r="T98" s="109">
        <v>7.91278265933649</v>
      </c>
      <c r="U98" s="49">
        <v>58</v>
      </c>
      <c r="V98" s="110">
        <f>((O98+R98)*100)/N98</f>
        <v>49.6638593100313</v>
      </c>
      <c r="W98" s="110">
        <f>((P98+S98)*100)/N98</f>
        <v>37.683202860252</v>
      </c>
      <c r="X98" s="110">
        <f>((Q98+T98)*100)/N98</f>
        <v>12.6529378297168</v>
      </c>
    </row>
    <row r="99" spans="1:24" s="168" customFormat="1" ht="22.500000" customHeight="1">
      <c r="A99" s="34">
        <v>97</v>
      </c>
      <c r="B99" s="108">
        <f>C99+D99+E99+F99+G99+H99</f>
        <v>63.0863603641976</v>
      </c>
      <c r="C99" s="109">
        <v>38</v>
      </c>
      <c r="D99" s="109">
        <v>4</v>
      </c>
      <c r="E99" s="109">
        <v>3</v>
      </c>
      <c r="F99" s="109">
        <v>11.3039752276235</v>
      </c>
      <c r="G99" s="109">
        <v>5.65198761381178</v>
      </c>
      <c r="H99" s="109">
        <v>1.13039752276235</v>
      </c>
      <c r="I99" s="78">
        <f>(100*B99)/N99</f>
        <v>8.68766828227949</v>
      </c>
      <c r="J99" s="110">
        <f>((C99+F99)*100)/B99</f>
        <v>78.1531458511659</v>
      </c>
      <c r="K99" s="110">
        <f>((D99+G99)*100)/B99</f>
        <v>15.2996425187487</v>
      </c>
      <c r="L99" s="110">
        <f>((E99+H99)*100)/B99</f>
        <v>6.54721163008543</v>
      </c>
      <c r="M99" s="112">
        <f>N99-B98</f>
        <v>696.899071035883</v>
      </c>
      <c r="N99" s="108">
        <f>O99+P99+Q99+R99+S99+T99</f>
        <v>726.159866081407</v>
      </c>
      <c r="O99" s="109">
        <v>147</v>
      </c>
      <c r="P99" s="109">
        <v>110</v>
      </c>
      <c r="Q99" s="109">
        <v>43</v>
      </c>
      <c r="R99" s="109">
        <v>174.081218505402</v>
      </c>
      <c r="S99" s="109">
        <v>181.994001164739</v>
      </c>
      <c r="T99" s="109">
        <v>70.0846464112661</v>
      </c>
      <c r="U99" s="49">
        <v>81</v>
      </c>
      <c r="V99" s="110">
        <f>((O99+R99)*100)/N99</f>
        <v>44.2163266662009</v>
      </c>
      <c r="W99" s="110">
        <f>((P99+S99)*100)/N99</f>
        <v>40.2107049430359</v>
      </c>
      <c r="X99" s="110">
        <f>((Q99+T99)*100)/N99</f>
        <v>15.5729683907632</v>
      </c>
    </row>
    <row r="100" spans="1:24" s="168" customFormat="1" ht="22.500000" customHeight="1">
      <c r="A100" s="34">
        <v>98</v>
      </c>
      <c r="B100" s="108">
        <f>C100+D100+E100+F100+G100+H100</f>
        <v>2</v>
      </c>
      <c r="C100" s="109">
        <v>2</v>
      </c>
      <c r="D100" s="109">
        <v>0</v>
      </c>
      <c r="E100" s="109">
        <v>0</v>
      </c>
      <c r="F100" s="109">
        <v>0</v>
      </c>
      <c r="G100" s="109">
        <v>0</v>
      </c>
      <c r="H100" s="109">
        <v>0</v>
      </c>
      <c r="I100" s="78">
        <f>(100*B100)/N100</f>
        <v>0.62271623160666</v>
      </c>
      <c r="J100" s="110">
        <f>((C100+F100)*100)/B100</f>
        <v>100</v>
      </c>
      <c r="K100" s="110">
        <f>((D100+G100)*100)/B100</f>
        <v>0</v>
      </c>
      <c r="L100" s="110">
        <f>((E100+H100)*100)/B100</f>
        <v>0</v>
      </c>
      <c r="M100" s="112">
        <f>N100-B99</f>
        <v>258.087217340664</v>
      </c>
      <c r="N100" s="108">
        <f>O100+P100+Q100+R100+S100+T100</f>
        <v>321.173577704861</v>
      </c>
      <c r="O100" s="109">
        <v>157</v>
      </c>
      <c r="P100" s="109">
        <v>108</v>
      </c>
      <c r="Q100" s="109">
        <v>46</v>
      </c>
      <c r="R100" s="109">
        <v>4.52159009104942</v>
      </c>
      <c r="S100" s="109">
        <v>3.39119256828707</v>
      </c>
      <c r="T100" s="109">
        <v>2.26079504552471</v>
      </c>
      <c r="U100" s="49">
        <v>41</v>
      </c>
      <c r="V100" s="110">
        <f>((O100+R100)*100)/N100</f>
        <v>50.291057952307</v>
      </c>
      <c r="W100" s="110">
        <f>((P100+S100)*100)/N100</f>
        <v>34.6825518351478</v>
      </c>
      <c r="X100" s="110">
        <f>((Q100+T100)*100)/N100</f>
        <v>15.0263902125453</v>
      </c>
    </row>
    <row r="101" spans="1:24" s="168" customFormat="1" ht="22.500000" customHeight="1">
      <c r="A101" s="34">
        <v>99</v>
      </c>
      <c r="B101" s="108">
        <f>C101+D101+E101+F101+G101+H101</f>
        <v>10</v>
      </c>
      <c r="C101" s="109">
        <v>9</v>
      </c>
      <c r="D101" s="109">
        <v>0</v>
      </c>
      <c r="E101" s="109">
        <v>1</v>
      </c>
      <c r="F101" s="109">
        <v>0</v>
      </c>
      <c r="G101" s="109">
        <v>0</v>
      </c>
      <c r="H101" s="109">
        <v>0</v>
      </c>
      <c r="I101" s="78">
        <f>(100*B101)/N101</f>
        <v>2.491892600647</v>
      </c>
      <c r="J101" s="110">
        <f>((C101+F101)*100)/B101</f>
        <v>90</v>
      </c>
      <c r="K101" s="110">
        <f>((D101+G101)*100)/B101</f>
        <v>0</v>
      </c>
      <c r="L101" s="110">
        <f>((E101+H101)*100)/B101</f>
        <v>10</v>
      </c>
      <c r="M101" s="112">
        <f>N101-B100</f>
        <v>399.301404298226</v>
      </c>
      <c r="N101" s="108">
        <f>O101+P101+Q101+R101+S101+T101</f>
        <v>401.301404298226</v>
      </c>
      <c r="O101" s="109">
        <v>155</v>
      </c>
      <c r="P101" s="109">
        <v>111</v>
      </c>
      <c r="Q101" s="109">
        <v>46</v>
      </c>
      <c r="R101" s="109">
        <v>35.042323205633</v>
      </c>
      <c r="S101" s="109">
        <v>40.6943108194448</v>
      </c>
      <c r="T101" s="109">
        <v>13.5647702731482</v>
      </c>
      <c r="U101" s="49">
        <v>53</v>
      </c>
      <c r="V101" s="110">
        <f>((O101+R101)*100)/N101</f>
        <v>47.3565059005883</v>
      </c>
      <c r="W101" s="110">
        <f>((P101+S101)*100)/N101</f>
        <v>37.8005930691221</v>
      </c>
      <c r="X101" s="110">
        <f>((Q101+T101)*100)/N101</f>
        <v>14.8429010302896</v>
      </c>
    </row>
    <row r="102" spans="1:24" s="168" customFormat="1" ht="22.500000" customHeight="1">
      <c r="A102" s="34">
        <v>100</v>
      </c>
      <c r="B102" s="108">
        <f>C102+D102+E102+F102+G102+H102</f>
        <v>0</v>
      </c>
      <c r="C102" s="109">
        <v>0</v>
      </c>
      <c r="D102" s="109">
        <v>0</v>
      </c>
      <c r="E102" s="109">
        <v>0</v>
      </c>
      <c r="F102" s="109">
        <v>0</v>
      </c>
      <c r="G102" s="109">
        <v>0</v>
      </c>
      <c r="H102" s="109">
        <v>0</v>
      </c>
      <c r="I102" s="78">
        <f>(100*B102)/N102</f>
        <v>0</v>
      </c>
      <c r="J102" s="110" t="e">
        <f>((C102+F102)*100)/B102</f>
        <v>#DIV/0!</v>
      </c>
      <c r="K102" s="110" t="e">
        <f>((D102+G102)*100)/B102</f>
        <v>#DIV/0!</v>
      </c>
      <c r="L102" s="110" t="e">
        <f>((E102+H102)*100)/B102</f>
        <v>#DIV/0!</v>
      </c>
      <c r="M102" s="112">
        <f>N102-B101</f>
        <v>314</v>
      </c>
      <c r="N102" s="108">
        <f>O102+P102+Q102+R102+S102+T102</f>
        <v>324</v>
      </c>
      <c r="O102" s="109">
        <v>163</v>
      </c>
      <c r="P102" s="109">
        <v>113</v>
      </c>
      <c r="Q102" s="109">
        <v>48</v>
      </c>
      <c r="R102" s="109">
        <v>0</v>
      </c>
      <c r="S102" s="109">
        <v>0</v>
      </c>
      <c r="T102" s="109">
        <v>0</v>
      </c>
      <c r="U102" s="49">
        <v>41</v>
      </c>
      <c r="V102" s="110">
        <f>((O102+R102)*100)/N102</f>
        <v>50.3086419753086</v>
      </c>
      <c r="W102" s="110">
        <f>((P102+S102)*100)/N102</f>
        <v>34.8765432098765</v>
      </c>
      <c r="X102" s="110">
        <f>((Q102+T102)*100)/N102</f>
        <v>14.8148148148148</v>
      </c>
    </row>
    <row r="103" spans="1:24" s="168" customFormat="1" ht="22.500000" customHeight="1">
      <c r="A103" s="34">
        <v>101</v>
      </c>
      <c r="B103" s="108">
        <f>C103+D103+E103+F103+G103+H103</f>
        <v>0</v>
      </c>
      <c r="C103" s="109">
        <v>0</v>
      </c>
      <c r="D103" s="109">
        <v>0</v>
      </c>
      <c r="E103" s="109">
        <v>0</v>
      </c>
      <c r="F103" s="109">
        <v>0</v>
      </c>
      <c r="G103" s="109">
        <v>0</v>
      </c>
      <c r="H103" s="109">
        <v>0</v>
      </c>
      <c r="I103" s="78">
        <f>(100*B103)/N103</f>
        <v>0</v>
      </c>
      <c r="J103" s="110" t="e">
        <f>((C103+F103)*100)/B103</f>
        <v>#DIV/0!</v>
      </c>
      <c r="K103" s="110" t="e">
        <f>((D103+G103)*100)/B103</f>
        <v>#DIV/0!</v>
      </c>
      <c r="L103" s="110" t="e">
        <f>((E103+H103)*100)/B103</f>
        <v>#DIV/0!</v>
      </c>
      <c r="M103" s="112">
        <f>N103-B102</f>
        <v>323</v>
      </c>
      <c r="N103" s="108">
        <f>O103+P103+Q103+R103+S103+T103</f>
        <v>323</v>
      </c>
      <c r="O103" s="109">
        <v>158</v>
      </c>
      <c r="P103" s="109">
        <v>118</v>
      </c>
      <c r="Q103" s="109">
        <v>47</v>
      </c>
      <c r="R103" s="109">
        <v>0</v>
      </c>
      <c r="S103" s="109">
        <v>0</v>
      </c>
      <c r="T103" s="109">
        <v>0</v>
      </c>
      <c r="U103" s="49">
        <v>45</v>
      </c>
      <c r="V103" s="110">
        <f>((O103+R103)*100)/N103</f>
        <v>48.9164086687307</v>
      </c>
      <c r="W103" s="110">
        <f>((P103+S103)*100)/N103</f>
        <v>36.5325077399381</v>
      </c>
      <c r="X103" s="110">
        <f>((Q103+T103)*100)/N103</f>
        <v>14.5510835913313</v>
      </c>
    </row>
    <row r="104" spans="1:24" s="168" customFormat="1" ht="22.500000" customHeight="1">
      <c r="A104" s="34">
        <v>102</v>
      </c>
      <c r="B104" s="108">
        <f>C104+D104+E104+F104+G104+H104</f>
        <v>0</v>
      </c>
      <c r="C104" s="109">
        <v>0</v>
      </c>
      <c r="D104" s="109">
        <v>0</v>
      </c>
      <c r="E104" s="109">
        <v>0</v>
      </c>
      <c r="F104" s="109">
        <v>0</v>
      </c>
      <c r="G104" s="109">
        <v>0</v>
      </c>
      <c r="H104" s="109">
        <v>0</v>
      </c>
      <c r="I104" s="78">
        <f>(100*B104)/N104</f>
        <v>0</v>
      </c>
      <c r="J104" s="110" t="e">
        <f>((C104+F104)*100)/B104</f>
        <v>#DIV/0!</v>
      </c>
      <c r="K104" s="110" t="e">
        <f>((D104+G104)*100)/B104</f>
        <v>#DIV/0!</v>
      </c>
      <c r="L104" s="110" t="e">
        <f>((E104+H104)*100)/B104</f>
        <v>#DIV/0!</v>
      </c>
      <c r="M104" s="112">
        <f>N104-B103</f>
        <v>338.130397522762</v>
      </c>
      <c r="N104" s="108">
        <f>O104+P104+Q104+R104+S104+T104</f>
        <v>338.130397522762</v>
      </c>
      <c r="O104" s="109">
        <v>164</v>
      </c>
      <c r="P104" s="109">
        <v>122</v>
      </c>
      <c r="Q104" s="109">
        <v>51</v>
      </c>
      <c r="R104" s="109">
        <v>0</v>
      </c>
      <c r="S104" s="109">
        <v>1.13039752276235</v>
      </c>
      <c r="T104" s="109">
        <v>0</v>
      </c>
      <c r="U104" s="49">
        <v>38</v>
      </c>
      <c r="V104" s="110">
        <f>((O104+R104)*100)/N104</f>
        <v>48.5019984010635</v>
      </c>
      <c r="W104" s="110">
        <f>((P104+S104)*100)/N104</f>
        <v>36.4150630717765</v>
      </c>
      <c r="X104" s="110">
        <f>((Q104+T104)*100)/N104</f>
        <v>15.08293852716</v>
      </c>
    </row>
    <row r="105" spans="1:24" s="168" customFormat="1" ht="22.500000" customHeight="1">
      <c r="A105" s="34">
        <v>103</v>
      </c>
      <c r="B105" s="108">
        <f>C105+D105+E105+F105+G105+H105</f>
        <v>0</v>
      </c>
      <c r="C105" s="109">
        <v>0</v>
      </c>
      <c r="D105" s="109">
        <v>0</v>
      </c>
      <c r="E105" s="109">
        <v>0</v>
      </c>
      <c r="F105" s="109">
        <v>0</v>
      </c>
      <c r="G105" s="109">
        <v>0</v>
      </c>
      <c r="H105" s="109">
        <v>0</v>
      </c>
      <c r="I105" s="78">
        <f>(100*B105)/N105</f>
        <v>0</v>
      </c>
      <c r="J105" s="110" t="e">
        <f>((C105+F105)*100)/B105</f>
        <v>#DIV/0!</v>
      </c>
      <c r="K105" s="110" t="e">
        <f>((D105+G105)*100)/B105</f>
        <v>#DIV/0!</v>
      </c>
      <c r="L105" s="110" t="e">
        <f>((E105+H105)*100)/B105</f>
        <v>#DIV/0!</v>
      </c>
      <c r="M105" s="112">
        <f>N105-B104</f>
        <v>355.260795045525</v>
      </c>
      <c r="N105" s="108">
        <f>O105+P105+Q105+R105+S105+T105</f>
        <v>355.260795045525</v>
      </c>
      <c r="O105" s="109">
        <v>169</v>
      </c>
      <c r="P105" s="109">
        <v>130</v>
      </c>
      <c r="Q105" s="109">
        <v>54</v>
      </c>
      <c r="R105" s="109">
        <v>0</v>
      </c>
      <c r="S105" s="109">
        <v>2.26079504552471</v>
      </c>
      <c r="T105" s="109">
        <v>0</v>
      </c>
      <c r="U105" s="49">
        <v>35</v>
      </c>
      <c r="V105" s="110">
        <f>((O105+R105)*100)/N105</f>
        <v>47.5706867621978</v>
      </c>
      <c r="W105" s="110">
        <f>((P105+S105)*100)/N105</f>
        <v>37.2292121421887</v>
      </c>
      <c r="X105" s="110">
        <f>((Q105+T105)*100)/N105</f>
        <v>15.2001010956135</v>
      </c>
    </row>
    <row r="106" spans="1:24" s="168" customFormat="1" ht="22.500000" customHeight="1">
      <c r="A106" s="34">
        <v>104</v>
      </c>
      <c r="B106" s="108">
        <f>C106+D106+E106+F106+G106+H106</f>
        <v>54.4775529324847</v>
      </c>
      <c r="C106" s="109">
        <v>26</v>
      </c>
      <c r="D106" s="109">
        <v>0</v>
      </c>
      <c r="E106" s="109">
        <v>7</v>
      </c>
      <c r="F106" s="109">
        <v>16.9559628414353</v>
      </c>
      <c r="G106" s="109">
        <v>0</v>
      </c>
      <c r="H106" s="109">
        <v>4.52159009104942</v>
      </c>
      <c r="I106" s="78">
        <f>(100*B106)/N106</f>
        <v>9.71694033218075</v>
      </c>
      <c r="J106" s="110">
        <f>((C106+F106)*100)/B106</f>
        <v>78.8507569249148</v>
      </c>
      <c r="K106" s="110">
        <f>((D106+G106)*100)/B106</f>
        <v>0</v>
      </c>
      <c r="L106" s="110">
        <f>((E106+H106)*100)/B106</f>
        <v>21.1492430750852</v>
      </c>
      <c r="M106" s="112">
        <f>N106-B105</f>
        <v>560.645131802085</v>
      </c>
      <c r="N106" s="108">
        <f>O106+P106+Q106+R106+S106+T106</f>
        <v>560.645131802085</v>
      </c>
      <c r="O106" s="109">
        <v>166</v>
      </c>
      <c r="P106" s="109">
        <v>131</v>
      </c>
      <c r="Q106" s="109">
        <v>50</v>
      </c>
      <c r="R106" s="109">
        <v>93.8229943892756</v>
      </c>
      <c r="S106" s="109">
        <v>87.0406092527014</v>
      </c>
      <c r="T106" s="109">
        <v>32.7815281601083</v>
      </c>
      <c r="U106" s="49">
        <v>50</v>
      </c>
      <c r="V106" s="110">
        <f>((O106+R106)*100)/N106</f>
        <v>46.3435745092666</v>
      </c>
      <c r="W106" s="110">
        <f>((P106+S106)*100)/N106</f>
        <v>38.8910198063884</v>
      </c>
      <c r="X106" s="110">
        <f>((Q106+T106)*100)/N106</f>
        <v>14.7654056843449</v>
      </c>
    </row>
    <row r="107" spans="1:24" s="168" customFormat="1" ht="22.500000" customHeight="1">
      <c r="A107" s="34">
        <v>105</v>
      </c>
      <c r="B107" s="108">
        <f>C107+D107+E107+F107+G107+H107</f>
        <v>50.3039752276236</v>
      </c>
      <c r="C107" s="109">
        <v>33</v>
      </c>
      <c r="D107" s="109">
        <v>1</v>
      </c>
      <c r="E107" s="109">
        <v>5</v>
      </c>
      <c r="F107" s="109">
        <v>10.1735777048612</v>
      </c>
      <c r="G107" s="109">
        <v>1.13039752276235</v>
      </c>
      <c r="H107" s="109">
        <v>0</v>
      </c>
      <c r="I107" s="78">
        <f>(100*B107)/N107</f>
        <v>8.64278074314946</v>
      </c>
      <c r="J107" s="110">
        <f>((C107+F107)*100)/B107</f>
        <v>85.8253796235833</v>
      </c>
      <c r="K107" s="110">
        <f>((D107+G107)*100)/B107</f>
        <v>4.23504805161497</v>
      </c>
      <c r="L107" s="110">
        <f>((E107+H107)*100)/B107</f>
        <v>9.93957232480175</v>
      </c>
      <c r="M107" s="112">
        <f>N107-B106</f>
        <v>527.557057484956</v>
      </c>
      <c r="N107" s="108">
        <f>O107+P107+Q107+R107+S107+T107</f>
        <v>582.034610417441</v>
      </c>
      <c r="O107" s="109">
        <v>145</v>
      </c>
      <c r="P107" s="109">
        <v>122</v>
      </c>
      <c r="Q107" s="109">
        <v>46</v>
      </c>
      <c r="R107" s="109">
        <v>117.561342367285</v>
      </c>
      <c r="S107" s="109">
        <v>101.735777048612</v>
      </c>
      <c r="T107" s="109">
        <v>49.7374910015437</v>
      </c>
      <c r="U107" s="49">
        <v>67</v>
      </c>
      <c r="V107" s="110">
        <f>((O107+R107)*100)/N107</f>
        <v>45.110950047966</v>
      </c>
      <c r="W107" s="110">
        <f>((P107+S107)*100)/N107</f>
        <v>38.4402874063016</v>
      </c>
      <c r="X107" s="110">
        <f>((Q107+T107)*100)/N107</f>
        <v>16.4487625457324</v>
      </c>
    </row>
    <row r="108" spans="1:24" s="168" customFormat="1" ht="22.500000" customHeight="1">
      <c r="A108" s="34">
        <v>106</v>
      </c>
      <c r="B108" s="108">
        <f>C108+D108+E108+F108+G108+H108</f>
        <v>41.0431801820989</v>
      </c>
      <c r="C108" s="109">
        <v>30</v>
      </c>
      <c r="D108" s="109">
        <v>1</v>
      </c>
      <c r="E108" s="109">
        <v>1</v>
      </c>
      <c r="F108" s="109">
        <v>9.04318018209885</v>
      </c>
      <c r="G108" s="109">
        <v>0</v>
      </c>
      <c r="H108" s="109">
        <v>0</v>
      </c>
      <c r="I108" s="78">
        <f>(100*B108)/N108</f>
        <v>8.2194667196391</v>
      </c>
      <c r="J108" s="110">
        <f>((C108+F108)*100)/B108</f>
        <v>95.1270832544494</v>
      </c>
      <c r="K108" s="110">
        <f>((D108+G108)*100)/B108</f>
        <v>2.4364583727753</v>
      </c>
      <c r="L108" s="110">
        <f>((E108+H108)*100)/B108</f>
        <v>2.4364583727753</v>
      </c>
      <c r="M108" s="112">
        <f>N108-B107</f>
        <v>449.037181346838</v>
      </c>
      <c r="N108" s="108">
        <f>O108+P108+Q108+R108+S108+T108</f>
        <v>499.341156574462</v>
      </c>
      <c r="O108" s="109">
        <v>129</v>
      </c>
      <c r="P108" s="109">
        <v>121</v>
      </c>
      <c r="Q108" s="109">
        <v>47</v>
      </c>
      <c r="R108" s="109">
        <v>80.2582241161273</v>
      </c>
      <c r="S108" s="109">
        <v>90.4318018209885</v>
      </c>
      <c r="T108" s="109">
        <v>31.6511306373459</v>
      </c>
      <c r="U108" s="49">
        <v>57</v>
      </c>
      <c r="V108" s="110">
        <f>((O108+R108)*100)/N108</f>
        <v>41.9068649481375</v>
      </c>
      <c r="W108" s="110">
        <f>((P108+S108)*100)/N108</f>
        <v>42.3421540638539</v>
      </c>
      <c r="X108" s="110">
        <f>((Q108+T108)*100)/N108</f>
        <v>15.7509809880086</v>
      </c>
    </row>
    <row r="109" spans="1:24" s="168" customFormat="1" ht="22.500000" customHeight="1">
      <c r="A109" s="34">
        <v>107</v>
      </c>
      <c r="B109" s="108">
        <f>C109+D109+E109+F109+G109+H109</f>
        <v>149.475838979553</v>
      </c>
      <c r="C109" s="109">
        <v>65</v>
      </c>
      <c r="D109" s="109">
        <v>2</v>
      </c>
      <c r="E109" s="109">
        <v>9</v>
      </c>
      <c r="F109" s="109">
        <v>56.5198761381178</v>
      </c>
      <c r="G109" s="109">
        <v>3.39119256828707</v>
      </c>
      <c r="H109" s="109">
        <v>13.5647702731482</v>
      </c>
      <c r="I109" s="78">
        <f>(100*B109)/N109</f>
        <v>19.8706000408713</v>
      </c>
      <c r="J109" s="110">
        <f>((C109+F109)*100)/B109</f>
        <v>81.2973367252621</v>
      </c>
      <c r="K109" s="110">
        <f>((D109+G109)*100)/B109</f>
        <v>3.60673176688076</v>
      </c>
      <c r="L109" s="110">
        <f>((E109+H109)*100)/B109</f>
        <v>15.0959315078572</v>
      </c>
      <c r="M109" s="112">
        <f>N109-B108</f>
        <v>711.203046263507</v>
      </c>
      <c r="N109" s="108">
        <f>O109+P109+Q109+R109+S109+T109</f>
        <v>752.246226445606</v>
      </c>
      <c r="O109" s="109">
        <v>138</v>
      </c>
      <c r="P109" s="109">
        <v>127</v>
      </c>
      <c r="Q109" s="109">
        <v>43</v>
      </c>
      <c r="R109" s="109">
        <v>175.211616028165</v>
      </c>
      <c r="S109" s="109">
        <v>206.862746665511</v>
      </c>
      <c r="T109" s="109">
        <v>62.1718637519296</v>
      </c>
      <c r="U109" s="49">
        <v>81</v>
      </c>
      <c r="V109" s="110">
        <f>((O109+R109)*100)/N109</f>
        <v>41.6368477523779</v>
      </c>
      <c r="W109" s="110">
        <f>((P109+S109)*100)/N109</f>
        <v>44.3821098635518</v>
      </c>
      <c r="X109" s="110">
        <f>((Q109+T109)*100)/N109</f>
        <v>13.9810423840703</v>
      </c>
    </row>
    <row r="110" spans="1:24" s="168" customFormat="1" ht="22.500000" customHeight="1">
      <c r="A110" s="34">
        <v>108</v>
      </c>
      <c r="B110" s="108">
        <f>C110+D110+E110+F110+G110+H110</f>
        <v>61.4775529324847</v>
      </c>
      <c r="C110" s="109">
        <v>29</v>
      </c>
      <c r="D110" s="109">
        <v>3</v>
      </c>
      <c r="E110" s="109">
        <v>8</v>
      </c>
      <c r="F110" s="109">
        <v>11.3039752276235</v>
      </c>
      <c r="G110" s="109">
        <v>7.91278265933649</v>
      </c>
      <c r="H110" s="109">
        <v>2.26079504552471</v>
      </c>
      <c r="I110" s="78">
        <f>(100*B110)/N110</f>
        <v>11.0858841489277</v>
      </c>
      <c r="J110" s="110">
        <f>((C110+F110)*100)/B110</f>
        <v>65.5588475876484</v>
      </c>
      <c r="K110" s="110">
        <f>((D110+G110)*100)/B110</f>
        <v>17.7508409798305</v>
      </c>
      <c r="L110" s="110">
        <f>((E110+H110)*100)/B110</f>
        <v>16.6903114325211</v>
      </c>
      <c r="M110" s="112">
        <f>N110-B109</f>
        <v>405.081218505402</v>
      </c>
      <c r="N110" s="108">
        <f>O110+P110+Q110+R110+S110+T110</f>
        <v>554.557057484955</v>
      </c>
      <c r="O110" s="109">
        <v>138</v>
      </c>
      <c r="P110" s="109">
        <v>130</v>
      </c>
      <c r="Q110" s="109">
        <v>39</v>
      </c>
      <c r="R110" s="109">
        <v>98.344584480325</v>
      </c>
      <c r="S110" s="109">
        <v>109.648559707948</v>
      </c>
      <c r="T110" s="109">
        <v>39.5639132966824</v>
      </c>
      <c r="U110" s="49">
        <v>61</v>
      </c>
      <c r="V110" s="110">
        <f>((O110+R110)*100)/N110</f>
        <v>42.6186235104828</v>
      </c>
      <c r="W110" s="110">
        <f>((P110+S110)*100)/N110</f>
        <v>43.214409856185</v>
      </c>
      <c r="X110" s="110">
        <f>((Q110+T110)*100)/N110</f>
        <v>14.1669666333322</v>
      </c>
    </row>
    <row r="111" spans="1:24" s="168" customFormat="1" ht="22.500000" customHeight="1">
      <c r="A111" s="34">
        <v>109</v>
      </c>
      <c r="B111" s="108">
        <f>C111+D111+E111+F111+G111+H111</f>
        <v>0</v>
      </c>
      <c r="C111" s="109">
        <v>0</v>
      </c>
      <c r="D111" s="109">
        <v>0</v>
      </c>
      <c r="E111" s="109">
        <v>0</v>
      </c>
      <c r="F111" s="109">
        <v>0</v>
      </c>
      <c r="G111" s="109">
        <v>0</v>
      </c>
      <c r="H111" s="109">
        <v>0</v>
      </c>
      <c r="I111" s="78">
        <f>(100*B111)/N111</f>
        <v>0</v>
      </c>
      <c r="J111" s="110" t="e">
        <f>((C111+F111)*100)/B111</f>
        <v>#DIV/0!</v>
      </c>
      <c r="K111" s="110" t="e">
        <f>((D111+G111)*100)/B111</f>
        <v>#DIV/0!</v>
      </c>
      <c r="L111" s="110" t="e">
        <f>((E111+H111)*100)/B111</f>
        <v>#DIV/0!</v>
      </c>
      <c r="M111" s="112">
        <f>N111-B110</f>
        <v>338.17186375193</v>
      </c>
      <c r="N111" s="108">
        <f>O111+P111+Q111+R111+S111+T111</f>
        <v>399.649416684414</v>
      </c>
      <c r="O111" s="109">
        <v>143</v>
      </c>
      <c r="P111" s="109">
        <v>133</v>
      </c>
      <c r="Q111" s="109">
        <v>40</v>
      </c>
      <c r="R111" s="109">
        <v>33.9119256828707</v>
      </c>
      <c r="S111" s="109">
        <v>37.3031182511577</v>
      </c>
      <c r="T111" s="109">
        <v>12.4343727503859</v>
      </c>
      <c r="U111" s="49">
        <v>49</v>
      </c>
      <c r="V111" s="110">
        <f>((O111+R111)*100)/N111</f>
        <v>44.2667794064542</v>
      </c>
      <c r="W111" s="110">
        <f>((P111+S111)*100)/N111</f>
        <v>42.6131281922122</v>
      </c>
      <c r="X111" s="110">
        <f>((Q111+T111)*100)/N111</f>
        <v>13.1200924013336</v>
      </c>
    </row>
    <row r="112" spans="1:24" s="168" customFormat="1" ht="22.500000" customHeight="1">
      <c r="A112" s="34">
        <v>110</v>
      </c>
      <c r="B112" s="108">
        <f>C112+D112+E112+F112+G112+H112</f>
        <v>20.2607950455247</v>
      </c>
      <c r="C112" s="109">
        <v>15</v>
      </c>
      <c r="D112" s="109">
        <v>2</v>
      </c>
      <c r="E112" s="109">
        <v>1</v>
      </c>
      <c r="F112" s="109">
        <v>1.13039752276235</v>
      </c>
      <c r="G112" s="109">
        <v>0</v>
      </c>
      <c r="H112" s="109">
        <v>1.13039752276235</v>
      </c>
      <c r="I112" s="78">
        <f>(100*B112)/N112</f>
        <v>4.11627730548426</v>
      </c>
      <c r="J112" s="110">
        <f>((C112+F112)*100)/B112</f>
        <v>79.6138428256067</v>
      </c>
      <c r="K112" s="110">
        <f>((D112+G112)*100)/B112</f>
        <v>9.87128094186891</v>
      </c>
      <c r="L112" s="110">
        <f>((E112+H112)*100)/B112</f>
        <v>10.5148762325244</v>
      </c>
      <c r="M112" s="112">
        <f>N112-B111</f>
        <v>492.211616028165</v>
      </c>
      <c r="N112" s="108">
        <f>O112+P112+Q112+R112+S112+T112</f>
        <v>492.211616028165</v>
      </c>
      <c r="O112" s="109">
        <v>140</v>
      </c>
      <c r="P112" s="109">
        <v>133</v>
      </c>
      <c r="Q112" s="109">
        <v>44</v>
      </c>
      <c r="R112" s="109">
        <v>66.693453842979</v>
      </c>
      <c r="S112" s="109">
        <v>76.8670315478402</v>
      </c>
      <c r="T112" s="109">
        <v>31.6511306373459</v>
      </c>
      <c r="U112" s="49">
        <v>58</v>
      </c>
      <c r="V112" s="110">
        <f>((O112+R112)*100)/N112</f>
        <v>41.9928029149055</v>
      </c>
      <c r="W112" s="110">
        <f>((P112+S112)*100)/N112</f>
        <v>42.637561714072</v>
      </c>
      <c r="X112" s="110">
        <f>((Q112+T112)*100)/N112</f>
        <v>15.3696353710224</v>
      </c>
    </row>
    <row r="113" spans="1:24" s="168" customFormat="1" ht="22.500000" customHeight="1">
      <c r="A113" s="34">
        <v>111</v>
      </c>
      <c r="B113" s="108">
        <f>C113+D113+E113+F113+G113+H113</f>
        <v>86.6079504552471</v>
      </c>
      <c r="C113" s="109">
        <v>48</v>
      </c>
      <c r="D113" s="109">
        <v>1</v>
      </c>
      <c r="E113" s="109">
        <v>15</v>
      </c>
      <c r="F113" s="109">
        <v>18.0863603641977</v>
      </c>
      <c r="G113" s="109">
        <v>1.13039752276235</v>
      </c>
      <c r="H113" s="109">
        <v>3.39119256828707</v>
      </c>
      <c r="I113" s="78">
        <f>(100*B113)/N113</f>
        <v>16.4561211310549</v>
      </c>
      <c r="J113" s="110">
        <f>((C113+F113)*100)/B113</f>
        <v>76.3051890927109</v>
      </c>
      <c r="K113" s="110">
        <f>((D113+G113)*100)/B113</f>
        <v>2.45981750123875</v>
      </c>
      <c r="L113" s="110">
        <f>((E113+H113)*100)/B113</f>
        <v>21.2349934060503</v>
      </c>
      <c r="M113" s="112">
        <f>N113-B112</f>
        <v>506.035467393906</v>
      </c>
      <c r="N113" s="108">
        <f>O113+P113+Q113+R113+S113+T113</f>
        <v>526.296262439431</v>
      </c>
      <c r="O113" s="109">
        <v>117</v>
      </c>
      <c r="P113" s="109">
        <v>136</v>
      </c>
      <c r="Q113" s="109">
        <v>28</v>
      </c>
      <c r="R113" s="109">
        <v>91.5621993437509</v>
      </c>
      <c r="S113" s="109">
        <v>122.082932458334</v>
      </c>
      <c r="T113" s="109">
        <v>31.6511306373459</v>
      </c>
      <c r="U113" s="49">
        <v>60</v>
      </c>
      <c r="V113" s="110">
        <f>((O113+R113)*100)/N113</f>
        <v>39.6282881388985</v>
      </c>
      <c r="W113" s="110">
        <f>((P113+S113)*100)/N113</f>
        <v>49.0375765281129</v>
      </c>
      <c r="X113" s="110">
        <f>((Q113+T113)*100)/N113</f>
        <v>11.3341353329886</v>
      </c>
    </row>
    <row r="114" spans="1:24" s="168" customFormat="1" ht="22.500000" customHeight="1">
      <c r="A114" s="34">
        <v>112</v>
      </c>
      <c r="B114" s="108">
        <f>C114+D114+E114+F114+G114+H114</f>
        <v>114.302261274692</v>
      </c>
      <c r="C114" s="109">
        <v>49</v>
      </c>
      <c r="D114" s="109">
        <v>0</v>
      </c>
      <c r="E114" s="109">
        <v>2</v>
      </c>
      <c r="F114" s="109">
        <v>42.9551058649695</v>
      </c>
      <c r="G114" s="109">
        <v>10.1735777048612</v>
      </c>
      <c r="H114" s="109">
        <v>10.1735777048612</v>
      </c>
      <c r="I114" s="78">
        <f>(100*B114)/N114</f>
        <v>12.7634415936667</v>
      </c>
      <c r="J114" s="110">
        <f>((C114+F114)*100)/B114</f>
        <v>80.4490697204865</v>
      </c>
      <c r="K114" s="110">
        <f>((D114+G114)*100)/B114</f>
        <v>8.90059180930113</v>
      </c>
      <c r="L114" s="110">
        <f>((E114+H114)*100)/B114</f>
        <v>10.6503384702124</v>
      </c>
      <c r="M114" s="112">
        <f>N114-B113</f>
        <v>808.936252382722</v>
      </c>
      <c r="N114" s="108">
        <f>O114+P114+Q114+R114+S114+T114</f>
        <v>895.544202837969</v>
      </c>
      <c r="O114" s="109">
        <v>100</v>
      </c>
      <c r="P114" s="109">
        <v>133</v>
      </c>
      <c r="Q114" s="109">
        <v>25</v>
      </c>
      <c r="R114" s="109">
        <v>213.645131802085</v>
      </c>
      <c r="S114" s="109">
        <v>370.770387466053</v>
      </c>
      <c r="T114" s="109">
        <v>53.1286835698307</v>
      </c>
      <c r="U114" s="49">
        <v>88</v>
      </c>
      <c r="V114" s="110">
        <f>((O114+R114)*100)/N114</f>
        <v>35.0228532336145</v>
      </c>
      <c r="W114" s="110">
        <f>((P114+S114)*100)/N114</f>
        <v>56.2529896201227</v>
      </c>
      <c r="X114" s="110">
        <f>((Q114+T114)*100)/N114</f>
        <v>8.72415714626278</v>
      </c>
    </row>
    <row r="115" spans="1:24" s="168" customFormat="1" ht="22.500000" customHeight="1">
      <c r="A115" s="34">
        <v>113</v>
      </c>
      <c r="B115" s="108">
        <f>C115+D115+E115+F115+G115+H115</f>
        <v>1</v>
      </c>
      <c r="C115" s="109">
        <v>1</v>
      </c>
      <c r="D115" s="109">
        <v>0</v>
      </c>
      <c r="E115" s="109">
        <v>0</v>
      </c>
      <c r="F115" s="109">
        <v>0</v>
      </c>
      <c r="G115" s="109">
        <v>0</v>
      </c>
      <c r="H115" s="109">
        <v>0</v>
      </c>
      <c r="I115" s="78">
        <f>(100*B115)/N115</f>
        <v>0.373437558071634</v>
      </c>
      <c r="J115" s="110">
        <f>((C115+F115)*100)/B115</f>
        <v>100</v>
      </c>
      <c r="K115" s="110">
        <f>((D115+G115)*100)/B115</f>
        <v>0</v>
      </c>
      <c r="L115" s="110">
        <f>((E115+H115)*100)/B115</f>
        <v>0</v>
      </c>
      <c r="M115" s="112">
        <f>N115-B114</f>
        <v>153.480123861882</v>
      </c>
      <c r="N115" s="108">
        <f>O115+P115+Q115+R115+S115+T115</f>
        <v>267.782385136574</v>
      </c>
      <c r="O115" s="109">
        <v>101</v>
      </c>
      <c r="P115" s="109">
        <v>134</v>
      </c>
      <c r="Q115" s="109">
        <v>26</v>
      </c>
      <c r="R115" s="109">
        <v>1.13039752276235</v>
      </c>
      <c r="S115" s="109">
        <v>5.65198761381178</v>
      </c>
      <c r="T115" s="109">
        <v>0</v>
      </c>
      <c r="U115" s="49">
        <v>38</v>
      </c>
      <c r="V115" s="110">
        <f>((O115+R115)*100)/N115</f>
        <v>38.1393262557856</v>
      </c>
      <c r="W115" s="110">
        <f>((P115+S115)*100)/N115</f>
        <v>52.1512972343519</v>
      </c>
      <c r="X115" s="110">
        <f>((Q115+T115)*100)/N115</f>
        <v>9.70937650986248</v>
      </c>
    </row>
    <row r="116" spans="1:24" s="168" customFormat="1" ht="22.500000" customHeight="1">
      <c r="A116" s="34">
        <v>114</v>
      </c>
      <c r="B116" s="108">
        <f>C116+D116+E116+F116+G116+H116</f>
        <v>12.6519876138118</v>
      </c>
      <c r="C116" s="109">
        <v>4</v>
      </c>
      <c r="D116" s="109">
        <v>2</v>
      </c>
      <c r="E116" s="109">
        <v>1</v>
      </c>
      <c r="F116" s="109">
        <v>5.65198761381178</v>
      </c>
      <c r="G116" s="109">
        <v>0</v>
      </c>
      <c r="H116" s="109">
        <v>0</v>
      </c>
      <c r="I116" s="78">
        <f>(100*B116)/N116</f>
        <v>3.51362321355004</v>
      </c>
      <c r="J116" s="110">
        <f>((C116+F116)*100)/B116</f>
        <v>76.2883106467399</v>
      </c>
      <c r="K116" s="110">
        <f>((D116+G116)*100)/B116</f>
        <v>15.8077929021734</v>
      </c>
      <c r="L116" s="110">
        <f>((E116+H116)*100)/B116</f>
        <v>7.90389645108671</v>
      </c>
      <c r="M116" s="112">
        <f>N116-B115</f>
        <v>359.0837894348</v>
      </c>
      <c r="N116" s="108">
        <f>O116+P116+Q116+R116+S116+T116</f>
        <v>360.0837894348</v>
      </c>
      <c r="O116" s="109">
        <v>104</v>
      </c>
      <c r="P116" s="109">
        <v>134</v>
      </c>
      <c r="Q116" s="109">
        <v>26</v>
      </c>
      <c r="R116" s="109">
        <v>23.7383479780094</v>
      </c>
      <c r="S116" s="109">
        <v>67.8238513657414</v>
      </c>
      <c r="T116" s="109">
        <v>4.52159009104942</v>
      </c>
      <c r="U116" s="49">
        <v>46</v>
      </c>
      <c r="V116" s="110">
        <f>((O116+R116)*100)/N116</f>
        <v>35.4746177767435</v>
      </c>
      <c r="W116" s="110">
        <f>((P116+S116)*100)/N116</f>
        <v>56.0491355866175</v>
      </c>
      <c r="X116" s="110">
        <f>((Q116+T116)*100)/N116</f>
        <v>8.47624663663897</v>
      </c>
    </row>
    <row r="117" spans="1:24" s="168" customFormat="1" ht="22.500000" customHeight="1">
      <c r="A117" s="34">
        <v>115</v>
      </c>
      <c r="B117" s="108">
        <f>C117+D117+E117+F117+G117+H117</f>
        <v>105.954248888504</v>
      </c>
      <c r="C117" s="109">
        <v>9</v>
      </c>
      <c r="D117" s="109">
        <v>18</v>
      </c>
      <c r="E117" s="109">
        <v>10</v>
      </c>
      <c r="F117" s="109">
        <v>11.3039752276235</v>
      </c>
      <c r="G117" s="109">
        <v>44.0855033877319</v>
      </c>
      <c r="H117" s="109">
        <v>13.5647702731482</v>
      </c>
      <c r="I117" s="78">
        <f>(100*B117)/N117</f>
        <v>13.2309250080602</v>
      </c>
      <c r="J117" s="110">
        <f>((C117+F117)*100)/B117</f>
        <v>19.1629646197478</v>
      </c>
      <c r="K117" s="110">
        <f>((D117+G117)*100)/B117</f>
        <v>58.5965207049553</v>
      </c>
      <c r="L117" s="110">
        <f>((E117+H117)*100)/B117</f>
        <v>22.2405146752969</v>
      </c>
      <c r="M117" s="112">
        <f>N117-B116</f>
        <v>788.155581199078</v>
      </c>
      <c r="N117" s="108">
        <f>O117+P117+Q117+R117+S117+T117</f>
        <v>800.80756881289</v>
      </c>
      <c r="O117" s="109">
        <v>109</v>
      </c>
      <c r="P117" s="109">
        <v>107</v>
      </c>
      <c r="Q117" s="109">
        <v>23</v>
      </c>
      <c r="R117" s="109">
        <v>240.774672348381</v>
      </c>
      <c r="S117" s="109">
        <v>261.121827758104</v>
      </c>
      <c r="T117" s="109">
        <v>59.9110687064049</v>
      </c>
      <c r="U117" s="49">
        <v>99</v>
      </c>
      <c r="V117" s="110">
        <f>((O117+R117)*100)/N117</f>
        <v>43.6777430646521</v>
      </c>
      <c r="W117" s="110">
        <f>((P117+S117)*100)/N117</f>
        <v>45.9688247332383</v>
      </c>
      <c r="X117" s="110">
        <f>((Q117+T117)*100)/N117</f>
        <v>10.3534322021096</v>
      </c>
    </row>
    <row r="118" spans="1:24" s="168" customFormat="1" ht="22.500000" customHeight="1">
      <c r="A118" s="34">
        <v>116</v>
      </c>
      <c r="B118" s="108">
        <f>C118+D118+E118+F118+G118+H118</f>
        <v>20.2607950455247</v>
      </c>
      <c r="C118" s="109">
        <v>16</v>
      </c>
      <c r="D118" s="109">
        <v>2</v>
      </c>
      <c r="E118" s="109">
        <v>0</v>
      </c>
      <c r="F118" s="109">
        <v>2.26079504552471</v>
      </c>
      <c r="G118" s="109">
        <v>0</v>
      </c>
      <c r="H118" s="109">
        <v>0</v>
      </c>
      <c r="I118" s="78">
        <f>(100*B118)/N118</f>
        <v>6.92114801428625</v>
      </c>
      <c r="J118" s="110">
        <f>((C118+F118)*100)/B118</f>
        <v>90.1287190581311</v>
      </c>
      <c r="K118" s="110">
        <f>((D118+G118)*100)/B118</f>
        <v>9.87128094186891</v>
      </c>
      <c r="L118" s="110">
        <f>((E118+H118)*100)/B118</f>
        <v>0</v>
      </c>
      <c r="M118" s="112">
        <f>N118-B117</f>
        <v>186.78324211304</v>
      </c>
      <c r="N118" s="108">
        <f>O118+P118+Q118+R118+S118+T118</f>
        <v>292.737491001544</v>
      </c>
      <c r="O118" s="109">
        <v>109</v>
      </c>
      <c r="P118" s="109">
        <v>110</v>
      </c>
      <c r="Q118" s="109">
        <v>24</v>
      </c>
      <c r="R118" s="109">
        <v>30.5207331145836</v>
      </c>
      <c r="S118" s="109">
        <v>14.6951677959106</v>
      </c>
      <c r="T118" s="109">
        <v>4.52159009104942</v>
      </c>
      <c r="U118" s="49">
        <v>45</v>
      </c>
      <c r="V118" s="110">
        <f>((O118+R118)*100)/N118</f>
        <v>47.6606985450483</v>
      </c>
      <c r="W118" s="110">
        <f>((P118+S118)*100)/N118</f>
        <v>42.5962412157359</v>
      </c>
      <c r="X118" s="110">
        <f>((Q118+T118)*100)/N118</f>
        <v>9.74306023921583</v>
      </c>
    </row>
    <row r="119" spans="1:24" s="168" customFormat="1" ht="22.500000" customHeight="1">
      <c r="A119" s="34">
        <v>117</v>
      </c>
      <c r="B119" s="108">
        <f>C119+D119+E119+F119+G119+H119</f>
        <v>39.0431801820988</v>
      </c>
      <c r="C119" s="109">
        <v>6</v>
      </c>
      <c r="D119" s="109">
        <v>18</v>
      </c>
      <c r="E119" s="109">
        <v>6</v>
      </c>
      <c r="F119" s="109">
        <v>5.65198761381178</v>
      </c>
      <c r="G119" s="109">
        <v>1.13039752276235</v>
      </c>
      <c r="H119" s="109">
        <v>2.26079504552471</v>
      </c>
      <c r="I119" s="78">
        <f>(100*B119)/N119</f>
        <v>13.808985870178</v>
      </c>
      <c r="J119" s="110">
        <f>((C119+F119)*100)/B119</f>
        <v>29.843848681041</v>
      </c>
      <c r="K119" s="110">
        <f>((D119+G119)*100)/B119</f>
        <v>48.9980514741306</v>
      </c>
      <c r="L119" s="110">
        <f>((E119+H119)*100)/B119</f>
        <v>21.1580998448284</v>
      </c>
      <c r="M119" s="112">
        <f>N119-B118</f>
        <v>262.476695956019</v>
      </c>
      <c r="N119" s="108">
        <f>O119+P119+Q119+R119+S119+T119</f>
        <v>282.737491001544</v>
      </c>
      <c r="O119" s="109">
        <v>107</v>
      </c>
      <c r="P119" s="109">
        <v>104</v>
      </c>
      <c r="Q119" s="109">
        <v>22</v>
      </c>
      <c r="R119" s="109">
        <v>31.6511306373459</v>
      </c>
      <c r="S119" s="109">
        <v>13.5647702731482</v>
      </c>
      <c r="T119" s="109">
        <v>4.52159009104942</v>
      </c>
      <c r="U119" s="49">
        <v>50</v>
      </c>
      <c r="V119" s="110">
        <f>((O119+R119)*100)/N119</f>
        <v>49.0388204783882</v>
      </c>
      <c r="W119" s="110">
        <f>((P119+S119)*100)/N119</f>
        <v>41.5808918218442</v>
      </c>
      <c r="X119" s="110">
        <f>((Q119+T119)*100)/N119</f>
        <v>9.38028769976764</v>
      </c>
    </row>
    <row r="120" spans="1:24" s="168" customFormat="1" ht="22.500000" customHeight="1">
      <c r="A120" s="34">
        <v>118</v>
      </c>
      <c r="B120" s="108">
        <f>C120+D120+E120+F120+G120+H120</f>
        <v>100.999143023534</v>
      </c>
      <c r="C120" s="109">
        <v>61</v>
      </c>
      <c r="D120" s="109">
        <v>6</v>
      </c>
      <c r="E120" s="109">
        <v>8</v>
      </c>
      <c r="F120" s="109">
        <v>13.5647702731482</v>
      </c>
      <c r="G120" s="109">
        <v>5.65198761381178</v>
      </c>
      <c r="H120" s="109">
        <v>6.78238513657414</v>
      </c>
      <c r="I120" s="78">
        <f>(100*B120)/N120</f>
        <v>28.696807949408</v>
      </c>
      <c r="J120" s="110">
        <f>((C120+F120)*100)/B120</f>
        <v>73.8271316379126</v>
      </c>
      <c r="K120" s="110">
        <f>((D120+G120)*100)/B120</f>
        <v>11.536719287902</v>
      </c>
      <c r="L120" s="110">
        <f>((E120+H120)*100)/B120</f>
        <v>14.6361490741854</v>
      </c>
      <c r="M120" s="112">
        <f>N120-B119</f>
        <v>312.909354753473</v>
      </c>
      <c r="N120" s="108">
        <f>O120+P120+Q120+R120+S120+T120</f>
        <v>351.952534935572</v>
      </c>
      <c r="O120" s="109">
        <v>108</v>
      </c>
      <c r="P120" s="109">
        <v>101</v>
      </c>
      <c r="Q120" s="109">
        <v>22</v>
      </c>
      <c r="R120" s="109">
        <v>42.9551058649695</v>
      </c>
      <c r="S120" s="109">
        <v>57.6502736608802</v>
      </c>
      <c r="T120" s="109">
        <v>20.3471554097224</v>
      </c>
      <c r="U120" s="49">
        <v>70</v>
      </c>
      <c r="V120" s="110">
        <f>((O120+R120)*100)/N120</f>
        <v>42.8907568154334</v>
      </c>
      <c r="W120" s="110">
        <f>((P120+S120)*100)/N120</f>
        <v>45.077178855928</v>
      </c>
      <c r="X120" s="110">
        <f>((Q120+T120)*100)/N120</f>
        <v>12.0320643286386</v>
      </c>
    </row>
    <row r="121" spans="1:24" s="168" customFormat="1" ht="22.500000" customHeight="1">
      <c r="A121" s="34">
        <v>119</v>
      </c>
      <c r="B121" s="108">
        <f>C121+D121+E121+F121+G121+H121</f>
        <v>6.13039752276235</v>
      </c>
      <c r="C121" s="109">
        <v>4</v>
      </c>
      <c r="D121" s="109">
        <v>1</v>
      </c>
      <c r="E121" s="109">
        <v>0</v>
      </c>
      <c r="F121" s="109">
        <v>0</v>
      </c>
      <c r="G121" s="109">
        <v>1.13039752276235</v>
      </c>
      <c r="H121" s="109">
        <v>0</v>
      </c>
      <c r="I121" s="78">
        <f>(100*B121)/N121</f>
        <v>1.34517497699996</v>
      </c>
      <c r="J121" s="110">
        <f>((C121+F121)*100)/B121</f>
        <v>65.2486235215234</v>
      </c>
      <c r="K121" s="110">
        <f>((D121+G121)*100)/B121</f>
        <v>34.7513764784766</v>
      </c>
      <c r="L121" s="110">
        <f>((E121+H121)*100)/B121</f>
        <v>0</v>
      </c>
      <c r="M121" s="112">
        <f>N121-B120</f>
        <v>354.733206119214</v>
      </c>
      <c r="N121" s="108">
        <f>O121+P121+Q121+R121+S121+T121</f>
        <v>455.732349142748</v>
      </c>
      <c r="O121" s="109">
        <v>115</v>
      </c>
      <c r="P121" s="109">
        <v>109</v>
      </c>
      <c r="Q121" s="109">
        <v>26</v>
      </c>
      <c r="R121" s="109">
        <v>115.30054732176</v>
      </c>
      <c r="S121" s="109">
        <v>79.1278265933649</v>
      </c>
      <c r="T121" s="109">
        <v>11.3039752276235</v>
      </c>
      <c r="U121" s="49">
        <v>59</v>
      </c>
      <c r="V121" s="110">
        <f>((O121+R121)*100)/N121</f>
        <v>50.5341672047124</v>
      </c>
      <c r="W121" s="110">
        <f>((P121+S121)*100)/N121</f>
        <v>41.2803319639787</v>
      </c>
      <c r="X121" s="110">
        <f>((Q121+T121)*100)/N121</f>
        <v>8.18550083130896</v>
      </c>
    </row>
    <row r="122" spans="1:24" s="168" customFormat="1" ht="22.500000" customHeight="1">
      <c r="A122" s="34">
        <v>120</v>
      </c>
      <c r="B122" s="108">
        <f>C122+D122+E122+F122+G122+H122</f>
        <v>208.256510163196</v>
      </c>
      <c r="C122" s="109">
        <v>61</v>
      </c>
      <c r="D122" s="109">
        <v>4</v>
      </c>
      <c r="E122" s="109">
        <v>11</v>
      </c>
      <c r="F122" s="109">
        <v>120.952534935572</v>
      </c>
      <c r="G122" s="109">
        <v>6.78238513657414</v>
      </c>
      <c r="H122" s="109">
        <v>4.52159009104942</v>
      </c>
      <c r="I122" s="78">
        <f>(100*B122)/N122</f>
        <v>21.3611138054506</v>
      </c>
      <c r="J122" s="110">
        <f>((C122+F122)*100)/B122</f>
        <v>87.3694343542917</v>
      </c>
      <c r="K122" s="110">
        <f>((D122+G122)*100)/B122</f>
        <v>5.1774540580387</v>
      </c>
      <c r="L122" s="110">
        <f>((E122+H122)*100)/B122</f>
        <v>7.45311158766959</v>
      </c>
      <c r="M122" s="112">
        <f>N122-B121</f>
        <v>968.802426954095</v>
      </c>
      <c r="N122" s="108">
        <f>O122+P122+Q122+R122+S122+T122</f>
        <v>974.932824476857</v>
      </c>
      <c r="O122" s="109">
        <v>123</v>
      </c>
      <c r="P122" s="109">
        <v>107</v>
      </c>
      <c r="Q122" s="109">
        <v>26</v>
      </c>
      <c r="R122" s="109">
        <v>328.945679123845</v>
      </c>
      <c r="S122" s="109">
        <v>278.077790599539</v>
      </c>
      <c r="T122" s="109">
        <v>111.909354753473</v>
      </c>
      <c r="U122" s="49">
        <v>110</v>
      </c>
      <c r="V122" s="110">
        <f>((O122+R122)*100)/N122</f>
        <v>46.3565968625947</v>
      </c>
      <c r="W122" s="110">
        <f>((P122+S122)*100)/N122</f>
        <v>39.4978793340115</v>
      </c>
      <c r="X122" s="110">
        <f>((Q122+T122)*100)/N122</f>
        <v>14.1455238033938</v>
      </c>
    </row>
    <row r="123" spans="1:24" s="168" customFormat="1" ht="22.500000" customHeight="1">
      <c r="A123" s="34">
        <v>121</v>
      </c>
      <c r="B123" s="108">
        <f>C123+D123+E123+F123+G123+H123</f>
        <v>59.2607950455247</v>
      </c>
      <c r="C123" s="109">
        <v>53</v>
      </c>
      <c r="D123" s="109">
        <v>2</v>
      </c>
      <c r="E123" s="109">
        <v>2</v>
      </c>
      <c r="F123" s="109">
        <v>2.26079504552471</v>
      </c>
      <c r="G123" s="109">
        <v>0</v>
      </c>
      <c r="H123" s="109">
        <v>0</v>
      </c>
      <c r="I123" s="78">
        <f>(100*B123)/N123</f>
        <v>12.3663544490408</v>
      </c>
      <c r="J123" s="110">
        <f>((C123+F123)*100)/B123</f>
        <v>93.2501749311207</v>
      </c>
      <c r="K123" s="110">
        <f>((D123+G123)*100)/B123</f>
        <v>3.37491253443964</v>
      </c>
      <c r="L123" s="110">
        <f>((E123+H123)*100)/B123</f>
        <v>3.37491253443964</v>
      </c>
      <c r="M123" s="112">
        <f>N123-B122</f>
        <v>270.953391912038</v>
      </c>
      <c r="N123" s="108">
        <f>O123+P123+Q123+R123+S123+T123</f>
        <v>479.209902075233</v>
      </c>
      <c r="O123" s="109">
        <v>124</v>
      </c>
      <c r="P123" s="109">
        <v>103</v>
      </c>
      <c r="Q123" s="109">
        <v>25</v>
      </c>
      <c r="R123" s="109">
        <v>76.8670315478402</v>
      </c>
      <c r="S123" s="109">
        <v>102.866174571374</v>
      </c>
      <c r="T123" s="109">
        <v>47.4766959560189</v>
      </c>
      <c r="U123" s="49">
        <v>77</v>
      </c>
      <c r="V123" s="110">
        <f>((O123+R123)*100)/N123</f>
        <v>41.9162940243888</v>
      </c>
      <c r="W123" s="110">
        <f>((P123+S123)*100)/N123</f>
        <v>42.9594993091471</v>
      </c>
      <c r="X123" s="110">
        <f>((Q123+T123)*100)/N123</f>
        <v>15.1242066664642</v>
      </c>
    </row>
    <row r="124" spans="1:24" s="168" customFormat="1" ht="22.500000" customHeight="1">
      <c r="A124" s="34">
        <v>122</v>
      </c>
      <c r="B124" s="108">
        <f>C124+D124+E124+F124+G124+H124</f>
        <v>4</v>
      </c>
      <c r="C124" s="109">
        <v>4</v>
      </c>
      <c r="D124" s="109">
        <v>0</v>
      </c>
      <c r="E124" s="109">
        <v>0</v>
      </c>
      <c r="F124" s="109">
        <v>0</v>
      </c>
      <c r="G124" s="109">
        <v>0</v>
      </c>
      <c r="H124" s="109">
        <v>0</v>
      </c>
      <c r="I124" s="78">
        <f>(100*B124)/N124</f>
        <v>1.57318787557626</v>
      </c>
      <c r="J124" s="110">
        <f>((C124+F124)*100)/B124</f>
        <v>100</v>
      </c>
      <c r="K124" s="110">
        <f>((D124+G124)*100)/B124</f>
        <v>0</v>
      </c>
      <c r="L124" s="110">
        <f>((E124+H124)*100)/B124</f>
        <v>0</v>
      </c>
      <c r="M124" s="112">
        <f>N124-B123</f>
        <v>195</v>
      </c>
      <c r="N124" s="108">
        <f>O124+P124+Q124+R124+S124+T124</f>
        <v>254.260795045525</v>
      </c>
      <c r="O124" s="109">
        <v>124</v>
      </c>
      <c r="P124" s="109">
        <v>104</v>
      </c>
      <c r="Q124" s="109">
        <v>24</v>
      </c>
      <c r="R124" s="109">
        <v>2.26079504552471</v>
      </c>
      <c r="S124" s="109">
        <v>0</v>
      </c>
      <c r="T124" s="109">
        <v>0</v>
      </c>
      <c r="U124" s="49">
        <v>47</v>
      </c>
      <c r="V124" s="110">
        <f>((O124+R124)*100)/N124</f>
        <v>49.6579879815597</v>
      </c>
      <c r="W124" s="110">
        <f>((P124+S124)*100)/N124</f>
        <v>40.9028847649828</v>
      </c>
      <c r="X124" s="110">
        <f>((Q124+T124)*100)/N124</f>
        <v>9.43912725345756</v>
      </c>
    </row>
    <row r="125" spans="1:24" s="168" customFormat="1" ht="22.500000" customHeight="1">
      <c r="A125" s="34">
        <v>123</v>
      </c>
      <c r="B125" s="108">
        <f>C125+D125+E125+F125+G125+H125</f>
        <v>0</v>
      </c>
      <c r="C125" s="109">
        <v>0</v>
      </c>
      <c r="D125" s="109">
        <v>0</v>
      </c>
      <c r="E125" s="109">
        <v>0</v>
      </c>
      <c r="F125" s="109">
        <v>0</v>
      </c>
      <c r="G125" s="109">
        <v>0</v>
      </c>
      <c r="H125" s="109">
        <v>0</v>
      </c>
      <c r="I125" s="78">
        <f>(100*B125)/N125</f>
        <v>0</v>
      </c>
      <c r="J125" s="110" t="e">
        <f>((C125+F125)*100)/B125</f>
        <v>#DIV/0!</v>
      </c>
      <c r="K125" s="110" t="e">
        <f>((D125+G125)*100)/B125</f>
        <v>#DIV/0!</v>
      </c>
      <c r="L125" s="110" t="e">
        <f>((E125+H125)*100)/B125</f>
        <v>#DIV/0!</v>
      </c>
      <c r="M125" s="112">
        <f>N125-B124</f>
        <v>252</v>
      </c>
      <c r="N125" s="108">
        <f>O125+P125+Q125+R125+S125+T125</f>
        <v>256</v>
      </c>
      <c r="O125" s="109">
        <v>128</v>
      </c>
      <c r="P125" s="109">
        <v>106</v>
      </c>
      <c r="Q125" s="109">
        <v>22</v>
      </c>
      <c r="R125" s="109">
        <v>0</v>
      </c>
      <c r="S125" s="109">
        <v>0</v>
      </c>
      <c r="T125" s="109">
        <v>0</v>
      </c>
      <c r="U125" s="49">
        <v>45</v>
      </c>
      <c r="V125" s="110">
        <f>((O125+R125)*100)/N125</f>
        <v>50</v>
      </c>
      <c r="W125" s="110">
        <f>((P125+S125)*100)/N125</f>
        <v>41.40625</v>
      </c>
      <c r="X125" s="110">
        <f>((Q125+T125)*100)/N125</f>
        <v>8.59375</v>
      </c>
    </row>
    <row r="126" spans="1:24" s="168" customFormat="1" ht="22.500000" customHeight="1">
      <c r="A126" s="34">
        <v>124</v>
      </c>
      <c r="B126" s="108">
        <f>C126+D126+E126+F126+G126+H126</f>
        <v>317.513877302857</v>
      </c>
      <c r="C126" s="109">
        <v>67</v>
      </c>
      <c r="D126" s="109">
        <v>8</v>
      </c>
      <c r="E126" s="109">
        <v>4</v>
      </c>
      <c r="F126" s="109">
        <v>143.560485390819</v>
      </c>
      <c r="G126" s="109">
        <v>39.5639132966824</v>
      </c>
      <c r="H126" s="109">
        <v>55.3894786153554</v>
      </c>
      <c r="I126" s="78">
        <f>(100*B126)/N126</f>
        <v>30.2677644083143</v>
      </c>
      <c r="J126" s="110">
        <f>((C126+F126)*100)/B126</f>
        <v>66.3153646005773</v>
      </c>
      <c r="K126" s="110">
        <f>((D126+G126)*100)/B126</f>
        <v>14.9801053423924</v>
      </c>
      <c r="L126" s="110">
        <f>((E126+H126)*100)/B126</f>
        <v>18.7045300570304</v>
      </c>
      <c r="M126" s="112">
        <f>N126-B125</f>
        <v>1049.01661391166</v>
      </c>
      <c r="N126" s="108">
        <f>O126+P126+Q126+R126+S126+T126</f>
        <v>1049.01661391166</v>
      </c>
      <c r="O126" s="109">
        <v>114</v>
      </c>
      <c r="P126" s="109">
        <v>102</v>
      </c>
      <c r="Q126" s="109">
        <v>18</v>
      </c>
      <c r="R126" s="109">
        <v>350.42323205633</v>
      </c>
      <c r="S126" s="109">
        <v>400.160723057874</v>
      </c>
      <c r="T126" s="109">
        <v>64.4326587974543</v>
      </c>
      <c r="U126" s="49">
        <v>99</v>
      </c>
      <c r="V126" s="110">
        <f>((O126+R126)*100)/N126</f>
        <v>44.2722475409184</v>
      </c>
      <c r="W126" s="110">
        <f>((P126+S126)*100)/N126</f>
        <v>47.8696634923041</v>
      </c>
      <c r="X126" s="110">
        <f>((Q126+T126)*100)/N126</f>
        <v>7.85808896677744</v>
      </c>
    </row>
    <row r="127" spans="1:24" s="168" customFormat="1" ht="22.500000" customHeight="1">
      <c r="A127" s="34">
        <v>125</v>
      </c>
      <c r="B127" s="108">
        <f>C127+D127+E127+F127+G127+H127</f>
        <v>1</v>
      </c>
      <c r="C127" s="109">
        <v>1</v>
      </c>
      <c r="D127" s="109">
        <v>0</v>
      </c>
      <c r="E127" s="109">
        <v>0</v>
      </c>
      <c r="F127" s="109">
        <v>0</v>
      </c>
      <c r="G127" s="109">
        <v>0</v>
      </c>
      <c r="H127" s="109">
        <v>0</v>
      </c>
      <c r="I127" s="78">
        <f>(100*B127)/N127</f>
        <v>0.413223140495868</v>
      </c>
      <c r="J127" s="110">
        <f>((C127+F127)*100)/B127</f>
        <v>100</v>
      </c>
      <c r="K127" s="110">
        <f>((D127+G127)*100)/B127</f>
        <v>0</v>
      </c>
      <c r="L127" s="110">
        <f>((E127+H127)*100)/B127</f>
        <v>0</v>
      </c>
      <c r="M127" s="112">
        <f>N127-B126</f>
        <v>-75.5138773028568</v>
      </c>
      <c r="N127" s="108">
        <f>O127+P127+Q127+R127+S127+T127</f>
        <v>242</v>
      </c>
      <c r="O127" s="109">
        <v>120</v>
      </c>
      <c r="P127" s="109">
        <v>104</v>
      </c>
      <c r="Q127" s="109">
        <v>18</v>
      </c>
      <c r="R127" s="109">
        <v>0</v>
      </c>
      <c r="S127" s="109">
        <v>0</v>
      </c>
      <c r="T127" s="109">
        <v>0</v>
      </c>
      <c r="U127" s="49">
        <v>43</v>
      </c>
      <c r="V127" s="110">
        <f>((O127+R127)*100)/N127</f>
        <v>49.5867768595041</v>
      </c>
      <c r="W127" s="110">
        <f>((P127+S127)*100)/N127</f>
        <v>42.9752066115703</v>
      </c>
      <c r="X127" s="110">
        <f>((Q127+T127)*100)/N127</f>
        <v>7.43801652892562</v>
      </c>
    </row>
    <row r="128" spans="1:24" s="168" customFormat="1" ht="22.500000" customHeight="1">
      <c r="A128" s="34">
        <v>126</v>
      </c>
      <c r="B128" s="108">
        <f>C128+D128+E128+F128+G128+H128</f>
        <v>0</v>
      </c>
      <c r="C128" s="109">
        <v>0</v>
      </c>
      <c r="D128" s="109">
        <v>0</v>
      </c>
      <c r="E128" s="109">
        <v>0</v>
      </c>
      <c r="F128" s="109">
        <v>0</v>
      </c>
      <c r="G128" s="109">
        <v>0</v>
      </c>
      <c r="H128" s="109">
        <v>0</v>
      </c>
      <c r="I128" s="78">
        <f>(100*B128)/N128</f>
        <v>0</v>
      </c>
      <c r="J128" s="110" t="e">
        <f>((C128+F128)*100)/B128</f>
        <v>#DIV/0!</v>
      </c>
      <c r="K128" s="110" t="e">
        <f>((D128+G128)*100)/B128</f>
        <v>#DIV/0!</v>
      </c>
      <c r="L128" s="110" t="e">
        <f>((E128+H128)*100)/B128</f>
        <v>#DIV/0!</v>
      </c>
      <c r="M128" s="112">
        <f>N128-B127</f>
        <v>243</v>
      </c>
      <c r="N128" s="108">
        <f>O128+P128+Q128+R128+S128+T128</f>
        <v>244</v>
      </c>
      <c r="O128" s="109">
        <v>118</v>
      </c>
      <c r="P128" s="109">
        <v>108</v>
      </c>
      <c r="Q128" s="109">
        <v>18</v>
      </c>
      <c r="R128" s="109">
        <v>0</v>
      </c>
      <c r="S128" s="109">
        <v>0</v>
      </c>
      <c r="T128" s="109">
        <v>0</v>
      </c>
      <c r="U128" s="49">
        <v>43</v>
      </c>
      <c r="V128" s="110">
        <f>((O128+R128)*100)/N128</f>
        <v>48.3606557377049</v>
      </c>
      <c r="W128" s="110">
        <f>((P128+S128)*100)/N128</f>
        <v>44.2622950819672</v>
      </c>
      <c r="X128" s="110">
        <f>((Q128+T128)*100)/N128</f>
        <v>7.37704918032787</v>
      </c>
    </row>
    <row r="129" spans="1:24" s="168" customFormat="1" ht="22.500000" customHeight="1">
      <c r="A129" s="34">
        <v>127</v>
      </c>
      <c r="B129" s="108">
        <f>C129+D129+E129+F129+G129+H129</f>
        <v>10.3911925682871</v>
      </c>
      <c r="C129" s="109">
        <v>7</v>
      </c>
      <c r="D129" s="109">
        <v>0</v>
      </c>
      <c r="E129" s="109">
        <v>0</v>
      </c>
      <c r="F129" s="109">
        <v>3.39119256828707</v>
      </c>
      <c r="G129" s="109">
        <v>0</v>
      </c>
      <c r="H129" s="109">
        <v>0</v>
      </c>
      <c r="I129" s="78">
        <f>(100*B129)/N129</f>
        <v>3.57728957708208</v>
      </c>
      <c r="J129" s="110">
        <f>((C129+F129)*100)/B129</f>
        <v>100</v>
      </c>
      <c r="K129" s="110">
        <f>((D129+G129)*100)/B129</f>
        <v>0</v>
      </c>
      <c r="L129" s="110">
        <f>((E129+H129)*100)/B129</f>
        <v>0</v>
      </c>
      <c r="M129" s="112">
        <f>N129-B128</f>
        <v>290.476695956019</v>
      </c>
      <c r="N129" s="108">
        <f>O129+P129+Q129+R129+S129+T129</f>
        <v>290.476695956019</v>
      </c>
      <c r="O129" s="109">
        <v>115</v>
      </c>
      <c r="P129" s="109">
        <v>110</v>
      </c>
      <c r="Q129" s="109">
        <v>18</v>
      </c>
      <c r="R129" s="109">
        <v>18.0863603641977</v>
      </c>
      <c r="S129" s="109">
        <v>23.7383479780094</v>
      </c>
      <c r="T129" s="109">
        <v>5.65198761381178</v>
      </c>
      <c r="U129" s="49">
        <v>44</v>
      </c>
      <c r="V129" s="110">
        <f>((O129+R129)*100)/N129</f>
        <v>45.8165361342269</v>
      </c>
      <c r="W129" s="110">
        <f>((P129+S129)*100)/N129</f>
        <v>46.0409904959325</v>
      </c>
      <c r="X129" s="110">
        <f>((Q129+T129)*100)/N129</f>
        <v>8.14247336984063</v>
      </c>
    </row>
    <row r="130" spans="1:24" s="168" customFormat="1" ht="22.500000" customHeight="1">
      <c r="A130" s="34">
        <v>128</v>
      </c>
      <c r="B130" s="108">
        <f>C130+D130+E130+F130+G130+H130</f>
        <v>47.9991430235341</v>
      </c>
      <c r="C130" s="109">
        <v>19</v>
      </c>
      <c r="D130" s="109">
        <v>2</v>
      </c>
      <c r="E130" s="109">
        <v>1</v>
      </c>
      <c r="F130" s="109">
        <v>23.7383479780094</v>
      </c>
      <c r="G130" s="109">
        <v>1.13039752276235</v>
      </c>
      <c r="H130" s="109">
        <v>1.13039752276235</v>
      </c>
      <c r="I130" s="78">
        <f>(100*B130)/N130</f>
        <v>6.89442575190528</v>
      </c>
      <c r="J130" s="110">
        <f>((C130+F130)*100)/B130</f>
        <v>89.0398146422212</v>
      </c>
      <c r="K130" s="110">
        <f>((D130+G130)*100)/B130</f>
        <v>6.52177794346767</v>
      </c>
      <c r="L130" s="110">
        <f>((E130+H130)*100)/B130</f>
        <v>4.43840741431115</v>
      </c>
      <c r="M130" s="112">
        <f>N130-B129</f>
        <v>685.810996718754</v>
      </c>
      <c r="N130" s="108">
        <f>O130+P130+Q130+R130+S130+T130</f>
        <v>696.202189287041</v>
      </c>
      <c r="O130" s="109">
        <v>113</v>
      </c>
      <c r="P130" s="109">
        <v>104</v>
      </c>
      <c r="Q130" s="109">
        <v>18</v>
      </c>
      <c r="R130" s="109">
        <v>192.1675788696</v>
      </c>
      <c r="S130" s="109">
        <v>219.297119415897</v>
      </c>
      <c r="T130" s="109">
        <v>49.7374910015437</v>
      </c>
      <c r="U130" s="49">
        <v>70</v>
      </c>
      <c r="V130" s="110">
        <f>((O130+R130)*100)/N130</f>
        <v>43.833182883569</v>
      </c>
      <c r="W130" s="110">
        <f>((P130+S130)*100)/N130</f>
        <v>46.4372454425884</v>
      </c>
      <c r="X130" s="110">
        <f>((Q130+T130)*100)/N130</f>
        <v>9.72957167384256</v>
      </c>
    </row>
    <row r="131" spans="1:24" s="168" customFormat="1" ht="22.500000" customHeight="1">
      <c r="A131" s="34">
        <v>129</v>
      </c>
      <c r="B131" s="108">
        <f>C131+D131+E131+F131+G131+H131</f>
        <v>21.5215900910494</v>
      </c>
      <c r="C131" s="109">
        <v>13</v>
      </c>
      <c r="D131" s="109">
        <v>4</v>
      </c>
      <c r="E131" s="109">
        <v>0</v>
      </c>
      <c r="F131" s="109">
        <v>2.26079504552471</v>
      </c>
      <c r="G131" s="109">
        <v>2.26079504552471</v>
      </c>
      <c r="H131" s="109">
        <v>0</v>
      </c>
      <c r="I131" s="78">
        <f>(100*B131)/N131</f>
        <v>5.96101704587261</v>
      </c>
      <c r="J131" s="110">
        <f>((C131+F131)*100)/B131</f>
        <v>70.9092357068519</v>
      </c>
      <c r="K131" s="110">
        <f>((D131+G131)*100)/B131</f>
        <v>29.0907642931481</v>
      </c>
      <c r="L131" s="110">
        <f>((E131+H131)*100)/B131</f>
        <v>0</v>
      </c>
      <c r="M131" s="112">
        <f>N131-B130</f>
        <v>313.039752276236</v>
      </c>
      <c r="N131" s="108">
        <f>O131+P131+Q131+R131+S131+T131</f>
        <v>361.03889529977</v>
      </c>
      <c r="O131" s="109">
        <v>104</v>
      </c>
      <c r="P131" s="109">
        <v>99</v>
      </c>
      <c r="Q131" s="109">
        <v>19</v>
      </c>
      <c r="R131" s="109">
        <v>36.1727207283954</v>
      </c>
      <c r="S131" s="109">
        <v>90.4318018209885</v>
      </c>
      <c r="T131" s="109">
        <v>12.4343727503859</v>
      </c>
      <c r="U131" s="49">
        <v>51</v>
      </c>
      <c r="V131" s="110">
        <f>((O131+R131)*100)/N131</f>
        <v>38.8248254006013</v>
      </c>
      <c r="W131" s="110">
        <f>((P131+S131)*100)/N131</f>
        <v>52.4685302019063</v>
      </c>
      <c r="X131" s="110">
        <f>((Q131+T131)*100)/N131</f>
        <v>8.70664439749241</v>
      </c>
    </row>
    <row r="132" spans="1:24" s="168" customFormat="1" ht="22.500000" customHeight="1">
      <c r="A132" s="34">
        <v>130</v>
      </c>
      <c r="B132" s="108">
        <f>C132+D132+E132+F132+G132+H132</f>
        <v>24.5215900910494</v>
      </c>
      <c r="C132" s="109">
        <v>15</v>
      </c>
      <c r="D132" s="109">
        <v>4</v>
      </c>
      <c r="E132" s="109">
        <v>1</v>
      </c>
      <c r="F132" s="109">
        <v>2.26079504552471</v>
      </c>
      <c r="G132" s="109">
        <v>2.26079504552471</v>
      </c>
      <c r="H132" s="109">
        <v>0</v>
      </c>
      <c r="I132" s="78">
        <f>(100*B132)/N132</f>
        <v>7.81382834574324</v>
      </c>
      <c r="J132" s="110">
        <f>((C132+F132)*100)/B132</f>
        <v>70.390194850476</v>
      </c>
      <c r="K132" s="110">
        <f>((D132+G132)*100)/B132</f>
        <v>25.5317661794288</v>
      </c>
      <c r="L132" s="110">
        <f>((E132+H132)*100)/B132</f>
        <v>4.07803897009521</v>
      </c>
      <c r="M132" s="112">
        <f>N132-B131</f>
        <v>292.301404298226</v>
      </c>
      <c r="N132" s="108">
        <f>O132+P132+Q132+R132+S132+T132</f>
        <v>313.822994389276</v>
      </c>
      <c r="O132" s="109">
        <v>104</v>
      </c>
      <c r="P132" s="109">
        <v>97</v>
      </c>
      <c r="Q132" s="109">
        <v>19</v>
      </c>
      <c r="R132" s="109">
        <v>47.4766959560189</v>
      </c>
      <c r="S132" s="109">
        <v>36.1727207283954</v>
      </c>
      <c r="T132" s="109">
        <v>10.1735777048612</v>
      </c>
      <c r="U132" s="49">
        <v>60</v>
      </c>
      <c r="V132" s="110">
        <f>((O132+R132)*100)/N132</f>
        <v>48.268195340754</v>
      </c>
      <c r="W132" s="110">
        <f>((P132+S132)*100)/N132</f>
        <v>42.4356159712134</v>
      </c>
      <c r="X132" s="110">
        <f>((Q132+T132)*100)/N132</f>
        <v>9.29618868803266</v>
      </c>
    </row>
    <row r="133" spans="1:24" s="168" customFormat="1" ht="22.500000" customHeight="1">
      <c r="A133" s="34">
        <v>131</v>
      </c>
      <c r="B133" s="108">
        <f>C133+D133+E133+F133+G133+H133</f>
        <v>21.2607950455247</v>
      </c>
      <c r="C133" s="109">
        <v>17</v>
      </c>
      <c r="D133" s="109">
        <v>2</v>
      </c>
      <c r="E133" s="109">
        <v>0</v>
      </c>
      <c r="F133" s="109">
        <v>1.13039752276235</v>
      </c>
      <c r="G133" s="109">
        <v>1.13039752276235</v>
      </c>
      <c r="H133" s="109">
        <v>0</v>
      </c>
      <c r="I133" s="78">
        <f>(100*B133)/N133</f>
        <v>9.20556230025612</v>
      </c>
      <c r="J133" s="110">
        <f>((C133+F133)*100)/B133</f>
        <v>85.2761972632755</v>
      </c>
      <c r="K133" s="110">
        <f>((D133+G133)*100)/B133</f>
        <v>14.7238027367245</v>
      </c>
      <c r="L133" s="110">
        <f>((E133+H133)*100)/B133</f>
        <v>0</v>
      </c>
      <c r="M133" s="112">
        <f>N133-B132</f>
        <v>206.434372750386</v>
      </c>
      <c r="N133" s="108">
        <f>O133+P133+Q133+R133+S133+T133</f>
        <v>230.955962841435</v>
      </c>
      <c r="O133" s="109">
        <v>100</v>
      </c>
      <c r="P133" s="109">
        <v>93</v>
      </c>
      <c r="Q133" s="109">
        <v>21</v>
      </c>
      <c r="R133" s="109">
        <v>9.04318018209885</v>
      </c>
      <c r="S133" s="109">
        <v>2.26079504552471</v>
      </c>
      <c r="T133" s="109">
        <v>5.65198761381178</v>
      </c>
      <c r="U133" s="49">
        <v>46</v>
      </c>
      <c r="V133" s="110">
        <f>((O133+R133)*100)/N133</f>
        <v>47.2138406129671</v>
      </c>
      <c r="W133" s="110">
        <f>((P133+S133)*100)/N133</f>
        <v>41.2463024870792</v>
      </c>
      <c r="X133" s="110">
        <f>((Q133+T133)*100)/N133</f>
        <v>11.5398568999537</v>
      </c>
    </row>
    <row r="134" spans="1:24" s="168" customFormat="1" ht="22.500000" customHeight="1">
      <c r="A134" s="34">
        <v>132</v>
      </c>
      <c r="B134" s="108">
        <f>C134+D134+E134+F134+G134+H134</f>
        <v>41.6079504552471</v>
      </c>
      <c r="C134" s="109">
        <v>16</v>
      </c>
      <c r="D134" s="109">
        <v>3</v>
      </c>
      <c r="E134" s="109">
        <v>0</v>
      </c>
      <c r="F134" s="109">
        <v>10.1735777048612</v>
      </c>
      <c r="G134" s="109">
        <v>10.1735777048612</v>
      </c>
      <c r="H134" s="109">
        <v>2.26079504552471</v>
      </c>
      <c r="I134" s="78">
        <f>(100*B134)/N134</f>
        <v>10.5326669032492</v>
      </c>
      <c r="J134" s="110">
        <f>((C134+F134)*100)/B134</f>
        <v>62.9052318571017</v>
      </c>
      <c r="K134" s="110">
        <f>((D134+G134)*100)/B134</f>
        <v>31.6612031131658</v>
      </c>
      <c r="L134" s="110">
        <f>((E134+H134)*100)/B134</f>
        <v>5.43356502973245</v>
      </c>
      <c r="M134" s="112">
        <f>N134-B133</f>
        <v>373.776386301313</v>
      </c>
      <c r="N134" s="108">
        <f>O134+P134+Q134+R134+S134+T134</f>
        <v>395.037181346838</v>
      </c>
      <c r="O134" s="109">
        <v>95</v>
      </c>
      <c r="P134" s="109">
        <v>89</v>
      </c>
      <c r="Q134" s="109">
        <v>20</v>
      </c>
      <c r="R134" s="109">
        <v>80.2582241161273</v>
      </c>
      <c r="S134" s="109">
        <v>92.6925968665132</v>
      </c>
      <c r="T134" s="109">
        <v>18.0863603641977</v>
      </c>
      <c r="U134" s="49">
        <v>59</v>
      </c>
      <c r="V134" s="110">
        <f>((O134+R134)*100)/N134</f>
        <v>44.3649945857255</v>
      </c>
      <c r="W134" s="110">
        <f>((P134+S134)*100)/N134</f>
        <v>45.9937963933043</v>
      </c>
      <c r="X134" s="110">
        <f>((Q134+T134)*100)/N134</f>
        <v>9.64120902097018</v>
      </c>
    </row>
    <row r="135" spans="1:24" s="168" customFormat="1" ht="22.500000" customHeight="1">
      <c r="A135" s="34">
        <v>133</v>
      </c>
      <c r="B135" s="108">
        <f>C135+D135+E135+F135+G135+H135</f>
        <v>147.389478615355</v>
      </c>
      <c r="C135" s="109">
        <v>72</v>
      </c>
      <c r="D135" s="109">
        <v>8</v>
      </c>
      <c r="E135" s="109">
        <v>12</v>
      </c>
      <c r="F135" s="109">
        <v>46.3462984332566</v>
      </c>
      <c r="G135" s="109">
        <v>2.26079504552471</v>
      </c>
      <c r="H135" s="109">
        <v>6.78238513657414</v>
      </c>
      <c r="I135" s="78">
        <f>(100*B135)/N135</f>
        <v>26.9584622137031</v>
      </c>
      <c r="J135" s="110">
        <f>((C135+F135)*100)/B135</f>
        <v>80.294943401019</v>
      </c>
      <c r="K135" s="110">
        <f>((D135+G135)*100)/B135</f>
        <v>6.961687592574</v>
      </c>
      <c r="L135" s="110">
        <f>((E135+H135)*100)/B135</f>
        <v>12.743369006407</v>
      </c>
      <c r="M135" s="112">
        <f>N135-B134</f>
        <v>505.120113805171</v>
      </c>
      <c r="N135" s="108">
        <f>O135+P135+Q135+R135+S135+T135</f>
        <v>546.728064260419</v>
      </c>
      <c r="O135" s="109">
        <v>107</v>
      </c>
      <c r="P135" s="109">
        <v>88</v>
      </c>
      <c r="Q135" s="109">
        <v>16</v>
      </c>
      <c r="R135" s="109">
        <v>123.213329981096</v>
      </c>
      <c r="S135" s="109">
        <v>181.994001164739</v>
      </c>
      <c r="T135" s="109">
        <v>30.5207331145836</v>
      </c>
      <c r="U135" s="49">
        <v>94</v>
      </c>
      <c r="V135" s="110">
        <f>((O135+R135)*100)/N135</f>
        <v>42.1074653068185</v>
      </c>
      <c r="W135" s="110">
        <f>((P135+S135)*100)/N135</f>
        <v>49.3836001504644</v>
      </c>
      <c r="X135" s="110">
        <f>((Q135+T135)*100)/N135</f>
        <v>8.50893454271716</v>
      </c>
    </row>
    <row r="136" spans="1:24" s="168" customFormat="1" ht="22.500000" customHeight="1">
      <c r="A136" s="34">
        <v>134</v>
      </c>
      <c r="B136" s="108">
        <f>C136+D136+E136+F136+G136+H136</f>
        <v>2</v>
      </c>
      <c r="C136" s="109">
        <v>2</v>
      </c>
      <c r="D136" s="109">
        <v>0</v>
      </c>
      <c r="E136" s="109">
        <v>0</v>
      </c>
      <c r="F136" s="109">
        <v>0</v>
      </c>
      <c r="G136" s="109">
        <v>0</v>
      </c>
      <c r="H136" s="109">
        <v>0</v>
      </c>
      <c r="I136" s="78">
        <f>(100*B136)/N136</f>
        <v>0.942237118998376</v>
      </c>
      <c r="J136" s="110">
        <f>((C136+F136)*100)/B136</f>
        <v>100</v>
      </c>
      <c r="K136" s="110">
        <f>((D136+G136)*100)/B136</f>
        <v>0</v>
      </c>
      <c r="L136" s="110">
        <f>((E136+H136)*100)/B136</f>
        <v>0</v>
      </c>
      <c r="M136" s="112">
        <f>N136-B135</f>
        <v>64.8713164301693</v>
      </c>
      <c r="N136" s="108">
        <f>O136+P136+Q136+R136+S136+T136</f>
        <v>212.260795045525</v>
      </c>
      <c r="O136" s="109">
        <v>109</v>
      </c>
      <c r="P136" s="109">
        <v>86</v>
      </c>
      <c r="Q136" s="109">
        <v>15</v>
      </c>
      <c r="R136" s="109">
        <v>2.26079504552471</v>
      </c>
      <c r="S136" s="109">
        <v>0</v>
      </c>
      <c r="T136" s="109">
        <v>0</v>
      </c>
      <c r="U136" s="49">
        <v>42</v>
      </c>
      <c r="V136" s="110">
        <f>((O136+R136)*100)/N136</f>
        <v>52.417025490582</v>
      </c>
      <c r="W136" s="110">
        <f>((P136+S136)*100)/N136</f>
        <v>40.5161961169302</v>
      </c>
      <c r="X136" s="110">
        <f>((Q136+T136)*100)/N136</f>
        <v>7.06677839248782</v>
      </c>
    </row>
    <row r="137" spans="1:24" s="168" customFormat="1" ht="22.500000" customHeight="1">
      <c r="A137" s="34">
        <v>135</v>
      </c>
      <c r="B137" s="108">
        <f>C137+D137+E137+F137+G137+H137</f>
        <v>55.6951677959106</v>
      </c>
      <c r="C137" s="109">
        <v>34</v>
      </c>
      <c r="D137" s="109">
        <v>6</v>
      </c>
      <c r="E137" s="109">
        <v>1</v>
      </c>
      <c r="F137" s="109">
        <v>11.3039752276235</v>
      </c>
      <c r="G137" s="109">
        <v>2.26079504552471</v>
      </c>
      <c r="H137" s="109">
        <v>1.13039752276235</v>
      </c>
      <c r="I137" s="78">
        <f>(100*B137)/N137</f>
        <v>11.2202477578893</v>
      </c>
      <c r="J137" s="110">
        <f>((C137+F137)*100)/B137</f>
        <v>81.342739452075</v>
      </c>
      <c r="K137" s="110">
        <f>((D137+G137)*100)/B137</f>
        <v>14.8321575684906</v>
      </c>
      <c r="L137" s="110">
        <f>((E137+H137)*100)/B137</f>
        <v>3.82510297943438</v>
      </c>
      <c r="M137" s="112">
        <f>N137-B136</f>
        <v>494.380908850696</v>
      </c>
      <c r="N137" s="108">
        <f>O137+P137+Q137+R137+S137+T137</f>
        <v>496.380908850696</v>
      </c>
      <c r="O137" s="109">
        <v>80</v>
      </c>
      <c r="P137" s="109">
        <v>83</v>
      </c>
      <c r="Q137" s="109">
        <v>18</v>
      </c>
      <c r="R137" s="109">
        <v>148.082075481868</v>
      </c>
      <c r="S137" s="109">
        <v>132.256510163195</v>
      </c>
      <c r="T137" s="109">
        <v>35.042323205633</v>
      </c>
      <c r="U137" s="49">
        <v>63</v>
      </c>
      <c r="V137" s="110">
        <f>((O137+R137)*100)/N137</f>
        <v>45.9490023518354</v>
      </c>
      <c r="W137" s="110">
        <f>((P137+S137)*100)/N137</f>
        <v>43.3651871627361</v>
      </c>
      <c r="X137" s="110">
        <f>((Q137+T137)*100)/N137</f>
        <v>10.6858104854285</v>
      </c>
    </row>
    <row r="138" spans="1:24" s="168" customFormat="1" ht="22.500000" customHeight="1">
      <c r="A138" s="34">
        <v>136</v>
      </c>
      <c r="B138" s="108">
        <f>C138+D138+E138+F138+G138+H138</f>
        <v>149.953391912038</v>
      </c>
      <c r="C138" s="109">
        <v>49</v>
      </c>
      <c r="D138" s="109">
        <v>1</v>
      </c>
      <c r="E138" s="109">
        <v>5</v>
      </c>
      <c r="F138" s="109">
        <v>79.1278265933649</v>
      </c>
      <c r="G138" s="109">
        <v>12.4343727503859</v>
      </c>
      <c r="H138" s="109">
        <v>3.39119256828707</v>
      </c>
      <c r="I138" s="78">
        <f>(100*B138)/N138</f>
        <v>16.2077849163561</v>
      </c>
      <c r="J138" s="110">
        <f>((C138+F138)*100)/B138</f>
        <v>85.4451006140123</v>
      </c>
      <c r="K138" s="110">
        <f>((D138+G138)*100)/B138</f>
        <v>8.95903225601356</v>
      </c>
      <c r="L138" s="110">
        <f>((E138+H138)*100)/B138</f>
        <v>5.59586712997417</v>
      </c>
      <c r="M138" s="112">
        <f>N138-B137</f>
        <v>869.498451726472</v>
      </c>
      <c r="N138" s="108">
        <f>O138+P138+Q138+R138+S138+T138</f>
        <v>925.193619522383</v>
      </c>
      <c r="O138" s="109">
        <v>72</v>
      </c>
      <c r="P138" s="109">
        <v>114</v>
      </c>
      <c r="Q138" s="109">
        <v>18</v>
      </c>
      <c r="R138" s="109">
        <v>231.731492166283</v>
      </c>
      <c r="S138" s="109">
        <v>426.159866081408</v>
      </c>
      <c r="T138" s="109">
        <v>63.3022612746919</v>
      </c>
      <c r="U138" s="49">
        <v>81</v>
      </c>
      <c r="V138" s="110">
        <f>((O138+R138)*100)/N138</f>
        <v>32.828965284378</v>
      </c>
      <c r="W138" s="110">
        <f>((P138+S138)*100)/N138</f>
        <v>58.3834404694941</v>
      </c>
      <c r="X138" s="110">
        <f>((Q138+T138)*100)/N138</f>
        <v>8.78759424612796</v>
      </c>
    </row>
    <row r="139" spans="1:24" s="168" customFormat="1" ht="22.500000" customHeight="1">
      <c r="A139" s="34">
        <v>137</v>
      </c>
      <c r="B139" s="108">
        <f>C139+D139+E139+F139+G139+H139</f>
        <v>242.994858141205</v>
      </c>
      <c r="C139" s="109">
        <v>52</v>
      </c>
      <c r="D139" s="109">
        <v>25</v>
      </c>
      <c r="E139" s="109">
        <v>10</v>
      </c>
      <c r="F139" s="109">
        <v>94.9533919120379</v>
      </c>
      <c r="G139" s="109">
        <v>50.867888524306</v>
      </c>
      <c r="H139" s="109">
        <v>10.1735777048612</v>
      </c>
      <c r="I139" s="78">
        <f>(100*B139)/N139</f>
        <v>27.4361857374643</v>
      </c>
      <c r="J139" s="110">
        <f>((C139+F139)*100)/B139</f>
        <v>60.4759265427101</v>
      </c>
      <c r="K139" s="110">
        <f>((D139+G139)*100)/B139</f>
        <v>31.2220139572743</v>
      </c>
      <c r="L139" s="110">
        <f>((E139+H139)*100)/B139</f>
        <v>8.30205950001554</v>
      </c>
      <c r="M139" s="112">
        <f>N139-B138</f>
        <v>735.719494495761</v>
      </c>
      <c r="N139" s="108">
        <f>O139+P139+Q139+R139+S139+T139</f>
        <v>885.672886407798</v>
      </c>
      <c r="O139" s="109">
        <v>76</v>
      </c>
      <c r="P139" s="109">
        <v>106</v>
      </c>
      <c r="Q139" s="109">
        <v>13</v>
      </c>
      <c r="R139" s="109">
        <v>218.166721893134</v>
      </c>
      <c r="S139" s="109">
        <v>429.551058649695</v>
      </c>
      <c r="T139" s="109">
        <v>42.9551058649695</v>
      </c>
      <c r="U139" s="49">
        <v>92</v>
      </c>
      <c r="V139" s="110">
        <f>((O139+R139)*100)/N139</f>
        <v>33.2139242837438</v>
      </c>
      <c r="W139" s="110">
        <f>((P139+S139)*100)/N139</f>
        <v>60.4682684621675</v>
      </c>
      <c r="X139" s="110">
        <f>((Q139+T139)*100)/N139</f>
        <v>6.3178072540888</v>
      </c>
    </row>
    <row r="140" spans="1:24" s="168" customFormat="1" ht="22.500000" customHeight="1">
      <c r="A140" s="34">
        <v>138</v>
      </c>
      <c r="B140" s="108">
        <f>C140+D140+E140+F140+G140+H140</f>
        <v>4</v>
      </c>
      <c r="C140" s="109">
        <v>4</v>
      </c>
      <c r="D140" s="109">
        <v>0</v>
      </c>
      <c r="E140" s="109">
        <v>0</v>
      </c>
      <c r="F140" s="109">
        <v>0</v>
      </c>
      <c r="G140" s="109">
        <v>0</v>
      </c>
      <c r="H140" s="109">
        <v>0</v>
      </c>
      <c r="I140" s="78">
        <f>(100*B140)/N140</f>
        <v>1.99739544581888</v>
      </c>
      <c r="J140" s="110">
        <f>((C140+F140)*100)/B140</f>
        <v>100</v>
      </c>
      <c r="K140" s="110">
        <f>((D140+G140)*100)/B140</f>
        <v>0</v>
      </c>
      <c r="L140" s="110">
        <f>((E140+H140)*100)/B140</f>
        <v>0</v>
      </c>
      <c r="M140" s="112">
        <f>N140-B139</f>
        <v>-42.7340630956804</v>
      </c>
      <c r="N140" s="108">
        <f>O140+P140+Q140+R140+S140+T140</f>
        <v>200.260795045525</v>
      </c>
      <c r="O140" s="109">
        <v>74</v>
      </c>
      <c r="P140" s="109">
        <v>110</v>
      </c>
      <c r="Q140" s="109">
        <v>14</v>
      </c>
      <c r="R140" s="109">
        <v>0</v>
      </c>
      <c r="S140" s="109">
        <v>2.26079504552471</v>
      </c>
      <c r="T140" s="109">
        <v>0</v>
      </c>
      <c r="U140" s="49">
        <v>40</v>
      </c>
      <c r="V140" s="110">
        <f>((O140+R140)*100)/N140</f>
        <v>36.9518157476494</v>
      </c>
      <c r="W140" s="110">
        <f>((P140+S140)*100)/N140</f>
        <v>56.0573001919846</v>
      </c>
      <c r="X140" s="110">
        <f>((Q140+T140)*100)/N140</f>
        <v>6.9908840603661</v>
      </c>
    </row>
    <row r="141" spans="1:24" s="168" customFormat="1" ht="22.500000" customHeight="1">
      <c r="A141" s="34">
        <v>139</v>
      </c>
      <c r="B141" s="108">
        <f>C141+D141+E141+F141+G141+H141</f>
        <v>29.5215900910494</v>
      </c>
      <c r="C141" s="109">
        <v>22</v>
      </c>
      <c r="D141" s="109">
        <v>3</v>
      </c>
      <c r="E141" s="109">
        <v>0</v>
      </c>
      <c r="F141" s="109">
        <v>2.26079504552471</v>
      </c>
      <c r="G141" s="109">
        <v>2.26079504552471</v>
      </c>
      <c r="H141" s="109">
        <v>0</v>
      </c>
      <c r="I141" s="78">
        <f>(100*B141)/N141</f>
        <v>11.7759716651956</v>
      </c>
      <c r="J141" s="110">
        <f>((C141+F141)*100)/B141</f>
        <v>82.1798384528084</v>
      </c>
      <c r="K141" s="110">
        <f>((D141+G141)*100)/B141</f>
        <v>17.8201615471916</v>
      </c>
      <c r="L141" s="110">
        <f>((E141+H141)*100)/B141</f>
        <v>0</v>
      </c>
      <c r="M141" s="112">
        <f>N141-B140</f>
        <v>246.693453842979</v>
      </c>
      <c r="N141" s="108">
        <f>O141+P141+Q141+R141+S141+T141</f>
        <v>250.693453842979</v>
      </c>
      <c r="O141" s="109">
        <v>63</v>
      </c>
      <c r="P141" s="109">
        <v>106</v>
      </c>
      <c r="Q141" s="109">
        <v>15</v>
      </c>
      <c r="R141" s="109">
        <v>23.7383479780094</v>
      </c>
      <c r="S141" s="109">
        <v>36.1727207283954</v>
      </c>
      <c r="T141" s="109">
        <v>6.78238513657414</v>
      </c>
      <c r="U141" s="49">
        <v>49</v>
      </c>
      <c r="V141" s="110">
        <f>((O141+R141)*100)/N141</f>
        <v>34.59936693534</v>
      </c>
      <c r="W141" s="110">
        <f>((P141+S141)*100)/N141</f>
        <v>56.7117802834393</v>
      </c>
      <c r="X141" s="110">
        <f>((Q141+T141)*100)/N141</f>
        <v>8.68885278122079</v>
      </c>
    </row>
    <row r="142" spans="1:24" s="168" customFormat="1" ht="22.500000" customHeight="1">
      <c r="A142" s="34">
        <v>140</v>
      </c>
      <c r="B142" s="108">
        <f>C142+D142+E142+F142+G142+H142</f>
        <v>150.910211729939</v>
      </c>
      <c r="C142" s="109">
        <v>57</v>
      </c>
      <c r="D142" s="109">
        <v>5</v>
      </c>
      <c r="E142" s="109">
        <v>3</v>
      </c>
      <c r="F142" s="109">
        <v>77.9974290706026</v>
      </c>
      <c r="G142" s="109">
        <v>4.52159009104942</v>
      </c>
      <c r="H142" s="109">
        <v>3.39119256828707</v>
      </c>
      <c r="I142" s="78">
        <f>(100*B142)/N142</f>
        <v>16.3365305686826</v>
      </c>
      <c r="J142" s="110">
        <f>((C142+F142)*100)/B142</f>
        <v>89.4554633003808</v>
      </c>
      <c r="K142" s="110">
        <f>((D142+G142)*100)/B142</f>
        <v>6.30944054872095</v>
      </c>
      <c r="L142" s="110">
        <f>((E142+H142)*100)/B142</f>
        <v>4.23509615089826</v>
      </c>
      <c r="M142" s="112">
        <f>N142-B141</f>
        <v>894.237656680947</v>
      </c>
      <c r="N142" s="108">
        <f>O142+P142+Q142+R142+S142+T142</f>
        <v>923.759246771996</v>
      </c>
      <c r="O142" s="109">
        <v>85</v>
      </c>
      <c r="P142" s="109">
        <v>106</v>
      </c>
      <c r="Q142" s="109">
        <v>24</v>
      </c>
      <c r="R142" s="109">
        <v>202.341156574461</v>
      </c>
      <c r="S142" s="109">
        <v>464.593381855328</v>
      </c>
      <c r="T142" s="109">
        <v>41.8247083422072</v>
      </c>
      <c r="U142" s="49">
        <v>92</v>
      </c>
      <c r="V142" s="110">
        <f>((O142+R142)*100)/N142</f>
        <v>31.1056325096124</v>
      </c>
      <c r="W142" s="110">
        <f>((P142+S142)*100)/N142</f>
        <v>61.7686246550951</v>
      </c>
      <c r="X142" s="110">
        <f>((Q142+T142)*100)/N142</f>
        <v>7.12574283529247</v>
      </c>
    </row>
    <row r="143" spans="1:24" s="168" customFormat="1" ht="22.500000" customHeight="1">
      <c r="A143" s="34">
        <v>141</v>
      </c>
      <c r="B143" s="108">
        <f>C143+D143+E143+F143+G143+H143</f>
        <v>20.0431801820988</v>
      </c>
      <c r="C143" s="109">
        <v>11</v>
      </c>
      <c r="D143" s="109">
        <v>0</v>
      </c>
      <c r="E143" s="109">
        <v>0</v>
      </c>
      <c r="F143" s="109">
        <v>7.91278265933649</v>
      </c>
      <c r="G143" s="109">
        <v>0</v>
      </c>
      <c r="H143" s="109">
        <v>1.13039752276235</v>
      </c>
      <c r="I143" s="78">
        <f>(100*B143)/N143</f>
        <v>5.55086545222467</v>
      </c>
      <c r="J143" s="110">
        <f>((C143+F143)*100)/B143</f>
        <v>94.3601887899409</v>
      </c>
      <c r="K143" s="110">
        <f>((D143+G143)*100)/B143</f>
        <v>0</v>
      </c>
      <c r="L143" s="110">
        <f>((E143+H143)*100)/B143</f>
        <v>5.63981121005908</v>
      </c>
      <c r="M143" s="112">
        <f>N143-B142</f>
        <v>210.17186375193</v>
      </c>
      <c r="N143" s="108">
        <f>O143+P143+Q143+R143+S143+T143</f>
        <v>361.082075481869</v>
      </c>
      <c r="O143" s="109">
        <v>81</v>
      </c>
      <c r="P143" s="109">
        <v>106</v>
      </c>
      <c r="Q143" s="109">
        <v>26</v>
      </c>
      <c r="R143" s="109">
        <v>61.0414662291672</v>
      </c>
      <c r="S143" s="109">
        <v>72.3454414567908</v>
      </c>
      <c r="T143" s="109">
        <v>14.6951677959106</v>
      </c>
      <c r="U143" s="49">
        <v>58</v>
      </c>
      <c r="V143" s="110">
        <f>((O143+R143)*100)/N143</f>
        <v>39.3377228818714</v>
      </c>
      <c r="W143" s="110">
        <f>((P143+S143)*100)/N143</f>
        <v>49.3919398294104</v>
      </c>
      <c r="X143" s="110">
        <f>((Q143+T143)*100)/N143</f>
        <v>11.2703372887182</v>
      </c>
    </row>
    <row r="144" spans="1:24" s="168" customFormat="1" ht="22.500000" customHeight="1">
      <c r="A144" s="34">
        <v>142</v>
      </c>
      <c r="B144" s="108">
        <f>C144+D144+E144+F144+G144+H144</f>
        <v>18.5215900910494</v>
      </c>
      <c r="C144" s="109">
        <v>12</v>
      </c>
      <c r="D144" s="109">
        <v>1</v>
      </c>
      <c r="E144" s="109">
        <v>1</v>
      </c>
      <c r="F144" s="109">
        <v>4.52159009104942</v>
      </c>
      <c r="G144" s="109">
        <v>0</v>
      </c>
      <c r="H144" s="109">
        <v>0</v>
      </c>
      <c r="I144" s="78">
        <f>(100*B144)/N144</f>
        <v>6.30458227398421</v>
      </c>
      <c r="J144" s="110">
        <f>((C144+F144)*100)/B144</f>
        <v>89.2017910440287</v>
      </c>
      <c r="K144" s="110">
        <f>((D144+G144)*100)/B144</f>
        <v>5.39910447798567</v>
      </c>
      <c r="L144" s="110">
        <f>((E144+H144)*100)/B144</f>
        <v>5.39910447798567</v>
      </c>
      <c r="M144" s="112">
        <f>N144-B143</f>
        <v>273.736634025078</v>
      </c>
      <c r="N144" s="108">
        <f>O144+P144+Q144+R144+S144+T144</f>
        <v>293.779814207177</v>
      </c>
      <c r="O144" s="109">
        <v>77</v>
      </c>
      <c r="P144" s="109">
        <v>107</v>
      </c>
      <c r="Q144" s="109">
        <v>25</v>
      </c>
      <c r="R144" s="109">
        <v>33.9119256828707</v>
      </c>
      <c r="S144" s="109">
        <v>38.4335157739201</v>
      </c>
      <c r="T144" s="109">
        <v>12.4343727503859</v>
      </c>
      <c r="U144" s="49">
        <v>58</v>
      </c>
      <c r="V144" s="110">
        <f>((O144+R144)*100)/N144</f>
        <v>37.7534195064384</v>
      </c>
      <c r="W144" s="110">
        <f>((P144+S144)*100)/N144</f>
        <v>49.5042575223902</v>
      </c>
      <c r="X144" s="110">
        <f>((Q144+T144)*100)/N144</f>
        <v>12.7423229711715</v>
      </c>
    </row>
    <row r="145" spans="1:24" s="168" customFormat="1" ht="22.500000" customHeight="1">
      <c r="A145" s="34">
        <v>143</v>
      </c>
      <c r="B145" s="108">
        <f>C145+D145+E145+F145+G145+H145</f>
        <v>22.9127826593365</v>
      </c>
      <c r="C145" s="109">
        <v>3</v>
      </c>
      <c r="D145" s="109">
        <v>11</v>
      </c>
      <c r="E145" s="109">
        <v>1</v>
      </c>
      <c r="F145" s="109">
        <v>1.13039752276235</v>
      </c>
      <c r="G145" s="109">
        <v>4.52159009104942</v>
      </c>
      <c r="H145" s="109">
        <v>2.26079504552471</v>
      </c>
      <c r="I145" s="78">
        <f>(100*B145)/N145</f>
        <v>8.22150012617303</v>
      </c>
      <c r="J145" s="110">
        <f>((C145+F145)*100)/B145</f>
        <v>18.0266080474486</v>
      </c>
      <c r="K145" s="110">
        <f>((D145+G145)*100)/B145</f>
        <v>67.7420561344377</v>
      </c>
      <c r="L145" s="110">
        <f>((E145+H145)*100)/B145</f>
        <v>14.2313358181138</v>
      </c>
      <c r="M145" s="112">
        <f>N145-B144</f>
        <v>260.17186375193</v>
      </c>
      <c r="N145" s="108">
        <f>O145+P145+Q145+R145+S145+T145</f>
        <v>278.693453842979</v>
      </c>
      <c r="O145" s="109">
        <v>81</v>
      </c>
      <c r="P145" s="109">
        <v>107</v>
      </c>
      <c r="Q145" s="109">
        <v>24</v>
      </c>
      <c r="R145" s="109">
        <v>30.5207331145836</v>
      </c>
      <c r="S145" s="109">
        <v>32.7815281601083</v>
      </c>
      <c r="T145" s="109">
        <v>3.39119256828707</v>
      </c>
      <c r="U145" s="49">
        <v>45</v>
      </c>
      <c r="V145" s="110">
        <f>((O145+R145)*100)/N145</f>
        <v>40.015555290874</v>
      </c>
      <c r="W145" s="110">
        <f>((P145+S145)*100)/N145</f>
        <v>50.1560141555617</v>
      </c>
      <c r="X145" s="110">
        <f>((Q145+T145)*100)/N145</f>
        <v>9.82843055356434</v>
      </c>
    </row>
    <row r="146" spans="1:24" s="168" customFormat="1" ht="22.500000" customHeight="1">
      <c r="A146" s="34">
        <v>144</v>
      </c>
      <c r="B146" s="108">
        <f>C146+D146+E146+F146+G146+H146</f>
        <v>5</v>
      </c>
      <c r="C146" s="109">
        <v>4</v>
      </c>
      <c r="D146" s="109">
        <v>1</v>
      </c>
      <c r="E146" s="109">
        <v>0</v>
      </c>
      <c r="F146" s="109">
        <v>0</v>
      </c>
      <c r="G146" s="109">
        <v>0</v>
      </c>
      <c r="H146" s="109">
        <v>0</v>
      </c>
      <c r="I146" s="78">
        <f>(100*B146)/N146</f>
        <v>2.27272727272727</v>
      </c>
      <c r="J146" s="110">
        <f>((C146+F146)*100)/B146</f>
        <v>80</v>
      </c>
      <c r="K146" s="110">
        <f>((D146+G146)*100)/B146</f>
        <v>20</v>
      </c>
      <c r="L146" s="110">
        <f>((E146+H146)*100)/B146</f>
        <v>0</v>
      </c>
      <c r="M146" s="112">
        <f>N146-B145</f>
        <v>197.087217340664</v>
      </c>
      <c r="N146" s="108">
        <f>O146+P146+Q146+R146+S146+T146</f>
        <v>220</v>
      </c>
      <c r="O146" s="109">
        <v>86</v>
      </c>
      <c r="P146" s="109">
        <v>109</v>
      </c>
      <c r="Q146" s="109">
        <v>25</v>
      </c>
      <c r="R146" s="109">
        <v>0</v>
      </c>
      <c r="S146" s="109">
        <v>0</v>
      </c>
      <c r="T146" s="109">
        <v>0</v>
      </c>
      <c r="U146" s="49">
        <v>45</v>
      </c>
      <c r="V146" s="110">
        <f>((O146+R146)*100)/N146</f>
        <v>39.0909090909091</v>
      </c>
      <c r="W146" s="110">
        <f>((P146+S146)*100)/N146</f>
        <v>49.5454545454545</v>
      </c>
      <c r="X146" s="110">
        <f>((Q146+T146)*100)/N146</f>
        <v>11.3636363636364</v>
      </c>
    </row>
    <row r="147" spans="1:24" s="168" customFormat="1" ht="22.500000" customHeight="1">
      <c r="A147" s="34">
        <v>145</v>
      </c>
      <c r="B147" s="108">
        <f>C147+D147+E147+F147+G147+H147</f>
        <v>39.0431801820989</v>
      </c>
      <c r="C147" s="109">
        <v>30</v>
      </c>
      <c r="D147" s="109">
        <v>0</v>
      </c>
      <c r="E147" s="109">
        <v>0</v>
      </c>
      <c r="F147" s="109">
        <v>6.78238513657414</v>
      </c>
      <c r="G147" s="109">
        <v>2.26079504552471</v>
      </c>
      <c r="H147" s="109">
        <v>0</v>
      </c>
      <c r="I147" s="78">
        <f>(100*B147)/N147</f>
        <v>8.79106296227412</v>
      </c>
      <c r="J147" s="110">
        <f>((C147+F147)*100)/B147</f>
        <v>94.2095007758582</v>
      </c>
      <c r="K147" s="110">
        <f>((D147+G147)*100)/B147</f>
        <v>5.79049922414178</v>
      </c>
      <c r="L147" s="110">
        <f>((E147+H147)*100)/B147</f>
        <v>0</v>
      </c>
      <c r="M147" s="112">
        <f>N147-B146</f>
        <v>439.123541711035</v>
      </c>
      <c r="N147" s="108">
        <f>O147+P147+Q147+R147+S147+T147</f>
        <v>444.123541711035</v>
      </c>
      <c r="O147" s="109">
        <v>96</v>
      </c>
      <c r="P147" s="109">
        <v>112</v>
      </c>
      <c r="Q147" s="109">
        <v>27</v>
      </c>
      <c r="R147" s="109">
        <v>98.344584480325</v>
      </c>
      <c r="S147" s="109">
        <v>100.605379525849</v>
      </c>
      <c r="T147" s="109">
        <v>10.1735777048612</v>
      </c>
      <c r="U147" s="49">
        <v>61</v>
      </c>
      <c r="V147" s="110">
        <f>((O147+R147)*100)/N147</f>
        <v>43.7591269608431</v>
      </c>
      <c r="W147" s="110">
        <f>((P147+S147)*100)/N147</f>
        <v>47.8707745837483</v>
      </c>
      <c r="X147" s="110">
        <f>((Q147+T147)*100)/N147</f>
        <v>8.37009845540857</v>
      </c>
    </row>
    <row r="148" spans="1:24" s="168" customFormat="1" ht="22.500000" customHeight="1">
      <c r="A148" s="34">
        <v>146</v>
      </c>
      <c r="B148" s="108">
        <f>C148+D148+E148+F148+G148+H148</f>
        <v>6</v>
      </c>
      <c r="C148" s="109">
        <v>6</v>
      </c>
      <c r="D148" s="109">
        <v>0</v>
      </c>
      <c r="E148" s="109">
        <v>0</v>
      </c>
      <c r="F148" s="109">
        <v>0</v>
      </c>
      <c r="G148" s="109">
        <v>0</v>
      </c>
      <c r="H148" s="109">
        <v>0</v>
      </c>
      <c r="I148" s="78">
        <f>(100*B148)/N148</f>
        <v>2.57510729613734</v>
      </c>
      <c r="J148" s="110">
        <f>((C148+F148)*100)/B148</f>
        <v>100</v>
      </c>
      <c r="K148" s="110">
        <f>((D148+G148)*100)/B148</f>
        <v>0</v>
      </c>
      <c r="L148" s="110">
        <f>((E148+H148)*100)/B148</f>
        <v>0</v>
      </c>
      <c r="M148" s="112">
        <f>N148-B147</f>
        <v>193.956819817901</v>
      </c>
      <c r="N148" s="108">
        <f>O148+P148+Q148+R148+S148+T148</f>
        <v>233</v>
      </c>
      <c r="O148" s="109">
        <v>100</v>
      </c>
      <c r="P148" s="109">
        <v>107</v>
      </c>
      <c r="Q148" s="109">
        <v>26</v>
      </c>
      <c r="R148" s="109">
        <v>0</v>
      </c>
      <c r="S148" s="109">
        <v>0</v>
      </c>
      <c r="T148" s="109">
        <v>0</v>
      </c>
      <c r="U148" s="49">
        <v>47</v>
      </c>
      <c r="V148" s="110">
        <f>((O148+R148)*100)/N148</f>
        <v>42.9184549356223</v>
      </c>
      <c r="W148" s="110">
        <f>((P148+S148)*100)/N148</f>
        <v>45.9227467811159</v>
      </c>
      <c r="X148" s="110">
        <f>((Q148+T148)*100)/N148</f>
        <v>11.1587982832618</v>
      </c>
    </row>
    <row r="149" spans="1:24" s="168" customFormat="1" ht="22.500000" customHeight="1">
      <c r="A149" s="34">
        <v>147</v>
      </c>
      <c r="B149" s="108">
        <f>C149+D149+E149+F149+G149+H149</f>
        <v>156.170149798998</v>
      </c>
      <c r="C149" s="109">
        <v>20</v>
      </c>
      <c r="D149" s="109">
        <v>13</v>
      </c>
      <c r="E149" s="109">
        <v>9</v>
      </c>
      <c r="F149" s="109">
        <v>61.0414662291672</v>
      </c>
      <c r="G149" s="109">
        <v>40.6943108194448</v>
      </c>
      <c r="H149" s="109">
        <v>12.4343727503859</v>
      </c>
      <c r="I149" s="78">
        <f>(100*B149)/N149</f>
        <v>12.492194174091</v>
      </c>
      <c r="J149" s="110">
        <f>((C149+F149)*100)/B149</f>
        <v>51.8930578817228</v>
      </c>
      <c r="K149" s="110">
        <f>((D149+G149)*100)/B149</f>
        <v>34.3819295099308</v>
      </c>
      <c r="L149" s="110">
        <f>((E149+H149)*100)/B149</f>
        <v>13.7250126083464</v>
      </c>
      <c r="M149" s="112">
        <f>N149-B148</f>
        <v>1244.14186957563</v>
      </c>
      <c r="N149" s="108">
        <f>O149+P149+Q149+R149+S149+T149</f>
        <v>1250.14186957563</v>
      </c>
      <c r="O149" s="109">
        <v>149</v>
      </c>
      <c r="P149" s="109">
        <v>103</v>
      </c>
      <c r="Q149" s="109">
        <v>26</v>
      </c>
      <c r="R149" s="109">
        <v>549.373196062505</v>
      </c>
      <c r="S149" s="109">
        <v>316.511306373459</v>
      </c>
      <c r="T149" s="109">
        <v>106.257367139661</v>
      </c>
      <c r="U149" s="49">
        <v>101</v>
      </c>
      <c r="V149" s="110">
        <f>((O149+R149)*100)/N149</f>
        <v>55.8635154184201</v>
      </c>
      <c r="W149" s="110">
        <f>((P149+S149)*100)/N149</f>
        <v>33.5570959251102</v>
      </c>
      <c r="X149" s="110">
        <f>((Q149+T149)*100)/N149</f>
        <v>10.5793886564696</v>
      </c>
    </row>
    <row r="150" spans="1:24" s="168" customFormat="1" ht="22.500000" customHeight="1">
      <c r="A150" s="34">
        <v>148</v>
      </c>
      <c r="B150" s="108">
        <f>C150+D150+E150+F150+G150+H150</f>
        <v>6</v>
      </c>
      <c r="C150" s="109">
        <v>6</v>
      </c>
      <c r="D150" s="109">
        <v>0</v>
      </c>
      <c r="E150" s="109">
        <v>0</v>
      </c>
      <c r="F150" s="109">
        <v>0</v>
      </c>
      <c r="G150" s="109">
        <v>0</v>
      </c>
      <c r="H150" s="109">
        <v>0</v>
      </c>
      <c r="I150" s="78">
        <f>(100*B150)/N150</f>
        <v>1.58622158383095</v>
      </c>
      <c r="J150" s="110">
        <f>((C150+F150)*100)/B150</f>
        <v>100</v>
      </c>
      <c r="K150" s="110">
        <f>((D150+G150)*100)/B150</f>
        <v>0</v>
      </c>
      <c r="L150" s="110">
        <f>((E150+H150)*100)/B150</f>
        <v>0</v>
      </c>
      <c r="M150" s="112">
        <f>N150-B149</f>
        <v>222.087217340663</v>
      </c>
      <c r="N150" s="108">
        <f>O150+P150+Q150+R150+S150+T150</f>
        <v>378.257367139661</v>
      </c>
      <c r="O150" s="109">
        <v>143</v>
      </c>
      <c r="P150" s="109">
        <v>103</v>
      </c>
      <c r="Q150" s="109">
        <v>26</v>
      </c>
      <c r="R150" s="109">
        <v>27.1295405462965</v>
      </c>
      <c r="S150" s="109">
        <v>41.8247083422072</v>
      </c>
      <c r="T150" s="109">
        <v>37.3031182511577</v>
      </c>
      <c r="U150" s="49">
        <v>50</v>
      </c>
      <c r="V150" s="110">
        <f>((O150+R150)*100)/N150</f>
        <v>44.9771915436298</v>
      </c>
      <c r="W150" s="110">
        <f>((P150+S150)*100)/N150</f>
        <v>38.287346374072</v>
      </c>
      <c r="X150" s="110">
        <f>((Q150+T150)*100)/N150</f>
        <v>16.7354620822982</v>
      </c>
    </row>
    <row r="151" spans="1:24" s="168" customFormat="1" ht="22.500000" customHeight="1">
      <c r="A151" s="34">
        <v>149</v>
      </c>
      <c r="B151" s="108">
        <f>C151+D151+E151+F151+G151+H151</f>
        <v>20.1303975227624</v>
      </c>
      <c r="C151" s="109">
        <v>19</v>
      </c>
      <c r="D151" s="109">
        <v>0</v>
      </c>
      <c r="E151" s="109">
        <v>0</v>
      </c>
      <c r="F151" s="109">
        <v>1.13039752276235</v>
      </c>
      <c r="G151" s="109">
        <v>0</v>
      </c>
      <c r="H151" s="109">
        <v>0</v>
      </c>
      <c r="I151" s="78">
        <f>(100*B151)/N151</f>
        <v>4.11524264055725</v>
      </c>
      <c r="J151" s="110">
        <f>((C151+F151)*100)/B151</f>
        <v>100</v>
      </c>
      <c r="K151" s="110">
        <f>((D151+G151)*100)/B151</f>
        <v>0</v>
      </c>
      <c r="L151" s="110">
        <f>((E151+H151)*100)/B151</f>
        <v>0</v>
      </c>
      <c r="M151" s="112">
        <f>N151-B150</f>
        <v>483.166721893135</v>
      </c>
      <c r="N151" s="108">
        <f>O151+P151+Q151+R151+S151+T151</f>
        <v>489.166721893135</v>
      </c>
      <c r="O151" s="109">
        <v>145</v>
      </c>
      <c r="P151" s="109">
        <v>102</v>
      </c>
      <c r="Q151" s="109">
        <v>24</v>
      </c>
      <c r="R151" s="109">
        <v>162.777243277779</v>
      </c>
      <c r="S151" s="109">
        <v>49.7374910015437</v>
      </c>
      <c r="T151" s="109">
        <v>5.65198761381178</v>
      </c>
      <c r="U151" s="49">
        <v>52</v>
      </c>
      <c r="V151" s="110">
        <f>((O151+R151)*100)/N151</f>
        <v>62.918679767635</v>
      </c>
      <c r="W151" s="110">
        <f>((P151+S151)*100)/N151</f>
        <v>31.019585799766</v>
      </c>
      <c r="X151" s="110">
        <f>((Q151+T151)*100)/N151</f>
        <v>6.06173443259897</v>
      </c>
    </row>
    <row r="152" spans="1:24" s="168" customFormat="1" ht="22.500000" customHeight="1">
      <c r="A152" s="34">
        <v>150</v>
      </c>
      <c r="B152" s="107">
        <f>C152+D152+E152+F152+G152+H152</f>
        <v>36.6951677959106</v>
      </c>
      <c r="C152" s="49">
        <v>20</v>
      </c>
      <c r="D152" s="49">
        <v>1</v>
      </c>
      <c r="E152" s="49">
        <v>1</v>
      </c>
      <c r="F152" s="49">
        <v>14.6951677959106</v>
      </c>
      <c r="G152" s="49">
        <v>0</v>
      </c>
      <c r="H152" s="49">
        <v>0</v>
      </c>
      <c r="I152" s="78">
        <f>(100*B152)/N152</f>
        <v>8.71719242783857</v>
      </c>
      <c r="J152" s="110">
        <f>((C152+F152)*100)/B152</f>
        <v>94.5496910897819</v>
      </c>
      <c r="K152" s="110">
        <f>((D152+G152)*100)/B152</f>
        <v>2.72515445510905</v>
      </c>
      <c r="L152" s="110">
        <f>((E152+H152)*100)/B152</f>
        <v>2.72515445510905</v>
      </c>
      <c r="M152" s="112">
        <f>N152-B151</f>
        <v>400.821280436344</v>
      </c>
      <c r="N152" s="107">
        <f>O152+P152+Q152+R152+S152+T152</f>
        <v>420.951677959106</v>
      </c>
      <c r="O152" s="49">
        <v>149</v>
      </c>
      <c r="P152" s="49">
        <v>102</v>
      </c>
      <c r="Q152" s="49">
        <v>23</v>
      </c>
      <c r="R152" s="49">
        <v>67.8238513657414</v>
      </c>
      <c r="S152" s="49">
        <v>68.9542488885037</v>
      </c>
      <c r="T152" s="49">
        <v>10.1735777048612</v>
      </c>
      <c r="U152" s="49">
        <v>68</v>
      </c>
      <c r="V152" s="110">
        <f>((O152+R152)*100)/N152</f>
        <v>51.5080145105883</v>
      </c>
      <c r="W152" s="110">
        <f>((P152+S152)*100)/N152</f>
        <v>40.6113712902485</v>
      </c>
      <c r="X152" s="110">
        <f>((Q152+T152)*100)/N152</f>
        <v>7.88061419916323</v>
      </c>
    </row>
    <row r="153" spans="1:24" s="168" customFormat="1" ht="22.500000" customHeight="1">
      <c r="A153" s="34">
        <v>151</v>
      </c>
      <c r="B153" s="107">
        <f>C153+D153+E153+F153+G153+H153</f>
        <v>52.8687455007718</v>
      </c>
      <c r="C153" s="49">
        <v>22</v>
      </c>
      <c r="D153" s="49">
        <v>2</v>
      </c>
      <c r="E153" s="49">
        <v>4</v>
      </c>
      <c r="F153" s="49">
        <v>13.5647702731482</v>
      </c>
      <c r="G153" s="49">
        <v>5.65198761381178</v>
      </c>
      <c r="H153" s="49">
        <v>5.65198761381178</v>
      </c>
      <c r="I153" s="78">
        <f>(100*B153)/N153</f>
        <v>7.17198450190864</v>
      </c>
      <c r="J153" s="110">
        <f>((C153+F153)*100)/B153</f>
        <v>67.2699341289061</v>
      </c>
      <c r="K153" s="110">
        <f>((D153+G153)*100)/B153</f>
        <v>14.4735562407095</v>
      </c>
      <c r="L153" s="110">
        <f>((E153+H153)*100)/B153</f>
        <v>18.2565096303843</v>
      </c>
      <c r="M153" s="111">
        <f>N153-B152</f>
        <v>700.461270379634</v>
      </c>
      <c r="N153" s="107">
        <f>O153+P153+Q153+R153+S153+T153</f>
        <v>737.156438175545</v>
      </c>
      <c r="O153" s="49">
        <v>97</v>
      </c>
      <c r="P153" s="49">
        <v>87</v>
      </c>
      <c r="Q153" s="49">
        <v>23</v>
      </c>
      <c r="R153" s="49">
        <v>259.991430235342</v>
      </c>
      <c r="S153" s="49">
        <v>202.341156574461</v>
      </c>
      <c r="T153" s="49">
        <v>67.8238513657414</v>
      </c>
      <c r="U153" s="49">
        <v>81</v>
      </c>
      <c r="V153" s="110">
        <f>((O153+R153)*100)/N153</f>
        <v>48.4281777581557</v>
      </c>
      <c r="W153" s="110">
        <f>((P153+S153)*100)/N153</f>
        <v>39.2509841317506</v>
      </c>
      <c r="X153" s="110">
        <f>((Q153+T153)*100)/N153</f>
        <v>12.3208381100936</v>
      </c>
    </row>
    <row r="154" spans="1:24" s="168" customFormat="1" ht="22.500000" customHeight="1">
      <c r="A154" s="34">
        <v>152</v>
      </c>
      <c r="B154" s="107">
        <f>C154+D154+E154+F154+G154+H154</f>
        <v>40.7823851365741</v>
      </c>
      <c r="C154" s="49">
        <v>24</v>
      </c>
      <c r="D154" s="49">
        <v>7</v>
      </c>
      <c r="E154" s="49">
        <v>3</v>
      </c>
      <c r="F154" s="49">
        <v>1.13039752276235</v>
      </c>
      <c r="G154" s="49">
        <v>4.52159009104942</v>
      </c>
      <c r="H154" s="49">
        <v>1.13039752276235</v>
      </c>
      <c r="I154" s="78">
        <f>(100*B154)/N154</f>
        <v>11.7648222206516</v>
      </c>
      <c r="J154" s="110">
        <f>((C154+F154)*100)/B154</f>
        <v>61.6207155089248</v>
      </c>
      <c r="K154" s="110">
        <f>((D154+G154)*100)/B154</f>
        <v>28.2513885651007</v>
      </c>
      <c r="L154" s="110">
        <f>((E154+H154)*100)/B154</f>
        <v>10.1278959259746</v>
      </c>
      <c r="M154" s="111">
        <f>N154-B153</f>
        <v>293.778100254245</v>
      </c>
      <c r="N154" s="107">
        <f>O154+P154+Q154+R154+S154+T154</f>
        <v>346.646845755017</v>
      </c>
      <c r="O154" s="49">
        <v>93</v>
      </c>
      <c r="P154" s="49">
        <v>77</v>
      </c>
      <c r="Q154" s="49">
        <v>15</v>
      </c>
      <c r="R154" s="49">
        <v>81.3886216388896</v>
      </c>
      <c r="S154" s="49">
        <v>55.3894786153554</v>
      </c>
      <c r="T154" s="49">
        <v>24.8687455007718</v>
      </c>
      <c r="U154" s="49">
        <v>51</v>
      </c>
      <c r="V154" s="110">
        <f>((O154+R154)*100)/N154</f>
        <v>50.3072864427949</v>
      </c>
      <c r="W154" s="110">
        <f>((P154+S154)*100)/N154</f>
        <v>38.1914563010096</v>
      </c>
      <c r="X154" s="110">
        <f>((Q154+T154)*100)/N154</f>
        <v>11.5012572561955</v>
      </c>
    </row>
    <row r="155" spans="1:24" s="168" customFormat="1" ht="22.500000" customHeight="1">
      <c r="A155" s="34">
        <v>153</v>
      </c>
      <c r="B155" s="107">
        <f>C155+D155+E155+F155+G155+H155</f>
        <v>5.13039752276235</v>
      </c>
      <c r="C155" s="49">
        <v>4</v>
      </c>
      <c r="D155" s="49">
        <v>0</v>
      </c>
      <c r="E155" s="49">
        <v>0</v>
      </c>
      <c r="F155" s="49">
        <v>1.13039752276235</v>
      </c>
      <c r="G155" s="49">
        <v>0</v>
      </c>
      <c r="H155" s="49">
        <v>0</v>
      </c>
      <c r="I155" s="78">
        <f>(100*B155)/N155</f>
        <v>2.21263822058937</v>
      </c>
      <c r="J155" s="110">
        <f>((C155+F155)*100)/B155</f>
        <v>100</v>
      </c>
      <c r="K155" s="110">
        <f>((D155+G155)*100)/B155</f>
        <v>0</v>
      </c>
      <c r="L155" s="110">
        <f>((E155+H155)*100)/B155</f>
        <v>0</v>
      </c>
      <c r="M155" s="111">
        <f>N155-B154</f>
        <v>191.085503387732</v>
      </c>
      <c r="N155" s="107">
        <f>O155+P155+Q155+R155+S155+T155</f>
        <v>231.867888524306</v>
      </c>
      <c r="O155" s="49">
        <v>88</v>
      </c>
      <c r="P155" s="49">
        <v>78</v>
      </c>
      <c r="Q155" s="49">
        <v>15</v>
      </c>
      <c r="R155" s="49">
        <v>21.4775529324847</v>
      </c>
      <c r="S155" s="49">
        <v>24.8687455007718</v>
      </c>
      <c r="T155" s="49">
        <v>4.52159009104942</v>
      </c>
      <c r="U155" s="49">
        <v>41</v>
      </c>
      <c r="V155" s="110">
        <f>((O155+R155)*100)/N155</f>
        <v>47.2154870729366</v>
      </c>
      <c r="W155" s="110">
        <f>((P155+S155)*100)/N155</f>
        <v>44.3652401181841</v>
      </c>
      <c r="X155" s="110">
        <f>((Q155+T155)*100)/N155</f>
        <v>8.41927280887928</v>
      </c>
    </row>
    <row r="156" spans="1:24" s="168" customFormat="1" ht="22.500000" customHeight="1">
      <c r="A156" s="34">
        <v>154</v>
      </c>
      <c r="B156" s="107">
        <f>C156+D156+E156+F156+G156+H156</f>
        <v>52.5647702731483</v>
      </c>
      <c r="C156" s="49">
        <v>38</v>
      </c>
      <c r="D156" s="49">
        <v>0</v>
      </c>
      <c r="E156" s="49">
        <v>1</v>
      </c>
      <c r="F156" s="49">
        <v>12.4343727503859</v>
      </c>
      <c r="G156" s="49">
        <v>1.13039752276235</v>
      </c>
      <c r="H156" s="49">
        <v>0</v>
      </c>
      <c r="I156" s="78">
        <f>(100*B156)/N156</f>
        <v>13.970524974723</v>
      </c>
      <c r="J156" s="110">
        <f>((C156+F156)*100)/B156</f>
        <v>95.947100098237</v>
      </c>
      <c r="K156" s="110">
        <f>((D156+G156)*100)/B156</f>
        <v>2.15048504328724</v>
      </c>
      <c r="L156" s="110">
        <f>((E156+H156)*100)/B156</f>
        <v>1.90241485847572</v>
      </c>
      <c r="M156" s="111">
        <f>N156-B155</f>
        <v>371.124398687502</v>
      </c>
      <c r="N156" s="107">
        <f>O156+P156+Q156+R156+S156+T156</f>
        <v>376.254796210264</v>
      </c>
      <c r="O156" s="49">
        <v>93</v>
      </c>
      <c r="P156" s="49">
        <v>81</v>
      </c>
      <c r="Q156" s="49">
        <v>18</v>
      </c>
      <c r="R156" s="49">
        <v>83.6494166844144</v>
      </c>
      <c r="S156" s="49">
        <v>91.5621993437509</v>
      </c>
      <c r="T156" s="49">
        <v>9.04318018209885</v>
      </c>
      <c r="U156" s="49">
        <v>67</v>
      </c>
      <c r="V156" s="110">
        <f>((O156+R156)*100)/N156</f>
        <v>46.9494125958455</v>
      </c>
      <c r="W156" s="110">
        <f>((P156+S156)*100)/N156</f>
        <v>45.8631228310821</v>
      </c>
      <c r="X156" s="110">
        <f>((Q156+T156)*100)/N156</f>
        <v>7.1874645730725</v>
      </c>
    </row>
    <row r="157" spans="1:24" s="168" customFormat="1" ht="22.500000" customHeight="1">
      <c r="A157" s="34">
        <v>155</v>
      </c>
      <c r="B157" s="107">
        <f>C157+D157+E157+F157+G157+H157</f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0</v>
      </c>
      <c r="H157" s="49">
        <v>0</v>
      </c>
      <c r="I157" s="78">
        <f>(100*B157)/N157</f>
        <v>0</v>
      </c>
      <c r="J157" s="110" t="e">
        <f>((C157+F157)*100)/B157</f>
        <v>#DIV/0!</v>
      </c>
      <c r="K157" s="110" t="e">
        <f>((D157+G157)*100)/B157</f>
        <v>#DIV/0!</v>
      </c>
      <c r="L157" s="110" t="e">
        <f>((E157+H157)*100)/B157</f>
        <v>#DIV/0!</v>
      </c>
      <c r="M157" s="111">
        <f>N157-B156</f>
        <v>157</v>
      </c>
      <c r="N157" s="107">
        <f>O157+P157+Q157+R157+S157+T157</f>
        <v>209.564770273148</v>
      </c>
      <c r="O157" s="49">
        <v>96</v>
      </c>
      <c r="P157" s="49">
        <v>81</v>
      </c>
      <c r="Q157" s="49">
        <v>19</v>
      </c>
      <c r="R157" s="49">
        <v>9.04318018209885</v>
      </c>
      <c r="S157" s="49">
        <v>3.39119256828707</v>
      </c>
      <c r="T157" s="49">
        <v>1.13039752276235</v>
      </c>
      <c r="U157" s="49">
        <v>41</v>
      </c>
      <c r="V157" s="110">
        <f>((O157+R157)*100)/N157</f>
        <v>50.1244460341234</v>
      </c>
      <c r="W157" s="110">
        <f>((P157+S157)*100)/N157</f>
        <v>40.2697421223477</v>
      </c>
      <c r="X157" s="110">
        <f>((Q157+T157)*100)/N157</f>
        <v>9.60581184352897</v>
      </c>
    </row>
    <row r="158" spans="1:24" s="168" customFormat="1" ht="22.500000" customHeight="1">
      <c r="A158" s="34">
        <v>156</v>
      </c>
      <c r="B158" s="107">
        <f>C158+D158+E158+F158+G158+H158</f>
        <v>19</v>
      </c>
      <c r="C158" s="49">
        <v>19</v>
      </c>
      <c r="D158" s="49">
        <v>0</v>
      </c>
      <c r="E158" s="49">
        <v>0</v>
      </c>
      <c r="F158" s="49">
        <v>0</v>
      </c>
      <c r="G158" s="49">
        <v>0</v>
      </c>
      <c r="H158" s="49">
        <v>0</v>
      </c>
      <c r="I158" s="78">
        <f>(100*B158)/N158</f>
        <v>8.73306593547549</v>
      </c>
      <c r="J158" s="110">
        <f>((C158+F158)*100)/B158</f>
        <v>100</v>
      </c>
      <c r="K158" s="110">
        <f>((D158+G158)*100)/B158</f>
        <v>0</v>
      </c>
      <c r="L158" s="110">
        <f>((E158+H158)*100)/B158</f>
        <v>0</v>
      </c>
      <c r="M158" s="111">
        <f>N158-B157</f>
        <v>217.563913296682</v>
      </c>
      <c r="N158" s="107">
        <f>O158+P158+Q158+R158+S158+T158</f>
        <v>217.563913296682</v>
      </c>
      <c r="O158" s="49">
        <v>83</v>
      </c>
      <c r="P158" s="49">
        <v>77</v>
      </c>
      <c r="Q158" s="49">
        <v>18</v>
      </c>
      <c r="R158" s="49">
        <v>22.6079504552471</v>
      </c>
      <c r="S158" s="49">
        <v>14.6951677959106</v>
      </c>
      <c r="T158" s="49">
        <v>2.26079504552471</v>
      </c>
      <c r="U158" s="49">
        <v>43</v>
      </c>
      <c r="V158" s="110">
        <f>((O158+R158)*100)/N158</f>
        <v>48.5411155071632</v>
      </c>
      <c r="W158" s="110">
        <f>((P158+S158)*100)/N158</f>
        <v>42.1463129645356</v>
      </c>
      <c r="X158" s="110">
        <f>((Q158+T158)*100)/N158</f>
        <v>9.31257152830118</v>
      </c>
    </row>
    <row r="159" spans="1:24" s="168" customFormat="1" ht="22.500000" customHeight="1">
      <c r="A159" s="34">
        <v>157</v>
      </c>
      <c r="B159" s="107">
        <f>C159+D159+E159+F159+G159+H159</f>
        <v>20.3039752276236</v>
      </c>
      <c r="C159" s="49">
        <v>3</v>
      </c>
      <c r="D159" s="49">
        <v>2</v>
      </c>
      <c r="E159" s="49">
        <v>4</v>
      </c>
      <c r="F159" s="49">
        <v>3.39119256828707</v>
      </c>
      <c r="G159" s="49">
        <v>6.78238513657414</v>
      </c>
      <c r="H159" s="49">
        <v>1.13039752276235</v>
      </c>
      <c r="I159" s="78">
        <f>(100*B159)/N159</f>
        <v>4.34864623915452</v>
      </c>
      <c r="J159" s="110">
        <f>((C159+F159)*100)/B159</f>
        <v>31.47754317387</v>
      </c>
      <c r="K159" s="110">
        <f>((D159+G159)*100)/B159</f>
        <v>43.2545106961405</v>
      </c>
      <c r="L159" s="110">
        <f>((E159+H159)*100)/B159</f>
        <v>25.2679461299896</v>
      </c>
      <c r="M159" s="111">
        <f>N159-B158</f>
        <v>447.903355918212</v>
      </c>
      <c r="N159" s="107">
        <f>O159+P159+Q159+R159+S159+T159</f>
        <v>466.903355918212</v>
      </c>
      <c r="O159" s="49">
        <v>81</v>
      </c>
      <c r="P159" s="49">
        <v>75</v>
      </c>
      <c r="Q159" s="49">
        <v>17</v>
      </c>
      <c r="R159" s="49">
        <v>181.994001164739</v>
      </c>
      <c r="S159" s="49">
        <v>97.2141869575626</v>
      </c>
      <c r="T159" s="49">
        <v>14.6951677959106</v>
      </c>
      <c r="U159" s="49">
        <v>58</v>
      </c>
      <c r="V159" s="110">
        <f>((O159+R159)*100)/N159</f>
        <v>56.3272886843006</v>
      </c>
      <c r="W159" s="110">
        <f>((P159+S159)*100)/N159</f>
        <v>36.8843326514298</v>
      </c>
      <c r="X159" s="110">
        <f>((Q159+T159)*100)/N159</f>
        <v>6.78837866426959</v>
      </c>
    </row>
    <row r="160" spans="1:24" s="168" customFormat="1" ht="22.500000" customHeight="1">
      <c r="A160" s="34">
        <v>158</v>
      </c>
      <c r="B160" s="107">
        <f>C160+D160+E160+F160+G160+H160</f>
        <v>11</v>
      </c>
      <c r="C160" s="49">
        <v>10</v>
      </c>
      <c r="D160" s="49">
        <v>1</v>
      </c>
      <c r="E160" s="49">
        <v>0</v>
      </c>
      <c r="F160" s="49">
        <v>0</v>
      </c>
      <c r="G160" s="49">
        <v>0</v>
      </c>
      <c r="H160" s="49">
        <v>0</v>
      </c>
      <c r="I160" s="78">
        <f>(100*B160)/N160</f>
        <v>3.56844675021709</v>
      </c>
      <c r="J160" s="110">
        <f>((C160+F160)*100)/B160</f>
        <v>90.9090909090909</v>
      </c>
      <c r="K160" s="110">
        <f>((D160+G160)*100)/B160</f>
        <v>9.09090909090909</v>
      </c>
      <c r="L160" s="110">
        <f>((E160+H160)*100)/B160</f>
        <v>0</v>
      </c>
      <c r="M160" s="111">
        <f>N160-B159</f>
        <v>287.953391912038</v>
      </c>
      <c r="N160" s="107">
        <f>O160+P160+Q160+R160+S160+T160</f>
        <v>308.257367139661</v>
      </c>
      <c r="O160" s="49">
        <v>93</v>
      </c>
      <c r="P160" s="49">
        <v>86</v>
      </c>
      <c r="Q160" s="49">
        <v>23</v>
      </c>
      <c r="R160" s="49">
        <v>42.9551058649695</v>
      </c>
      <c r="S160" s="49">
        <v>49.7374910015437</v>
      </c>
      <c r="T160" s="49">
        <v>13.5647702731482</v>
      </c>
      <c r="U160" s="49">
        <v>45</v>
      </c>
      <c r="V160" s="110">
        <f>((O160+R160)*100)/N160</f>
        <v>44.1044141544791</v>
      </c>
      <c r="W160" s="110">
        <f>((P160+S160)*100)/N160</f>
        <v>44.0338189679163</v>
      </c>
      <c r="X160" s="110">
        <f>((Q160+T160)*100)/N160</f>
        <v>11.8617668776045</v>
      </c>
    </row>
    <row r="161" spans="1:24" s="168" customFormat="1" ht="22.500000" customHeight="1">
      <c r="A161" s="34">
        <v>159</v>
      </c>
      <c r="B161" s="107">
        <f>C161+D161+E161+F161+G161+H161</f>
        <v>166.30054732176</v>
      </c>
      <c r="C161" s="49">
        <v>6</v>
      </c>
      <c r="D161" s="49">
        <v>22</v>
      </c>
      <c r="E161" s="49">
        <v>23</v>
      </c>
      <c r="F161" s="49">
        <v>27.1295405462965</v>
      </c>
      <c r="G161" s="49">
        <v>39.5639132966824</v>
      </c>
      <c r="H161" s="49">
        <v>48.6070934787813</v>
      </c>
      <c r="I161" s="78">
        <f>(100*B161)/N161</f>
        <v>12.0941573165862</v>
      </c>
      <c r="J161" s="110">
        <f>((C161+F161)*100)/B161</f>
        <v>19.9214861765891</v>
      </c>
      <c r="K161" s="110">
        <f>((D161+G161)*100)/B161</f>
        <v>37.0196696812836</v>
      </c>
      <c r="L161" s="110">
        <f>((E161+H161)*100)/B161</f>
        <v>43.0588441421273</v>
      </c>
      <c r="M161" s="111">
        <f>N161-B160</f>
        <v>1364.0486533997</v>
      </c>
      <c r="N161" s="107">
        <f>O161+P161+Q161+R161+S161+T161</f>
        <v>1375.0486533997</v>
      </c>
      <c r="O161" s="49">
        <v>112</v>
      </c>
      <c r="P161" s="49">
        <v>78</v>
      </c>
      <c r="Q161" s="49">
        <v>23</v>
      </c>
      <c r="R161" s="49">
        <v>730.236799704482</v>
      </c>
      <c r="S161" s="49">
        <v>359.466412238429</v>
      </c>
      <c r="T161" s="49">
        <v>72.3454414567908</v>
      </c>
      <c r="U161" s="49">
        <v>106</v>
      </c>
      <c r="V161" s="110">
        <f>((O161+R161)*100)/N161</f>
        <v>61.2514180950701</v>
      </c>
      <c r="W161" s="110">
        <f>((P161+S161)*100)/N161</f>
        <v>31.8146133343593</v>
      </c>
      <c r="X161" s="110">
        <f>((Q161+T161)*100)/N161</f>
        <v>6.93396857057069</v>
      </c>
    </row>
    <row r="162" spans="1:24" s="168" customFormat="1" ht="22.500000" customHeight="1">
      <c r="A162" s="34">
        <v>160</v>
      </c>
      <c r="B162" s="107">
        <f>C162+D162+E162+F162+G162+H162</f>
        <v>16.1303975227624</v>
      </c>
      <c r="C162" s="49">
        <v>11</v>
      </c>
      <c r="D162" s="49">
        <v>3</v>
      </c>
      <c r="E162" s="49">
        <v>1</v>
      </c>
      <c r="F162" s="49">
        <v>1.13039752276235</v>
      </c>
      <c r="G162" s="49">
        <v>0</v>
      </c>
      <c r="H162" s="49">
        <v>0</v>
      </c>
      <c r="I162" s="78">
        <f>(100*B162)/N162</f>
        <v>4.47370085639813</v>
      </c>
      <c r="J162" s="110">
        <f>((C162+F162)*100)/B162</f>
        <v>75.2020990533221</v>
      </c>
      <c r="K162" s="110">
        <f>((D162+G162)*100)/B162</f>
        <v>18.5984257100085</v>
      </c>
      <c r="L162" s="110">
        <f>((E162+H162)*100)/B162</f>
        <v>6.19947523666949</v>
      </c>
      <c r="M162" s="111">
        <f>N162-B161</f>
        <v>194.259938069059</v>
      </c>
      <c r="N162" s="107">
        <f>O162+P162+Q162+R162+S162+T162</f>
        <v>360.560485390819</v>
      </c>
      <c r="O162" s="49">
        <v>113</v>
      </c>
      <c r="P162" s="49">
        <v>80</v>
      </c>
      <c r="Q162" s="49">
        <v>24</v>
      </c>
      <c r="R162" s="49">
        <v>70.0846464112661</v>
      </c>
      <c r="S162" s="49">
        <v>54.2590810925931</v>
      </c>
      <c r="T162" s="49">
        <v>19.21675788696</v>
      </c>
      <c r="U162" s="49">
        <v>57</v>
      </c>
      <c r="V162" s="110">
        <f>((O162+R162)*100)/N162</f>
        <v>50.7777900877898</v>
      </c>
      <c r="W162" s="110">
        <f>((P162+S162)*100)/N162</f>
        <v>37.2362159838638</v>
      </c>
      <c r="X162" s="110">
        <f>((Q162+T162)*100)/N162</f>
        <v>11.9859939283464</v>
      </c>
    </row>
    <row r="163" spans="1:24" s="168" customFormat="1" ht="22.500000" customHeight="1">
      <c r="A163" s="34">
        <v>161</v>
      </c>
      <c r="B163" s="107">
        <f>C163+D163+E163+F163+G163+H163</f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0</v>
      </c>
      <c r="H163" s="49">
        <v>0</v>
      </c>
      <c r="I163" s="78">
        <f>(100*B163)/N163</f>
        <v>0</v>
      </c>
      <c r="J163" s="110" t="e">
        <f>((C163+F163)*100)/B163</f>
        <v>#DIV/0!</v>
      </c>
      <c r="K163" s="110" t="e">
        <f>((D163+G163)*100)/B163</f>
        <v>#DIV/0!</v>
      </c>
      <c r="L163" s="110" t="e">
        <f>((E163+H163)*100)/B163</f>
        <v>#DIV/0!</v>
      </c>
      <c r="M163" s="111">
        <f>N163-B162</f>
        <v>234.869602477238</v>
      </c>
      <c r="N163" s="107">
        <f>O163+P163+Q163+R163+S163+T163</f>
        <v>251</v>
      </c>
      <c r="O163" s="49">
        <v>118</v>
      </c>
      <c r="P163" s="49">
        <v>101</v>
      </c>
      <c r="Q163" s="49">
        <v>32</v>
      </c>
      <c r="R163" s="49">
        <v>0</v>
      </c>
      <c r="S163" s="49">
        <v>0</v>
      </c>
      <c r="T163" s="49">
        <v>0</v>
      </c>
      <c r="U163" s="49">
        <v>46</v>
      </c>
      <c r="V163" s="110">
        <f>((O163+R163)*100)/N163</f>
        <v>47.0119521912351</v>
      </c>
      <c r="W163" s="110">
        <f>((P163+S163)*100)/N163</f>
        <v>40.2390438247012</v>
      </c>
      <c r="X163" s="110">
        <f>((Q163+T163)*100)/N163</f>
        <v>12.7490039840637</v>
      </c>
    </row>
    <row r="164" spans="1:24" s="168" customFormat="1" ht="22.500000" customHeight="1">
      <c r="A164" s="34">
        <v>162</v>
      </c>
      <c r="B164" s="107">
        <f>C164+D164+E164+F164+G164+H164</f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0</v>
      </c>
      <c r="H164" s="49">
        <v>0</v>
      </c>
      <c r="I164" s="78">
        <f>(100*B164)/N164</f>
        <v>0</v>
      </c>
      <c r="J164" s="110" t="e">
        <f>((C164+F164)*100)/B164</f>
        <v>#DIV/0!</v>
      </c>
      <c r="K164" s="110" t="e">
        <f>((D164+G164)*100)/B164</f>
        <v>#DIV/0!</v>
      </c>
      <c r="L164" s="110" t="e">
        <f>((E164+H164)*100)/B164</f>
        <v>#DIV/0!</v>
      </c>
      <c r="M164" s="111">
        <f>N164-B163</f>
        <v>250</v>
      </c>
      <c r="N164" s="107">
        <f>O164+P164+Q164+R164+S164+T164</f>
        <v>250</v>
      </c>
      <c r="O164" s="49">
        <v>117</v>
      </c>
      <c r="P164" s="49">
        <v>101</v>
      </c>
      <c r="Q164" s="49">
        <v>32</v>
      </c>
      <c r="R164" s="49">
        <v>0</v>
      </c>
      <c r="S164" s="49">
        <v>0</v>
      </c>
      <c r="T164" s="49">
        <v>0</v>
      </c>
      <c r="U164" s="49">
        <v>51</v>
      </c>
      <c r="V164" s="110">
        <f>((O164+R164)*100)/N164</f>
        <v>46.8</v>
      </c>
      <c r="W164" s="110">
        <f>((P164+S164)*100)/N164</f>
        <v>40.4</v>
      </c>
      <c r="X164" s="110">
        <f>((Q164+T164)*100)/N164</f>
        <v>12.8</v>
      </c>
    </row>
    <row r="165" spans="1:24" s="168" customFormat="1" ht="22.500000" customHeight="1">
      <c r="A165" s="34">
        <v>163</v>
      </c>
      <c r="B165" s="107">
        <f>C165+D165+E165+F165+G165+H165</f>
        <v>41.0431801820989</v>
      </c>
      <c r="C165" s="49">
        <v>29</v>
      </c>
      <c r="D165" s="49">
        <v>1</v>
      </c>
      <c r="E165" s="49">
        <v>2</v>
      </c>
      <c r="F165" s="49">
        <v>9.04318018209885</v>
      </c>
      <c r="G165" s="49">
        <v>0</v>
      </c>
      <c r="H165" s="49">
        <v>0</v>
      </c>
      <c r="I165" s="78">
        <f>(100*B165)/N165</f>
        <v>10.5310733827294</v>
      </c>
      <c r="J165" s="110">
        <f>((C165+F165)*100)/B165</f>
        <v>92.6906248816741</v>
      </c>
      <c r="K165" s="110">
        <f>((D165+G165)*100)/B165</f>
        <v>2.4364583727753</v>
      </c>
      <c r="L165" s="110">
        <f>((E165+H165)*100)/B165</f>
        <v>4.8729167455506</v>
      </c>
      <c r="M165" s="111">
        <f>N165-B164</f>
        <v>389.73406309568</v>
      </c>
      <c r="N165" s="107">
        <f>O165+P165+Q165+R165+S165+T165</f>
        <v>389.73406309568</v>
      </c>
      <c r="O165" s="49">
        <v>103</v>
      </c>
      <c r="P165" s="49">
        <v>103</v>
      </c>
      <c r="Q165" s="49">
        <v>30</v>
      </c>
      <c r="R165" s="49">
        <v>84.7798142071767</v>
      </c>
      <c r="S165" s="49">
        <v>56.5198761381178</v>
      </c>
      <c r="T165" s="49">
        <v>12.4343727503859</v>
      </c>
      <c r="U165" s="49">
        <v>69</v>
      </c>
      <c r="V165" s="110">
        <f>((O165+R165)*100)/N165</f>
        <v>48.1815247852935</v>
      </c>
      <c r="W165" s="110">
        <f>((P165+S165)*100)/N165</f>
        <v>40.9304423819263</v>
      </c>
      <c r="X165" s="110">
        <f>((Q165+T165)*100)/N165</f>
        <v>10.8880328327802</v>
      </c>
    </row>
    <row r="166" spans="1:24" s="168" customFormat="1" ht="22.500000" customHeight="1">
      <c r="A166" s="34">
        <v>164</v>
      </c>
      <c r="B166" s="107">
        <f>C166+D166+E166+F166+G166+H166</f>
        <v>14.2607950455247</v>
      </c>
      <c r="C166" s="49">
        <v>10</v>
      </c>
      <c r="D166" s="49">
        <v>0</v>
      </c>
      <c r="E166" s="49">
        <v>2</v>
      </c>
      <c r="F166" s="49">
        <v>2.26079504552471</v>
      </c>
      <c r="G166" s="49">
        <v>0</v>
      </c>
      <c r="H166" s="49">
        <v>0</v>
      </c>
      <c r="I166" s="78">
        <f>(100*B166)/N166</f>
        <v>3.0141854334305</v>
      </c>
      <c r="J166" s="110">
        <f>((C166+F166)*100)/B166</f>
        <v>85.9755364717367</v>
      </c>
      <c r="K166" s="110">
        <f>((D166+G166)*100)/B166</f>
        <v>0</v>
      </c>
      <c r="L166" s="110">
        <f>((E166+H166)*100)/B166</f>
        <v>14.0244635282634</v>
      </c>
      <c r="M166" s="111">
        <f>N166-B165</f>
        <v>432.07950455247</v>
      </c>
      <c r="N166" s="107">
        <f>O166+P166+Q166+R166+S166+T166</f>
        <v>473.122684734569</v>
      </c>
      <c r="O166" s="49">
        <v>105</v>
      </c>
      <c r="P166" s="49">
        <v>103</v>
      </c>
      <c r="Q166" s="49">
        <v>30</v>
      </c>
      <c r="R166" s="49">
        <v>94.9533919120379</v>
      </c>
      <c r="S166" s="49">
        <v>119.822137412809</v>
      </c>
      <c r="T166" s="49">
        <v>20.3471554097224</v>
      </c>
      <c r="U166" s="49">
        <v>64</v>
      </c>
      <c r="V166" s="110">
        <f>((O166+R166)*100)/N166</f>
        <v>42.2624825153365</v>
      </c>
      <c r="W166" s="110">
        <f>((P166+S166)*100)/N166</f>
        <v>47.0960587184308</v>
      </c>
      <c r="X166" s="110">
        <f>((Q166+T166)*100)/N166</f>
        <v>10.6414587662327</v>
      </c>
    </row>
    <row r="167" spans="1:24" s="168" customFormat="1" ht="22.500000" customHeight="1">
      <c r="A167" s="34">
        <v>165</v>
      </c>
      <c r="B167" s="107">
        <f>C167+D167+E167+F167+G167+H167</f>
        <v>70.9559628414354</v>
      </c>
      <c r="C167" s="49">
        <v>44</v>
      </c>
      <c r="D167" s="49">
        <v>1</v>
      </c>
      <c r="E167" s="49">
        <v>9</v>
      </c>
      <c r="F167" s="49">
        <v>9.04318018209885</v>
      </c>
      <c r="G167" s="49">
        <v>2.26079504552471</v>
      </c>
      <c r="H167" s="49">
        <v>5.65198761381178</v>
      </c>
      <c r="I167" s="78">
        <f>(100*B167)/N167</f>
        <v>19.2680810476346</v>
      </c>
      <c r="J167" s="110">
        <f>((C167+F167)*100)/B167</f>
        <v>74.7550706917105</v>
      </c>
      <c r="K167" s="110">
        <f>((D167+G167)*100)/B167</f>
        <v>4.59551941083737</v>
      </c>
      <c r="L167" s="110">
        <f>((E167+H167)*100)/B167</f>
        <v>20.6494098974521</v>
      </c>
      <c r="M167" s="111">
        <f>N167-B166</f>
        <v>353.995715117671</v>
      </c>
      <c r="N167" s="107">
        <f>O167+P167+Q167+R167+S167+T167</f>
        <v>368.256510163196</v>
      </c>
      <c r="O167" s="49">
        <v>114</v>
      </c>
      <c r="P167" s="49">
        <v>100</v>
      </c>
      <c r="Q167" s="49">
        <v>22</v>
      </c>
      <c r="R167" s="49">
        <v>84.7798142071767</v>
      </c>
      <c r="S167" s="49">
        <v>44.0855033877319</v>
      </c>
      <c r="T167" s="49">
        <v>3.39119256828707</v>
      </c>
      <c r="U167" s="49">
        <v>70</v>
      </c>
      <c r="V167" s="110">
        <f>((O167+R167)*100)/N167</f>
        <v>53.9786286789841</v>
      </c>
      <c r="W167" s="110">
        <f>((P167+S167)*100)/N167</f>
        <v>39.126396794419</v>
      </c>
      <c r="X167" s="110">
        <f>((Q167+T167)*100)/N167</f>
        <v>6.8949745265969</v>
      </c>
    </row>
    <row r="168" spans="1:24" s="168" customFormat="1" ht="22.500000" customHeight="1">
      <c r="A168" s="34">
        <v>166</v>
      </c>
      <c r="B168" s="107">
        <f>C168+D168+E168+F168+G168+H168</f>
        <v>23.9127826593365</v>
      </c>
      <c r="C168" s="49">
        <v>7</v>
      </c>
      <c r="D168" s="49">
        <v>3</v>
      </c>
      <c r="E168" s="49">
        <v>6</v>
      </c>
      <c r="F168" s="49">
        <v>3.39119256828707</v>
      </c>
      <c r="G168" s="49">
        <v>3.39119256828707</v>
      </c>
      <c r="H168" s="49">
        <v>1.13039752276235</v>
      </c>
      <c r="I168" s="78">
        <f>(100*B168)/N168</f>
        <v>6.38422460243923</v>
      </c>
      <c r="J168" s="110">
        <f>((C168+F168)*100)/B168</f>
        <v>43.4545519704707</v>
      </c>
      <c r="K168" s="110">
        <f>((D168+G168)*100)/B168</f>
        <v>26.7270967972926</v>
      </c>
      <c r="L168" s="110">
        <f>((E168+H168)*100)/B168</f>
        <v>29.8183512322367</v>
      </c>
      <c r="M168" s="111">
        <f>N168-B167</f>
        <v>303.604522549384</v>
      </c>
      <c r="N168" s="107">
        <f>O168+P168+Q168+R168+S168+T168</f>
        <v>374.560485390819</v>
      </c>
      <c r="O168" s="49">
        <v>111</v>
      </c>
      <c r="P168" s="49">
        <v>100</v>
      </c>
      <c r="Q168" s="49">
        <v>20</v>
      </c>
      <c r="R168" s="49">
        <v>61.0414662291672</v>
      </c>
      <c r="S168" s="49">
        <v>72.3454414567908</v>
      </c>
      <c r="T168" s="49">
        <v>10.1735777048612</v>
      </c>
      <c r="U168" s="49">
        <v>72</v>
      </c>
      <c r="V168" s="110">
        <f>((O168+R168)*100)/N168</f>
        <v>45.9315579030334</v>
      </c>
      <c r="W168" s="110">
        <f>((P168+S168)*100)/N168</f>
        <v>46.012713080763</v>
      </c>
      <c r="X168" s="110">
        <f>((Q168+T168)*100)/N168</f>
        <v>8.05572901620358</v>
      </c>
    </row>
    <row r="169" spans="1:24" s="168" customFormat="1" ht="22.500000" customHeight="1">
      <c r="A169" s="34">
        <v>167</v>
      </c>
      <c r="B169" s="107">
        <f>C169+D169+E169+F169+G169+H169</f>
        <v>26.0431801820988</v>
      </c>
      <c r="C169" s="49">
        <v>0</v>
      </c>
      <c r="D169" s="49">
        <v>10</v>
      </c>
      <c r="E169" s="49">
        <v>7</v>
      </c>
      <c r="F169" s="49">
        <v>2.26079504552471</v>
      </c>
      <c r="G169" s="49">
        <v>4.52159009104942</v>
      </c>
      <c r="H169" s="49">
        <v>2.26079504552471</v>
      </c>
      <c r="I169" s="78">
        <f>(100*B169)/N169</f>
        <v>4.30567128116395</v>
      </c>
      <c r="J169" s="110">
        <f>((C169+F169)*100)/B169</f>
        <v>8.68094844683638</v>
      </c>
      <c r="K169" s="110">
        <f>((D169+G169)*100)/B169</f>
        <v>55.7596652540578</v>
      </c>
      <c r="L169" s="110">
        <f>((E169+H169)*100)/B169</f>
        <v>35.5593862991059</v>
      </c>
      <c r="M169" s="111">
        <f>N169-B168</f>
        <v>580.944822147378</v>
      </c>
      <c r="N169" s="107">
        <f>O169+P169+Q169+R169+S169+T169</f>
        <v>604.857604806715</v>
      </c>
      <c r="O169" s="49">
        <v>125</v>
      </c>
      <c r="P169" s="49">
        <v>94</v>
      </c>
      <c r="Q169" s="49">
        <v>23</v>
      </c>
      <c r="R169" s="49">
        <v>221.557914461421</v>
      </c>
      <c r="S169" s="49">
        <v>123.213329981096</v>
      </c>
      <c r="T169" s="49">
        <v>18.0863603641977</v>
      </c>
      <c r="U169" s="49">
        <v>79</v>
      </c>
      <c r="V169" s="110">
        <f>((O169+R169)*100)/N169</f>
        <v>57.2957852736538</v>
      </c>
      <c r="W169" s="110">
        <f>((P169+S169)*100)/N169</f>
        <v>35.9114820174093</v>
      </c>
      <c r="X169" s="110">
        <f>((Q169+T169)*100)/N169</f>
        <v>6.79273270893685</v>
      </c>
    </row>
    <row r="170" spans="1:24" s="168" customFormat="1" ht="22.500000" customHeight="1">
      <c r="A170" s="34">
        <v>168</v>
      </c>
      <c r="B170" s="107">
        <f>C170+D170+E170+F170+G170+H170</f>
        <v>17.1303975227624</v>
      </c>
      <c r="C170" s="49">
        <v>12</v>
      </c>
      <c r="D170" s="49">
        <v>2</v>
      </c>
      <c r="E170" s="49">
        <v>2</v>
      </c>
      <c r="F170" s="49">
        <v>1.13039752276235</v>
      </c>
      <c r="G170" s="49">
        <v>0</v>
      </c>
      <c r="H170" s="49">
        <v>0</v>
      </c>
      <c r="I170" s="78">
        <f>(100*B170)/N170</f>
        <v>5.3634964936636</v>
      </c>
      <c r="J170" s="110">
        <f>((C170+F170)*100)/B170</f>
        <v>76.6496954044124</v>
      </c>
      <c r="K170" s="110">
        <f>((D170+G170)*100)/B170</f>
        <v>11.6751522977938</v>
      </c>
      <c r="L170" s="110">
        <f>((E170+H170)*100)/B170</f>
        <v>11.6751522977938</v>
      </c>
      <c r="M170" s="111">
        <f>N170-B169</f>
        <v>293.345441456791</v>
      </c>
      <c r="N170" s="107">
        <f>O170+P170+Q170+R170+S170+T170</f>
        <v>319.38862163889</v>
      </c>
      <c r="O170" s="49">
        <v>119</v>
      </c>
      <c r="P170" s="49">
        <v>94</v>
      </c>
      <c r="Q170" s="49">
        <v>25</v>
      </c>
      <c r="R170" s="49">
        <v>49.7374910015437</v>
      </c>
      <c r="S170" s="49">
        <v>27.1295405462965</v>
      </c>
      <c r="T170" s="49">
        <v>4.52159009104942</v>
      </c>
      <c r="U170" s="49">
        <v>61</v>
      </c>
      <c r="V170" s="110">
        <f>((O170+R170)*100)/N170</f>
        <v>52.8314033654973</v>
      </c>
      <c r="W170" s="110">
        <f>((P170+S170)*100)/N170</f>
        <v>37.9254401502284</v>
      </c>
      <c r="X170" s="110">
        <f>((Q170+T170)*100)/N170</f>
        <v>9.24315648427433</v>
      </c>
    </row>
    <row r="171" spans="1:24" s="168" customFormat="1" ht="22.500000" customHeight="1">
      <c r="A171" s="34">
        <v>169</v>
      </c>
      <c r="B171" s="107">
        <f>C171+D171+E171+F171+G171+H171</f>
        <v>179.430944844523</v>
      </c>
      <c r="C171" s="49">
        <v>29</v>
      </c>
      <c r="D171" s="49">
        <v>18</v>
      </c>
      <c r="E171" s="49">
        <v>16</v>
      </c>
      <c r="F171" s="49">
        <v>67.8238513657414</v>
      </c>
      <c r="G171" s="49">
        <v>24.8687455007718</v>
      </c>
      <c r="H171" s="49">
        <v>23.7383479780094</v>
      </c>
      <c r="I171" s="78">
        <f>(100*B171)/N171</f>
        <v>15.4154382031712</v>
      </c>
      <c r="J171" s="110">
        <f>((C171+F171)*100)/B171</f>
        <v>53.9616237598478</v>
      </c>
      <c r="K171" s="110">
        <f>((D171+G171)*100)/B171</f>
        <v>23.8915007318931</v>
      </c>
      <c r="L171" s="110">
        <f>((E171+H171)*100)/B171</f>
        <v>22.1468755082591</v>
      </c>
      <c r="M171" s="111">
        <f>N171-B170</f>
        <v>1146.83875132447</v>
      </c>
      <c r="N171" s="107">
        <f>O171+P171+Q171+R171+S171+T171</f>
        <v>1163.96914884723</v>
      </c>
      <c r="O171" s="49">
        <v>112</v>
      </c>
      <c r="P171" s="49">
        <v>89</v>
      </c>
      <c r="Q171" s="49">
        <v>27</v>
      </c>
      <c r="R171" s="49">
        <v>470.24536946914</v>
      </c>
      <c r="S171" s="49">
        <v>345.901641965281</v>
      </c>
      <c r="T171" s="49">
        <v>119.822137412809</v>
      </c>
      <c r="U171" s="49">
        <v>90</v>
      </c>
      <c r="V171" s="110">
        <f>((O171+R171)*100)/N171</f>
        <v>50.0224056664889</v>
      </c>
      <c r="W171" s="110">
        <f>((P171+S171)*100)/N171</f>
        <v>37.363674320406</v>
      </c>
      <c r="X171" s="110">
        <f>((Q171+T171)*100)/N171</f>
        <v>12.613920013105</v>
      </c>
    </row>
    <row r="172" spans="1:24" s="168" customFormat="1" ht="22.500000" customHeight="1">
      <c r="A172" s="34">
        <v>170</v>
      </c>
      <c r="B172" s="107">
        <f>C172+D172+E172+F172+G172+H172</f>
        <v>34.5215900910494</v>
      </c>
      <c r="C172" s="49">
        <v>29</v>
      </c>
      <c r="D172" s="49">
        <v>0</v>
      </c>
      <c r="E172" s="49">
        <v>1</v>
      </c>
      <c r="F172" s="49">
        <v>3.39119256828707</v>
      </c>
      <c r="G172" s="49">
        <v>1.13039752276235</v>
      </c>
      <c r="H172" s="49">
        <v>0</v>
      </c>
      <c r="I172" s="78">
        <f>(100*B172)/N172</f>
        <v>11.7595488002956</v>
      </c>
      <c r="J172" s="110">
        <f>((C172+F172)*100)/B172</f>
        <v>93.8287966540837</v>
      </c>
      <c r="K172" s="110">
        <f>((D172+G172)*100)/B172</f>
        <v>3.27446539913419</v>
      </c>
      <c r="L172" s="110">
        <f>((E172+H172)*100)/B172</f>
        <v>2.89673794678211</v>
      </c>
      <c r="M172" s="111">
        <f>N172-B171</f>
        <v>114.131254499228</v>
      </c>
      <c r="N172" s="107">
        <f>O172+P172+Q172+R172+S172+T172</f>
        <v>293.562199343751</v>
      </c>
      <c r="O172" s="49">
        <v>93</v>
      </c>
      <c r="P172" s="49">
        <v>83</v>
      </c>
      <c r="Q172" s="49">
        <v>26</v>
      </c>
      <c r="R172" s="49">
        <v>46.3462984332566</v>
      </c>
      <c r="S172" s="49">
        <v>37.3031182511577</v>
      </c>
      <c r="T172" s="49">
        <v>7.91278265933649</v>
      </c>
      <c r="U172" s="49">
        <v>62</v>
      </c>
      <c r="V172" s="110">
        <f>((O172+R172)*100)/N172</f>
        <v>47.4673846785318</v>
      </c>
      <c r="W172" s="110">
        <f>((P172+S172)*100)/N172</f>
        <v>40.9804527013667</v>
      </c>
      <c r="X172" s="110">
        <f>((Q172+T172)*100)/N172</f>
        <v>11.5521626201015</v>
      </c>
    </row>
    <row r="173" spans="1:24" s="168" customFormat="1" ht="22.500000" customHeight="1">
      <c r="A173" s="34">
        <v>171</v>
      </c>
      <c r="B173" s="107">
        <f>C173+D173+E173+F173+G173+H173</f>
        <v>5.13039752276235</v>
      </c>
      <c r="C173" s="49">
        <v>4</v>
      </c>
      <c r="D173" s="49">
        <v>0</v>
      </c>
      <c r="E173" s="49">
        <v>0</v>
      </c>
      <c r="F173" s="49">
        <v>1.13039752276235</v>
      </c>
      <c r="G173" s="49">
        <v>0</v>
      </c>
      <c r="H173" s="49">
        <v>0</v>
      </c>
      <c r="I173" s="78">
        <f>(100*B173)/N173</f>
        <v>1.00683813601102</v>
      </c>
      <c r="J173" s="110">
        <f>((C173+F173)*100)/B173</f>
        <v>100</v>
      </c>
      <c r="K173" s="110">
        <f>((D173+G173)*100)/B173</f>
        <v>0</v>
      </c>
      <c r="L173" s="110">
        <f>((E173+H173)*100)/B173</f>
        <v>0</v>
      </c>
      <c r="M173" s="111">
        <f>N173-B172</f>
        <v>475.033753440974</v>
      </c>
      <c r="N173" s="107">
        <f>O173+P173+Q173+R173+S173+T173</f>
        <v>509.555343532024</v>
      </c>
      <c r="O173" s="49">
        <v>90</v>
      </c>
      <c r="P173" s="49">
        <v>88</v>
      </c>
      <c r="Q173" s="49">
        <v>32</v>
      </c>
      <c r="R173" s="49">
        <v>127.734920072146</v>
      </c>
      <c r="S173" s="49">
        <v>141.299690345294</v>
      </c>
      <c r="T173" s="49">
        <v>30.5207331145836</v>
      </c>
      <c r="U173" s="49">
        <v>59</v>
      </c>
      <c r="V173" s="110">
        <f>((O173+R173)*100)/N173</f>
        <v>42.7303771486133</v>
      </c>
      <c r="W173" s="110">
        <f>((P173+S173)*100)/N173</f>
        <v>44.9999579546914</v>
      </c>
      <c r="X173" s="110">
        <f>((Q173+T173)*100)/N173</f>
        <v>12.2696648966953</v>
      </c>
    </row>
    <row r="174" spans="1:24" s="168" customFormat="1" ht="22.500000" customHeight="1">
      <c r="A174" s="34">
        <v>172</v>
      </c>
      <c r="B174" s="107">
        <f>C174+D174+E174+F174+G174+H174</f>
        <v>23.4343727503859</v>
      </c>
      <c r="C174" s="49">
        <v>2</v>
      </c>
      <c r="D174" s="49">
        <v>6</v>
      </c>
      <c r="E174" s="49">
        <v>3</v>
      </c>
      <c r="F174" s="49">
        <v>4.52159009104942</v>
      </c>
      <c r="G174" s="49">
        <v>3.39119256828707</v>
      </c>
      <c r="H174" s="49">
        <v>4.52159009104942</v>
      </c>
      <c r="I174" s="78">
        <f>(100*B174)/N174</f>
        <v>3.63748700239605</v>
      </c>
      <c r="J174" s="110">
        <f>((C174+F174)*100)/B174</f>
        <v>27.8291642815233</v>
      </c>
      <c r="K174" s="110">
        <f>((D174+G174)*100)/B174</f>
        <v>40.0744353958969</v>
      </c>
      <c r="L174" s="110">
        <f>((E174+H174)*100)/B174</f>
        <v>32.0964003225798</v>
      </c>
      <c r="M174" s="111">
        <f>N174-B173</f>
        <v>639.115828922844</v>
      </c>
      <c r="N174" s="107">
        <f>O174+P174+Q174+R174+S174+T174</f>
        <v>644.246226445606</v>
      </c>
      <c r="O174" s="49">
        <v>84</v>
      </c>
      <c r="P174" s="49">
        <v>86</v>
      </c>
      <c r="Q174" s="49">
        <v>30</v>
      </c>
      <c r="R174" s="49">
        <v>165.038038323304</v>
      </c>
      <c r="S174" s="49">
        <v>228.340299597996</v>
      </c>
      <c r="T174" s="49">
        <v>50.867888524306</v>
      </c>
      <c r="U174" s="49">
        <v>78</v>
      </c>
      <c r="V174" s="110">
        <f>((O174+R174)*100)/N174</f>
        <v>38.6557232468835</v>
      </c>
      <c r="W174" s="110">
        <f>((P174+S174)*100)/N174</f>
        <v>48.7919504522757</v>
      </c>
      <c r="X174" s="110">
        <f>((Q174+T174)*100)/N174</f>
        <v>12.5523263008408</v>
      </c>
    </row>
    <row r="175" spans="1:24" s="168" customFormat="1" ht="22.500000" customHeight="1">
      <c r="A175" s="34">
        <v>173</v>
      </c>
      <c r="B175" s="107">
        <f>C175+D175+E175+F175+G175+H175</f>
        <v>48.6519876138118</v>
      </c>
      <c r="C175" s="49">
        <v>39</v>
      </c>
      <c r="D175" s="49">
        <v>0</v>
      </c>
      <c r="E175" s="49">
        <v>4</v>
      </c>
      <c r="F175" s="49">
        <v>5.65198761381178</v>
      </c>
      <c r="G175" s="49">
        <v>0</v>
      </c>
      <c r="H175" s="49">
        <v>0</v>
      </c>
      <c r="I175" s="78">
        <f>(100*B175)/N175</f>
        <v>9.60776846582143</v>
      </c>
      <c r="J175" s="110">
        <f>((C175+F175)*100)/B175</f>
        <v>91.7783420653827</v>
      </c>
      <c r="K175" s="110">
        <f>((D175+G175)*100)/B175</f>
        <v>0</v>
      </c>
      <c r="L175" s="110">
        <f>((E175+H175)*100)/B175</f>
        <v>8.22165793461734</v>
      </c>
      <c r="M175" s="111">
        <f>N175-B174</f>
        <v>482.947393076776</v>
      </c>
      <c r="N175" s="107">
        <f>O175+P175+Q175+R175+S175+T175</f>
        <v>506.381765827162</v>
      </c>
      <c r="O175" s="49">
        <v>95</v>
      </c>
      <c r="P175" s="49">
        <v>94</v>
      </c>
      <c r="Q175" s="49">
        <v>28</v>
      </c>
      <c r="R175" s="49">
        <v>106.257367139661</v>
      </c>
      <c r="S175" s="49">
        <v>151.473268050155</v>
      </c>
      <c r="T175" s="49">
        <v>31.6511306373459</v>
      </c>
      <c r="U175" s="49">
        <v>66</v>
      </c>
      <c r="V175" s="110">
        <f>((O175+R175)*100)/N175</f>
        <v>39.7441971100425</v>
      </c>
      <c r="W175" s="110">
        <f>((P175+S175)*100)/N175</f>
        <v>48.4759295487626</v>
      </c>
      <c r="X175" s="110">
        <f>((Q175+T175)*100)/N175</f>
        <v>11.7798733411949</v>
      </c>
    </row>
    <row r="176" spans="1:24" s="168" customFormat="1" ht="22.500000" customHeight="1">
      <c r="A176" s="34">
        <v>174</v>
      </c>
      <c r="B176" s="107">
        <f>C176+D176+E176+F176+G176+H176</f>
        <v>21.1303975227624</v>
      </c>
      <c r="C176" s="49">
        <v>15</v>
      </c>
      <c r="D176" s="49">
        <v>1</v>
      </c>
      <c r="E176" s="49">
        <v>4</v>
      </c>
      <c r="F176" s="49">
        <v>1.13039752276235</v>
      </c>
      <c r="G176" s="49">
        <v>0</v>
      </c>
      <c r="H176" s="49">
        <v>0</v>
      </c>
      <c r="I176" s="78">
        <f>(100*B176)/N176</f>
        <v>7.37597893003134</v>
      </c>
      <c r="J176" s="110">
        <f>((C176+F176)*100)/B176</f>
        <v>76.3374068348036</v>
      </c>
      <c r="K176" s="110">
        <f>((D176+G176)*100)/B176</f>
        <v>4.73251863303929</v>
      </c>
      <c r="L176" s="110">
        <f>((E176+H176)*100)/B176</f>
        <v>18.9300745321571</v>
      </c>
      <c r="M176" s="111">
        <f>N176-B175</f>
        <v>237.823851365741</v>
      </c>
      <c r="N176" s="107">
        <f>O176+P176+Q176+R176+S176+T176</f>
        <v>286.475838979553</v>
      </c>
      <c r="O176" s="49">
        <v>95</v>
      </c>
      <c r="P176" s="49">
        <v>93</v>
      </c>
      <c r="Q176" s="49">
        <v>25</v>
      </c>
      <c r="R176" s="49">
        <v>32.7815281601083</v>
      </c>
      <c r="S176" s="49">
        <v>36.1727207283954</v>
      </c>
      <c r="T176" s="49">
        <v>4.52159009104942</v>
      </c>
      <c r="U176" s="49">
        <v>45</v>
      </c>
      <c r="V176" s="110">
        <f>((O176+R176)*100)/N176</f>
        <v>44.6046440130082</v>
      </c>
      <c r="W176" s="110">
        <f>((P176+S176)*100)/N176</f>
        <v>45.0902670146696</v>
      </c>
      <c r="X176" s="110">
        <f>((Q176+T176)*100)/N176</f>
        <v>10.3050889723222</v>
      </c>
    </row>
    <row r="177" spans="1:24" s="168" customFormat="1" ht="22.500000" customHeight="1">
      <c r="A177" s="34">
        <v>175</v>
      </c>
      <c r="B177" s="107">
        <f>C177+D177+E177+F177+G177+H177</f>
        <v>153.562199343751</v>
      </c>
      <c r="C177" s="49">
        <v>41</v>
      </c>
      <c r="D177" s="49">
        <v>5</v>
      </c>
      <c r="E177" s="49">
        <v>16</v>
      </c>
      <c r="F177" s="49">
        <v>58.7806711836425</v>
      </c>
      <c r="G177" s="49">
        <v>12.4343727503859</v>
      </c>
      <c r="H177" s="49">
        <v>20.3471554097224</v>
      </c>
      <c r="I177" s="78">
        <f>(100*B177)/N177</f>
        <v>25.2214360820939</v>
      </c>
      <c r="J177" s="110">
        <f>((C177+F177)*100)/B177</f>
        <v>64.9773652696145</v>
      </c>
      <c r="K177" s="110">
        <f>((D177+G177)*100)/B177</f>
        <v>11.3532971166679</v>
      </c>
      <c r="L177" s="110">
        <f>((E177+H177)*100)/B177</f>
        <v>23.6693376137176</v>
      </c>
      <c r="M177" s="111">
        <f>N177-B176</f>
        <v>587.725493331022</v>
      </c>
      <c r="N177" s="107">
        <f>O177+P177+Q177+R177+S177+T177</f>
        <v>608.855890853785</v>
      </c>
      <c r="O177" s="49">
        <v>87</v>
      </c>
      <c r="P177" s="49">
        <v>93</v>
      </c>
      <c r="Q177" s="49">
        <v>14</v>
      </c>
      <c r="R177" s="49">
        <v>200.080361528937</v>
      </c>
      <c r="S177" s="49">
        <v>180.863603641977</v>
      </c>
      <c r="T177" s="49">
        <v>33.9119256828707</v>
      </c>
      <c r="U177" s="49">
        <v>73</v>
      </c>
      <c r="V177" s="110">
        <f>((O177+R177)*100)/N177</f>
        <v>47.1507898406585</v>
      </c>
      <c r="W177" s="110">
        <f>((P177+S177)*100)/N177</f>
        <v>44.9800367797944</v>
      </c>
      <c r="X177" s="110">
        <f>((Q177+T177)*100)/N177</f>
        <v>7.86917337954716</v>
      </c>
    </row>
    <row r="178" spans="1:24" s="168" customFormat="1" ht="22.500000" customHeight="1">
      <c r="A178" s="34">
        <v>176</v>
      </c>
      <c r="B178" s="107">
        <f>C178+D178+E178+F178+G178+H178</f>
        <v>125.780671183642</v>
      </c>
      <c r="C178" s="49">
        <v>49</v>
      </c>
      <c r="D178" s="49">
        <v>4</v>
      </c>
      <c r="E178" s="49">
        <v>14</v>
      </c>
      <c r="F178" s="49">
        <v>39.5639132966824</v>
      </c>
      <c r="G178" s="49">
        <v>7.91278265933649</v>
      </c>
      <c r="H178" s="49">
        <v>11.3039752276235</v>
      </c>
      <c r="I178" s="78">
        <f>(100*B178)/N178</f>
        <v>23.0629756984443</v>
      </c>
      <c r="J178" s="110">
        <f>((C178+F178)*100)/B178</f>
        <v>70.4113855199399</v>
      </c>
      <c r="K178" s="110">
        <f>((D178+G178)*100)/B178</f>
        <v>9.4710757600773</v>
      </c>
      <c r="L178" s="110">
        <f>((E178+H178)*100)/B178</f>
        <v>20.1175387199828</v>
      </c>
      <c r="M178" s="111">
        <f>N178-B177</f>
        <v>391.816995554014</v>
      </c>
      <c r="N178" s="107">
        <f>O178+P178+Q178+R178+S178+T178</f>
        <v>545.379194897764</v>
      </c>
      <c r="O178" s="49">
        <v>78</v>
      </c>
      <c r="P178" s="49">
        <v>89</v>
      </c>
      <c r="Q178" s="49">
        <v>11</v>
      </c>
      <c r="R178" s="49">
        <v>116.430944844522</v>
      </c>
      <c r="S178" s="49">
        <v>233.992287211807</v>
      </c>
      <c r="T178" s="49">
        <v>16.9559628414353</v>
      </c>
      <c r="U178" s="49">
        <v>67</v>
      </c>
      <c r="V178" s="110">
        <f>((O178+R178)*100)/N178</f>
        <v>35.6505980909245</v>
      </c>
      <c r="W178" s="110">
        <f>((P178+S178)*100)/N178</f>
        <v>59.2234339398214</v>
      </c>
      <c r="X178" s="110">
        <f>((Q178+T178)*100)/N178</f>
        <v>5.1259679692541</v>
      </c>
    </row>
    <row r="179" spans="1:24" s="168" customFormat="1" ht="22.500000" customHeight="1">
      <c r="A179" s="34">
        <v>177</v>
      </c>
      <c r="B179" s="107">
        <f>C179+D179+E179+F179+G179+H179</f>
        <v>95.084646411266</v>
      </c>
      <c r="C179" s="49">
        <v>13</v>
      </c>
      <c r="D179" s="49">
        <v>4</v>
      </c>
      <c r="E179" s="49">
        <v>8</v>
      </c>
      <c r="F179" s="49">
        <v>33.9119256828707</v>
      </c>
      <c r="G179" s="49">
        <v>22.6079504552471</v>
      </c>
      <c r="H179" s="49">
        <v>13.5647702731482</v>
      </c>
      <c r="I179" s="78">
        <f>(100*B179)/N179</f>
        <v>8.3831895748519</v>
      </c>
      <c r="J179" s="110">
        <f>((C179+F179)*100)/B179</f>
        <v>49.3370143902774</v>
      </c>
      <c r="K179" s="110">
        <f>((D179+G179)*100)/B179</f>
        <v>27.9834352437519</v>
      </c>
      <c r="L179" s="110">
        <f>((E179+H179)*100)/B179</f>
        <v>22.6795503659707</v>
      </c>
      <c r="M179" s="111">
        <f>N179-B178</f>
        <v>1008.44927270911</v>
      </c>
      <c r="N179" s="107">
        <f>O179+P179+Q179+R179+S179+T179</f>
        <v>1134.22994389275</v>
      </c>
      <c r="O179" s="49">
        <v>92</v>
      </c>
      <c r="P179" s="49">
        <v>87</v>
      </c>
      <c r="Q179" s="49">
        <v>17</v>
      </c>
      <c r="R179" s="49">
        <v>439.724636354556</v>
      </c>
      <c r="S179" s="49">
        <v>422.768673513121</v>
      </c>
      <c r="T179" s="49">
        <v>75.7366340250779</v>
      </c>
      <c r="U179" s="49">
        <v>76</v>
      </c>
      <c r="V179" s="110">
        <f>((O179+R179)*100)/N179</f>
        <v>46.8797918109657</v>
      </c>
      <c r="W179" s="110">
        <f>((P179+S179)*100)/N179</f>
        <v>44.944032403479</v>
      </c>
      <c r="X179" s="110">
        <f>((Q179+T179)*100)/N179</f>
        <v>8.17617578555539</v>
      </c>
    </row>
    <row r="180" spans="1:24" s="168" customFormat="1" ht="22.500000" customHeight="1">
      <c r="A180" s="34">
        <v>178</v>
      </c>
      <c r="B180" s="107">
        <f>C180+D180+E180+F180+G180+H180</f>
        <v>60.3462984332565</v>
      </c>
      <c r="C180" s="49">
        <v>10</v>
      </c>
      <c r="D180" s="49">
        <v>4</v>
      </c>
      <c r="E180" s="49">
        <v>0</v>
      </c>
      <c r="F180" s="49">
        <v>13.5647702731482</v>
      </c>
      <c r="G180" s="49">
        <v>12.4343727503859</v>
      </c>
      <c r="H180" s="49">
        <v>20.3471554097224</v>
      </c>
      <c r="I180" s="78">
        <f>(100*B180)/N180</f>
        <v>13.0917973156223</v>
      </c>
      <c r="J180" s="110">
        <f>((C180+F180)*100)/B180</f>
        <v>39.0492389507718</v>
      </c>
      <c r="K180" s="110">
        <f>((D180+G180)*100)/B180</f>
        <v>27.233439626065</v>
      </c>
      <c r="L180" s="110">
        <f>((E180+H180)*100)/B180</f>
        <v>33.7173214231632</v>
      </c>
      <c r="M180" s="111">
        <f>N180-B179</f>
        <v>365.862746665511</v>
      </c>
      <c r="N180" s="107">
        <f>O180+P180+Q180+R180+S180+T180</f>
        <v>460.947393076777</v>
      </c>
      <c r="O180" s="49">
        <v>93</v>
      </c>
      <c r="P180" s="49">
        <v>75</v>
      </c>
      <c r="Q180" s="49">
        <v>16</v>
      </c>
      <c r="R180" s="49">
        <v>165.038038323304</v>
      </c>
      <c r="S180" s="49">
        <v>91.5621993437509</v>
      </c>
      <c r="T180" s="49">
        <v>20.3471554097224</v>
      </c>
      <c r="U180" s="49">
        <v>57</v>
      </c>
      <c r="V180" s="110">
        <f>((O180+R180)*100)/N180</f>
        <v>55.9799322436615</v>
      </c>
      <c r="W180" s="110">
        <f>((P180+S180)*100)/N180</f>
        <v>36.134752434972</v>
      </c>
      <c r="X180" s="110">
        <f>((Q180+T180)*100)/N180</f>
        <v>7.88531532136646</v>
      </c>
    </row>
    <row r="181" spans="1:24" s="168" customFormat="1" ht="22.500000" customHeight="1">
      <c r="A181" s="34">
        <v>179</v>
      </c>
      <c r="B181" s="107">
        <f>C181+D181+E181+F181+G181+H181</f>
        <v>53.5207331145836</v>
      </c>
      <c r="C181" s="49">
        <v>9</v>
      </c>
      <c r="D181" s="49">
        <v>7</v>
      </c>
      <c r="E181" s="49">
        <v>7</v>
      </c>
      <c r="F181" s="49">
        <v>18.0863603641977</v>
      </c>
      <c r="G181" s="49">
        <v>3.39119256828707</v>
      </c>
      <c r="H181" s="49">
        <v>9.04318018209885</v>
      </c>
      <c r="I181" s="78">
        <f>(100*B181)/N181</f>
        <v>15.570467326704</v>
      </c>
      <c r="J181" s="110">
        <f>((C181+F181)*100)/B181</f>
        <v>50.6090981717458</v>
      </c>
      <c r="K181" s="110">
        <f>((D181+G181)*100)/B181</f>
        <v>19.415265755124</v>
      </c>
      <c r="L181" s="110">
        <f>((E181+H181)*100)/B181</f>
        <v>29.9756360731302</v>
      </c>
      <c r="M181" s="111">
        <f>N181-B180</f>
        <v>283.386050709492</v>
      </c>
      <c r="N181" s="107">
        <f>O181+P181+Q181+R181+S181+T181</f>
        <v>343.732349142748</v>
      </c>
      <c r="O181" s="49">
        <v>85</v>
      </c>
      <c r="P181" s="49">
        <v>42</v>
      </c>
      <c r="Q181" s="49">
        <v>11</v>
      </c>
      <c r="R181" s="49">
        <v>139.038895299769</v>
      </c>
      <c r="S181" s="49">
        <v>44.0855033877319</v>
      </c>
      <c r="T181" s="49">
        <v>22.6079504552471</v>
      </c>
      <c r="U181" s="49">
        <v>60</v>
      </c>
      <c r="V181" s="110">
        <f>((O181+R181)*100)/N181</f>
        <v>65.1782981318201</v>
      </c>
      <c r="W181" s="110">
        <f>((P181+S181)*100)/N181</f>
        <v>25.0443415065312</v>
      </c>
      <c r="X181" s="110">
        <f>((Q181+T181)*100)/N181</f>
        <v>9.77736036164874</v>
      </c>
    </row>
    <row r="182" spans="1:24" s="168" customFormat="1" ht="22.500000" customHeight="1">
      <c r="A182" s="34">
        <v>180</v>
      </c>
      <c r="B182" s="107">
        <f>C182+D182+E182+F182+G182+H182</f>
        <v>8.39119256828706</v>
      </c>
      <c r="C182" s="49">
        <v>4</v>
      </c>
      <c r="D182" s="49">
        <v>0</v>
      </c>
      <c r="E182" s="49">
        <v>1</v>
      </c>
      <c r="F182" s="49">
        <v>2.26079504552471</v>
      </c>
      <c r="G182" s="49">
        <v>0</v>
      </c>
      <c r="H182" s="49">
        <v>1.13039752276235</v>
      </c>
      <c r="I182" s="78">
        <f>(100*B182)/N182</f>
        <v>5.10443180134523</v>
      </c>
      <c r="J182" s="110">
        <f>((C182+F182)*100)/B182</f>
        <v>74.6115047959477</v>
      </c>
      <c r="K182" s="110">
        <f>((D182+G182)*100)/B182</f>
        <v>0</v>
      </c>
      <c r="L182" s="110">
        <f>((E182+H182)*100)/B182</f>
        <v>25.3884952040523</v>
      </c>
      <c r="M182" s="111">
        <f>N182-B181</f>
        <v>110.869602477238</v>
      </c>
      <c r="N182" s="107">
        <f>O182+P182+Q182+R182+S182+T182</f>
        <v>164.390335591821</v>
      </c>
      <c r="O182" s="49">
        <v>83</v>
      </c>
      <c r="P182" s="49">
        <v>42</v>
      </c>
      <c r="Q182" s="49">
        <v>10</v>
      </c>
      <c r="R182" s="49">
        <v>14.6951677959106</v>
      </c>
      <c r="S182" s="49">
        <v>12.4343727503859</v>
      </c>
      <c r="T182" s="49">
        <v>2.26079504552471</v>
      </c>
      <c r="U182" s="49">
        <v>35</v>
      </c>
      <c r="V182" s="110">
        <f>((O182+R182)*100)/N182</f>
        <v>59.4287781238468</v>
      </c>
      <c r="W182" s="110">
        <f>((P182+S182)*100)/N182</f>
        <v>33.1128789015588</v>
      </c>
      <c r="X182" s="110">
        <f>((Q182+T182)*100)/N182</f>
        <v>7.45834297459437</v>
      </c>
    </row>
    <row r="183" spans="1:24" s="168" customFormat="1" ht="22.500000" customHeight="1">
      <c r="A183" s="34">
        <v>181</v>
      </c>
      <c r="B183" s="107">
        <f>C183+D183+E183+F183+G183+H183</f>
        <v>47.1295405462965</v>
      </c>
      <c r="C183" s="49">
        <v>18</v>
      </c>
      <c r="D183" s="49">
        <v>1</v>
      </c>
      <c r="E183" s="49">
        <v>1</v>
      </c>
      <c r="F183" s="49">
        <v>24.8687455007718</v>
      </c>
      <c r="G183" s="49">
        <v>1.13039752276235</v>
      </c>
      <c r="H183" s="49">
        <v>1.13039752276235</v>
      </c>
      <c r="I183" s="78">
        <f>(100*B183)/N183</f>
        <v>8.80732489034422</v>
      </c>
      <c r="J183" s="110">
        <f>((C183+F183)*100)/B183</f>
        <v>90.9593961745941</v>
      </c>
      <c r="K183" s="110">
        <f>((D183+G183)*100)/B183</f>
        <v>4.52030191270294</v>
      </c>
      <c r="L183" s="110">
        <f>((E183+H183)*100)/B183</f>
        <v>4.52030191270294</v>
      </c>
      <c r="M183" s="111">
        <f>N183-B182</f>
        <v>526.726350307488</v>
      </c>
      <c r="N183" s="107">
        <f>O183+P183+Q183+R183+S183+T183</f>
        <v>535.117542875775</v>
      </c>
      <c r="O183" s="49">
        <v>89</v>
      </c>
      <c r="P183" s="49">
        <v>43</v>
      </c>
      <c r="Q183" s="49">
        <v>12</v>
      </c>
      <c r="R183" s="49">
        <v>238.513877302857</v>
      </c>
      <c r="S183" s="49">
        <v>122.082932458334</v>
      </c>
      <c r="T183" s="49">
        <v>30.5207331145836</v>
      </c>
      <c r="U183" s="49">
        <v>62</v>
      </c>
      <c r="V183" s="110">
        <f>((O183+R183)*100)/N183</f>
        <v>61.2041002324022</v>
      </c>
      <c r="W183" s="110">
        <f>((P183+S183)*100)/N183</f>
        <v>30.8498449838071</v>
      </c>
      <c r="X183" s="110">
        <f>((Q183+T183)*100)/N183</f>
        <v>7.94605478379067</v>
      </c>
    </row>
    <row r="184" spans="1:24" s="168" customFormat="1" ht="22.500000" customHeight="1">
      <c r="A184" s="34">
        <v>182</v>
      </c>
      <c r="B184" s="107">
        <f>C184+D184+E184+F184+G184+H184</f>
        <v>104.519876138118</v>
      </c>
      <c r="C184" s="49">
        <v>44</v>
      </c>
      <c r="D184" s="49">
        <v>1</v>
      </c>
      <c r="E184" s="49">
        <v>3</v>
      </c>
      <c r="F184" s="49">
        <v>49.7374910015437</v>
      </c>
      <c r="G184" s="49">
        <v>1.13039752276235</v>
      </c>
      <c r="H184" s="49">
        <v>5.65198761381178</v>
      </c>
      <c r="I184" s="78">
        <f>(100*B184)/N184</f>
        <v>29.8596496909148</v>
      </c>
      <c r="J184" s="110">
        <f>((C184+F184)*100)/B184</f>
        <v>89.6838902465539</v>
      </c>
      <c r="K184" s="110">
        <f>((D184+G184)*100)/B184</f>
        <v>2.03827023287622</v>
      </c>
      <c r="L184" s="110">
        <f>((E184+H184)*100)/B184</f>
        <v>8.27783952056985</v>
      </c>
      <c r="M184" s="111">
        <f>N184-B183</f>
        <v>302.907640800541</v>
      </c>
      <c r="N184" s="107">
        <f>O184+P184+Q184+R184+S184+T184</f>
        <v>350.037181346838</v>
      </c>
      <c r="O184" s="49">
        <v>98</v>
      </c>
      <c r="P184" s="49">
        <v>45</v>
      </c>
      <c r="Q184" s="49">
        <v>16</v>
      </c>
      <c r="R184" s="49">
        <v>122.082932458334</v>
      </c>
      <c r="S184" s="49">
        <v>49.7374910015437</v>
      </c>
      <c r="T184" s="49">
        <v>19.21675788696</v>
      </c>
      <c r="U184" s="49">
        <v>68</v>
      </c>
      <c r="V184" s="110">
        <f>((O184+R184)*100)/N184</f>
        <v>62.874158571247</v>
      </c>
      <c r="W184" s="110">
        <f>((P184+S184)*100)/N184</f>
        <v>27.0649793936239</v>
      </c>
      <c r="X184" s="110">
        <f>((Q184+T184)*100)/N184</f>
        <v>10.0608620351291</v>
      </c>
    </row>
    <row r="185" spans="1:24" s="168" customFormat="1" ht="22.500000" customHeight="1">
      <c r="A185" s="34">
        <v>183</v>
      </c>
      <c r="B185" s="107">
        <f>C185+D185+E185+F185+G185+H185</f>
        <v>35.0431801820989</v>
      </c>
      <c r="C185" s="49">
        <v>26</v>
      </c>
      <c r="D185" s="49">
        <v>0</v>
      </c>
      <c r="E185" s="49">
        <v>0</v>
      </c>
      <c r="F185" s="49">
        <v>9.04318018209885</v>
      </c>
      <c r="G185" s="49">
        <v>0</v>
      </c>
      <c r="H185" s="49">
        <v>0</v>
      </c>
      <c r="I185" s="78">
        <f>(100*B185)/N185</f>
        <v>16.7497690326563</v>
      </c>
      <c r="J185" s="110">
        <f>((C185+F185)*100)/B185</f>
        <v>100</v>
      </c>
      <c r="K185" s="110">
        <f>((D185+G185)*100)/B185</f>
        <v>0</v>
      </c>
      <c r="L185" s="110">
        <f>((E185+H185)*100)/B185</f>
        <v>0</v>
      </c>
      <c r="M185" s="111">
        <f>N185-B184</f>
        <v>104.696024772376</v>
      </c>
      <c r="N185" s="107">
        <f>O185+P185+Q185+R185+S185+T185</f>
        <v>209.215900910494</v>
      </c>
      <c r="O185" s="49">
        <v>98</v>
      </c>
      <c r="P185" s="49">
        <v>48</v>
      </c>
      <c r="Q185" s="49">
        <v>18</v>
      </c>
      <c r="R185" s="49">
        <v>31.6511306373459</v>
      </c>
      <c r="S185" s="49">
        <v>11.3039752276235</v>
      </c>
      <c r="T185" s="49">
        <v>2.26079504552471</v>
      </c>
      <c r="U185" s="49">
        <v>45</v>
      </c>
      <c r="V185" s="110">
        <f>((O185+R185)*100)/N185</f>
        <v>61.970017610092</v>
      </c>
      <c r="W185" s="110">
        <f>((P185+S185)*100)/N185</f>
        <v>28.345825995795</v>
      </c>
      <c r="X185" s="110">
        <f>((Q185+T185)*100)/N185</f>
        <v>9.68415639411299</v>
      </c>
    </row>
    <row r="186" spans="1:24" s="168" customFormat="1" ht="22.500000" customHeight="1">
      <c r="A186" s="34">
        <v>184</v>
      </c>
      <c r="B186" s="107">
        <f>C186+D186+E186+F186+G186+H186</f>
        <v>5</v>
      </c>
      <c r="C186" s="49">
        <v>5</v>
      </c>
      <c r="D186" s="49">
        <v>0</v>
      </c>
      <c r="E186" s="49">
        <v>0</v>
      </c>
      <c r="F186" s="49">
        <v>0</v>
      </c>
      <c r="G186" s="49">
        <v>0</v>
      </c>
      <c r="H186" s="49">
        <v>0</v>
      </c>
      <c r="I186" s="78">
        <f>(100*B186)/N186</f>
        <v>1.88991473929479</v>
      </c>
      <c r="J186" s="110">
        <f>((C186+F186)*100)/B186</f>
        <v>100</v>
      </c>
      <c r="K186" s="110">
        <f>((D186+G186)*100)/B186</f>
        <v>0</v>
      </c>
      <c r="L186" s="110">
        <f>((E186+H186)*100)/B186</f>
        <v>0</v>
      </c>
      <c r="M186" s="111">
        <f>N186-B185</f>
        <v>229.519019161652</v>
      </c>
      <c r="N186" s="107">
        <f>O186+P186+Q186+R186+S186+T186</f>
        <v>264.562199343751</v>
      </c>
      <c r="O186" s="49">
        <v>100</v>
      </c>
      <c r="P186" s="49">
        <v>55</v>
      </c>
      <c r="Q186" s="49">
        <v>18</v>
      </c>
      <c r="R186" s="49">
        <v>48.6070934787813</v>
      </c>
      <c r="S186" s="49">
        <v>32.7815281601083</v>
      </c>
      <c r="T186" s="49">
        <v>10.1735777048612</v>
      </c>
      <c r="U186" s="49">
        <v>34</v>
      </c>
      <c r="V186" s="110">
        <f>((O186+R186)*100)/N186</f>
        <v>56.1709472658614</v>
      </c>
      <c r="W186" s="110">
        <f>((P186+S186)*100)/N186</f>
        <v>33.1799207815218</v>
      </c>
      <c r="X186" s="110">
        <f>((Q186+T186)*100)/N186</f>
        <v>10.6491319526168</v>
      </c>
    </row>
    <row r="187" spans="1:24" s="168" customFormat="1" ht="22.500000" customHeight="1">
      <c r="A187" s="34">
        <v>185</v>
      </c>
      <c r="B187" s="107">
        <f>C187+D187+E187+F187+G187+H187</f>
        <v>30.2607950455247</v>
      </c>
      <c r="C187" s="49">
        <v>28</v>
      </c>
      <c r="D187" s="49">
        <v>0</v>
      </c>
      <c r="E187" s="49">
        <v>0</v>
      </c>
      <c r="F187" s="49">
        <v>2.26079504552471</v>
      </c>
      <c r="G187" s="49">
        <v>0</v>
      </c>
      <c r="H187" s="49">
        <v>0</v>
      </c>
      <c r="I187" s="78">
        <f>(100*B187)/N187</f>
        <v>7.65267811400666</v>
      </c>
      <c r="J187" s="110">
        <f>((C187+F187)*100)/B187</f>
        <v>100</v>
      </c>
      <c r="K187" s="110">
        <f>((D187+G187)*100)/B187</f>
        <v>0</v>
      </c>
      <c r="L187" s="110">
        <f>((E187+H187)*100)/B187</f>
        <v>0</v>
      </c>
      <c r="M187" s="111">
        <f>N187-B186</f>
        <v>390.427516938659</v>
      </c>
      <c r="N187" s="107">
        <f>O187+P187+Q187+R187+S187+T187</f>
        <v>395.427516938659</v>
      </c>
      <c r="O187" s="49">
        <v>95</v>
      </c>
      <c r="P187" s="49">
        <v>57</v>
      </c>
      <c r="Q187" s="49">
        <v>23</v>
      </c>
      <c r="R187" s="49">
        <v>119.822137412809</v>
      </c>
      <c r="S187" s="49">
        <v>72.3454414567908</v>
      </c>
      <c r="T187" s="49">
        <v>28.2599380690589</v>
      </c>
      <c r="U187" s="49">
        <v>37</v>
      </c>
      <c r="V187" s="110">
        <f>((O187+R187)*100)/N187</f>
        <v>54.3265524554109</v>
      </c>
      <c r="W187" s="110">
        <f>((P187+S187)*100)/N187</f>
        <v>32.7102783483972</v>
      </c>
      <c r="X187" s="110">
        <f>((Q187+T187)*100)/N187</f>
        <v>12.963169196192</v>
      </c>
    </row>
    <row r="188" spans="1:24" s="168" customFormat="1" ht="22.500000" customHeight="1">
      <c r="A188" s="34">
        <v>186</v>
      </c>
      <c r="B188" s="107">
        <f>C188+D188+E188+F188+G188+H188</f>
        <v>94.7374910015437</v>
      </c>
      <c r="C188" s="49">
        <v>36</v>
      </c>
      <c r="D188" s="49">
        <v>1</v>
      </c>
      <c r="E188" s="49">
        <v>8</v>
      </c>
      <c r="F188" s="49">
        <v>36.1727207283954</v>
      </c>
      <c r="G188" s="49">
        <v>1.13039752276235</v>
      </c>
      <c r="H188" s="49">
        <v>12.4343727503859</v>
      </c>
      <c r="I188" s="78">
        <f>(100*B188)/N188</f>
        <v>18.8121385897715</v>
      </c>
      <c r="J188" s="110">
        <f>((C188+F188)*100)/B188</f>
        <v>76.1817945202068</v>
      </c>
      <c r="K188" s="110">
        <f>((D188+G188)*100)/B188</f>
        <v>2.24873753805411</v>
      </c>
      <c r="L188" s="110">
        <f>((E188+H188)*100)/B188</f>
        <v>21.5694679417391</v>
      </c>
      <c r="M188" s="111">
        <f>N188-B187</f>
        <v>473.336871692132</v>
      </c>
      <c r="N188" s="107">
        <f>O188+P188+Q188+R188+S188+T188</f>
        <v>503.597666737657</v>
      </c>
      <c r="O188" s="49">
        <v>91</v>
      </c>
      <c r="P188" s="49">
        <v>61</v>
      </c>
      <c r="Q188" s="49">
        <v>17</v>
      </c>
      <c r="R188" s="49">
        <v>148.082075481868</v>
      </c>
      <c r="S188" s="49">
        <v>145.821280436344</v>
      </c>
      <c r="T188" s="49">
        <v>40.6943108194448</v>
      </c>
      <c r="U188" s="49">
        <v>57</v>
      </c>
      <c r="V188" s="110">
        <f>((O188+R188)*100)/N188</f>
        <v>47.4748179495468</v>
      </c>
      <c r="W188" s="110">
        <f>((P188+S188)*100)/N188</f>
        <v>41.0687527160615</v>
      </c>
      <c r="X188" s="110">
        <f>((Q188+T188)*100)/N188</f>
        <v>11.4564293343916</v>
      </c>
    </row>
    <row r="189" spans="1:24" s="168" customFormat="1" ht="22.500000" customHeight="1">
      <c r="A189" s="34">
        <v>187</v>
      </c>
      <c r="B189" s="107">
        <f>C189+D189+E189+F189+G189+H189</f>
        <v>74.4335157739201</v>
      </c>
      <c r="C189" s="49">
        <v>30</v>
      </c>
      <c r="D189" s="49">
        <v>2</v>
      </c>
      <c r="E189" s="49">
        <v>4</v>
      </c>
      <c r="F189" s="49">
        <v>29.3903355918212</v>
      </c>
      <c r="G189" s="49">
        <v>3.39119256828707</v>
      </c>
      <c r="H189" s="49">
        <v>5.65198761381178</v>
      </c>
      <c r="I189" s="78">
        <f>(100*B189)/N189</f>
        <v>13.0072142718559</v>
      </c>
      <c r="J189" s="110">
        <f>((C189+F189)*100)/B189</f>
        <v>79.7897761167293</v>
      </c>
      <c r="K189" s="110">
        <f>((D189+G189)*100)/B189</f>
        <v>7.24296375393843</v>
      </c>
      <c r="L189" s="110">
        <f>((E189+H189)*100)/B189</f>
        <v>12.9672601293323</v>
      </c>
      <c r="M189" s="111">
        <f>N189-B188</f>
        <v>477.510449396993</v>
      </c>
      <c r="N189" s="107">
        <f>O189+P189+Q189+R189+S189+T189</f>
        <v>572.247940398537</v>
      </c>
      <c r="O189" s="49">
        <v>95</v>
      </c>
      <c r="P189" s="49">
        <v>66</v>
      </c>
      <c r="Q189" s="49">
        <v>19</v>
      </c>
      <c r="R189" s="49">
        <v>232.861889689045</v>
      </c>
      <c r="S189" s="49">
        <v>131.126112640433</v>
      </c>
      <c r="T189" s="49">
        <v>28.2599380690589</v>
      </c>
      <c r="U189" s="49">
        <v>54</v>
      </c>
      <c r="V189" s="110">
        <f>((O189+R189)*100)/N189</f>
        <v>57.2936775378708</v>
      </c>
      <c r="W189" s="110">
        <f>((P189+S189)*100)/N189</f>
        <v>34.4476753386209</v>
      </c>
      <c r="X189" s="110">
        <f>((Q189+T189)*100)/N189</f>
        <v>8.25864712350824</v>
      </c>
    </row>
    <row r="190" spans="1:24" s="168" customFormat="1" ht="22.500000" customHeight="1">
      <c r="A190" s="34">
        <v>188</v>
      </c>
      <c r="B190" s="107">
        <f>C190+D190+E190+F190+G190+H190</f>
        <v>4.39119256828707</v>
      </c>
      <c r="C190" s="49">
        <v>1</v>
      </c>
      <c r="D190" s="49">
        <v>0</v>
      </c>
      <c r="E190" s="49">
        <v>0</v>
      </c>
      <c r="F190" s="49">
        <v>3.39119256828707</v>
      </c>
      <c r="G190" s="49">
        <v>0</v>
      </c>
      <c r="H190" s="49">
        <v>0</v>
      </c>
      <c r="I190" s="78">
        <f>(100*B190)/N190</f>
        <v>2.2438942247499</v>
      </c>
      <c r="J190" s="110">
        <f>((C190+F190)*100)/B190</f>
        <v>100</v>
      </c>
      <c r="K190" s="110">
        <f>((D190+G190)*100)/B190</f>
        <v>0</v>
      </c>
      <c r="L190" s="110">
        <f>((E190+H190)*100)/B190</f>
        <v>0</v>
      </c>
      <c r="M190" s="111">
        <f>N190-B189</f>
        <v>121.261652021991</v>
      </c>
      <c r="N190" s="107">
        <f>O190+P190+Q190+R190+S190+T190</f>
        <v>195.695167795911</v>
      </c>
      <c r="O190" s="49">
        <v>96</v>
      </c>
      <c r="P190" s="49">
        <v>66</v>
      </c>
      <c r="Q190" s="49">
        <v>19</v>
      </c>
      <c r="R190" s="49">
        <v>14.6951677959106</v>
      </c>
      <c r="S190" s="49">
        <v>0</v>
      </c>
      <c r="T190" s="49">
        <v>0</v>
      </c>
      <c r="U190" s="49">
        <v>34</v>
      </c>
      <c r="V190" s="110">
        <f>((O190+R190)*100)/N190</f>
        <v>56.5651002232993</v>
      </c>
      <c r="W190" s="110">
        <f>((P190+S190)*100)/N190</f>
        <v>33.7259221795558</v>
      </c>
      <c r="X190" s="110">
        <f>((Q190+T190)*100)/N190</f>
        <v>9.70897759714486</v>
      </c>
    </row>
    <row r="191" spans="1:24" s="168" customFormat="1" ht="22.500000" customHeight="1">
      <c r="A191" s="34">
        <v>189</v>
      </c>
      <c r="B191" s="107">
        <f>C191+D191+E191+F191+G191+H191</f>
        <v>198.604522549383</v>
      </c>
      <c r="C191" s="49">
        <v>44</v>
      </c>
      <c r="D191" s="49">
        <v>8</v>
      </c>
      <c r="E191" s="49">
        <v>20</v>
      </c>
      <c r="F191" s="49">
        <v>116.430944844522</v>
      </c>
      <c r="G191" s="49">
        <v>3.39119256828707</v>
      </c>
      <c r="H191" s="49">
        <v>6.78238513657414</v>
      </c>
      <c r="I191" s="78">
        <f>(100*B191)/N191</f>
        <v>23.2410121161451</v>
      </c>
      <c r="J191" s="110">
        <f>((C191+F191)*100)/B191</f>
        <v>80.7790994812974</v>
      </c>
      <c r="K191" s="110">
        <f>((D191+G191)*100)/B191</f>
        <v>5.7356158973946</v>
      </c>
      <c r="L191" s="110">
        <f>((E191+H191)*100)/B191</f>
        <v>13.485284621308</v>
      </c>
      <c r="M191" s="111">
        <f>N191-B190</f>
        <v>850.152153293216</v>
      </c>
      <c r="N191" s="107">
        <f>O191+P191+Q191+R191+S191+T191</f>
        <v>854.543345861503</v>
      </c>
      <c r="O191" s="49">
        <v>102</v>
      </c>
      <c r="P191" s="49">
        <v>75</v>
      </c>
      <c r="Q191" s="49">
        <v>14</v>
      </c>
      <c r="R191" s="49">
        <v>313.120113805172</v>
      </c>
      <c r="S191" s="49">
        <v>304.076933623074</v>
      </c>
      <c r="T191" s="49">
        <v>46.3462984332566</v>
      </c>
      <c r="U191" s="49">
        <v>62</v>
      </c>
      <c r="V191" s="110">
        <f>((O191+R191)*100)/N191</f>
        <v>48.5780055295699</v>
      </c>
      <c r="W191" s="110">
        <f>((P191+S191)*100)/N191</f>
        <v>44.3601761641371</v>
      </c>
      <c r="X191" s="110">
        <f>((Q191+T191)*100)/N191</f>
        <v>7.06181830629304</v>
      </c>
    </row>
    <row r="192" spans="1:24" s="168" customFormat="1" ht="22.500000" customHeight="1">
      <c r="A192" s="34">
        <v>190</v>
      </c>
      <c r="B192" s="107">
        <f>C192+D192+E192+F192+G192+H192</f>
        <v>26.3039752276236</v>
      </c>
      <c r="C192" s="49">
        <v>9</v>
      </c>
      <c r="D192" s="49">
        <v>2</v>
      </c>
      <c r="E192" s="49">
        <v>4</v>
      </c>
      <c r="F192" s="49">
        <v>6.78238513657414</v>
      </c>
      <c r="G192" s="49">
        <v>3.39119256828707</v>
      </c>
      <c r="H192" s="49">
        <v>1.13039752276235</v>
      </c>
      <c r="I192" s="78">
        <f>(100*B192)/N192</f>
        <v>7.44524825536668</v>
      </c>
      <c r="J192" s="110">
        <f>((C192+F192)*100)/B192</f>
        <v>60</v>
      </c>
      <c r="K192" s="110">
        <f>((D192+G192)*100)/B192</f>
        <v>20.4957331416029</v>
      </c>
      <c r="L192" s="110">
        <f>((E192+H192)*100)/B192</f>
        <v>19.504266858397</v>
      </c>
      <c r="M192" s="111">
        <f>N192-B191</f>
        <v>154.694310819446</v>
      </c>
      <c r="N192" s="107">
        <f>O192+P192+Q192+R192+S192+T192</f>
        <v>353.298833368829</v>
      </c>
      <c r="O192" s="49">
        <v>98</v>
      </c>
      <c r="P192" s="49">
        <v>74</v>
      </c>
      <c r="Q192" s="49">
        <v>14</v>
      </c>
      <c r="R192" s="49">
        <v>85.9102117299391</v>
      </c>
      <c r="S192" s="49">
        <v>70.0846464112661</v>
      </c>
      <c r="T192" s="49">
        <v>11.3039752276235</v>
      </c>
      <c r="U192" s="49">
        <v>49</v>
      </c>
      <c r="V192" s="110">
        <f>((O192+R192)*100)/N192</f>
        <v>52.0551426610415</v>
      </c>
      <c r="W192" s="110">
        <f>((P192+S192)*100)/N192</f>
        <v>40.7826555885759</v>
      </c>
      <c r="X192" s="110">
        <f>((Q192+T192)*100)/N192</f>
        <v>7.16220175038259</v>
      </c>
    </row>
    <row r="193" spans="1:24" s="168" customFormat="1" ht="22.500000" customHeight="1">
      <c r="A193" s="34">
        <v>191</v>
      </c>
      <c r="B193" s="107">
        <f>C193+D193+E193+F193+G193+H193</f>
        <v>10</v>
      </c>
      <c r="C193" s="49">
        <v>10</v>
      </c>
      <c r="D193" s="49">
        <v>0</v>
      </c>
      <c r="E193" s="49">
        <v>0</v>
      </c>
      <c r="F193" s="49">
        <v>0</v>
      </c>
      <c r="G193" s="49">
        <v>0</v>
      </c>
      <c r="H193" s="49">
        <v>0</v>
      </c>
      <c r="I193" s="78">
        <f>(100*B193)/N193</f>
        <v>4.97944571157156</v>
      </c>
      <c r="J193" s="110">
        <f>((C193+F193)*100)/B193</f>
        <v>100</v>
      </c>
      <c r="K193" s="110">
        <f>((D193+G193)*100)/B193</f>
        <v>0</v>
      </c>
      <c r="L193" s="110">
        <f>((E193+H193)*100)/B193</f>
        <v>0</v>
      </c>
      <c r="M193" s="111">
        <f>N193-B192</f>
        <v>174.521590091049</v>
      </c>
      <c r="N193" s="107">
        <f>O193+P193+Q193+R193+S193+T193</f>
        <v>200.825565318673</v>
      </c>
      <c r="O193" s="49">
        <v>97</v>
      </c>
      <c r="P193" s="49">
        <v>74</v>
      </c>
      <c r="Q193" s="49">
        <v>14</v>
      </c>
      <c r="R193" s="49">
        <v>10.1735777048612</v>
      </c>
      <c r="S193" s="49">
        <v>5.65198761381178</v>
      </c>
      <c r="T193" s="49">
        <v>0</v>
      </c>
      <c r="U193" s="49">
        <v>42</v>
      </c>
      <c r="V193" s="110">
        <f>((O193+R193)*100)/N193</f>
        <v>53.3665011896252</v>
      </c>
      <c r="W193" s="110">
        <f>((P193+S193)*100)/N193</f>
        <v>39.6622748141746</v>
      </c>
      <c r="X193" s="110">
        <f>((Q193+T193)*100)/N193</f>
        <v>6.97122399620018</v>
      </c>
    </row>
    <row r="194" spans="1:24" s="168" customFormat="1" ht="22.500000" customHeight="1">
      <c r="A194" s="34">
        <v>192</v>
      </c>
      <c r="B194" s="107">
        <f>C194+D194+E194+F194+G194+H194</f>
        <v>36.4343727503859</v>
      </c>
      <c r="C194" s="49">
        <v>22</v>
      </c>
      <c r="D194" s="49">
        <v>1</v>
      </c>
      <c r="E194" s="49">
        <v>1</v>
      </c>
      <c r="F194" s="49">
        <v>11.3039752276235</v>
      </c>
      <c r="G194" s="49">
        <v>1.13039752276235</v>
      </c>
      <c r="H194" s="49">
        <v>0</v>
      </c>
      <c r="I194" s="78">
        <f>(100*B194)/N194</f>
        <v>12.5806961217493</v>
      </c>
      <c r="J194" s="110">
        <f>((C194+F194)*100)/B194</f>
        <v>91.4081201720998</v>
      </c>
      <c r="K194" s="110">
        <f>((D194+G194)*100)/B194</f>
        <v>5.84721888135096</v>
      </c>
      <c r="L194" s="110">
        <f>((E194+H194)*100)/B194</f>
        <v>2.74466094654919</v>
      </c>
      <c r="M194" s="111">
        <f>N194-B193</f>
        <v>279.60537952585</v>
      </c>
      <c r="N194" s="107">
        <f>O194+P194+Q194+R194+S194+T194</f>
        <v>289.60537952585</v>
      </c>
      <c r="O194" s="49">
        <v>101</v>
      </c>
      <c r="P194" s="49">
        <v>74</v>
      </c>
      <c r="Q194" s="49">
        <v>14</v>
      </c>
      <c r="R194" s="49">
        <v>45.2159009104942</v>
      </c>
      <c r="S194" s="49">
        <v>48.6070934787813</v>
      </c>
      <c r="T194" s="49">
        <v>6.78238513657414</v>
      </c>
      <c r="U194" s="49">
        <v>52</v>
      </c>
      <c r="V194" s="110">
        <f>((O194+R194)*100)/N194</f>
        <v>50.4879782101711</v>
      </c>
      <c r="W194" s="110">
        <f>((P194+S194)*100)/N194</f>
        <v>42.3359171295496</v>
      </c>
      <c r="X194" s="110">
        <f>((Q194+T194)*100)/N194</f>
        <v>7.17610466027933</v>
      </c>
    </row>
    <row r="195" spans="1:24" s="168" customFormat="1" ht="22.500000" customHeight="1">
      <c r="A195" s="34">
        <v>193</v>
      </c>
      <c r="B195" s="107">
        <f>C195+D195+E195+F195+G195+H195</f>
        <v>62.3031182511577</v>
      </c>
      <c r="C195" s="49">
        <v>17</v>
      </c>
      <c r="D195" s="49">
        <v>3</v>
      </c>
      <c r="E195" s="49">
        <v>5</v>
      </c>
      <c r="F195" s="49">
        <v>21.4775529324847</v>
      </c>
      <c r="G195" s="49">
        <v>14.6951677959106</v>
      </c>
      <c r="H195" s="49">
        <v>1.13039752276235</v>
      </c>
      <c r="I195" s="78">
        <f>(100*B195)/N195</f>
        <v>11.9119123777085</v>
      </c>
      <c r="J195" s="110">
        <f>((C195+F195)*100)/B195</f>
        <v>61.7586310485667</v>
      </c>
      <c r="K195" s="110">
        <f>((D195+G195)*100)/B195</f>
        <v>28.401737011906</v>
      </c>
      <c r="L195" s="110">
        <f>((E195+H195)*100)/B195</f>
        <v>9.83963193952727</v>
      </c>
      <c r="M195" s="111">
        <f>N195-B194</f>
        <v>486.597666737657</v>
      </c>
      <c r="N195" s="107">
        <f>O195+P195+Q195+R195+S195+T195</f>
        <v>523.032039488043</v>
      </c>
      <c r="O195" s="49">
        <v>90</v>
      </c>
      <c r="P195" s="49">
        <v>70</v>
      </c>
      <c r="Q195" s="49">
        <v>16</v>
      </c>
      <c r="R195" s="49">
        <v>177.47241107369</v>
      </c>
      <c r="S195" s="49">
        <v>146.951677959106</v>
      </c>
      <c r="T195" s="49">
        <v>22.6079504552471</v>
      </c>
      <c r="U195" s="49">
        <v>63</v>
      </c>
      <c r="V195" s="110">
        <f>((O195+R195)*100)/N195</f>
        <v>51.1388195903828</v>
      </c>
      <c r="W195" s="110">
        <f>((P195+S195)*100)/N195</f>
        <v>41.479615316007</v>
      </c>
      <c r="X195" s="110">
        <f>((Q195+T195)*100)/N195</f>
        <v>7.38156509361024</v>
      </c>
    </row>
    <row r="196" spans="1:24" s="168" customFormat="1" ht="22.500000" customHeight="1">
      <c r="A196" s="34">
        <v>194</v>
      </c>
      <c r="B196" s="107">
        <f>C196+D196+E196+F196+G196+H196</f>
        <v>26.1735777048612</v>
      </c>
      <c r="C196" s="49">
        <v>8</v>
      </c>
      <c r="D196" s="49">
        <v>5</v>
      </c>
      <c r="E196" s="49">
        <v>3</v>
      </c>
      <c r="F196" s="49">
        <v>6.78238513657414</v>
      </c>
      <c r="G196" s="49">
        <v>3.39119256828707</v>
      </c>
      <c r="H196" s="49">
        <v>0</v>
      </c>
      <c r="I196" s="78">
        <f>(100*B196)/N196</f>
        <v>4.08001422089238</v>
      </c>
      <c r="J196" s="110">
        <f>((C196+F196)*100)/B196</f>
        <v>56.4782747825438</v>
      </c>
      <c r="K196" s="110">
        <f>((D196+G196)*100)/B196</f>
        <v>32.059784347818</v>
      </c>
      <c r="L196" s="110">
        <f>((E196+H196)*100)/B196</f>
        <v>11.4619408696382</v>
      </c>
      <c r="M196" s="111">
        <f>N196-B195</f>
        <v>579.203903239972</v>
      </c>
      <c r="N196" s="107">
        <f>O196+P196+Q196+R196+S196+T196</f>
        <v>641.507021491129</v>
      </c>
      <c r="O196" s="49">
        <v>106</v>
      </c>
      <c r="P196" s="49">
        <v>73</v>
      </c>
      <c r="Q196" s="49">
        <v>16</v>
      </c>
      <c r="R196" s="49">
        <v>213.645131802085</v>
      </c>
      <c r="S196" s="49">
        <v>189.906783824075</v>
      </c>
      <c r="T196" s="49">
        <v>42.9551058649695</v>
      </c>
      <c r="U196" s="49">
        <v>55</v>
      </c>
      <c r="V196" s="110">
        <f>((O196+R196)*100)/N196</f>
        <v>49.8272226325905</v>
      </c>
      <c r="W196" s="110">
        <f>((P196+S196)*100)/N196</f>
        <v>40.9826821868559</v>
      </c>
      <c r="X196" s="110">
        <f>((Q196+T196)*100)/N196</f>
        <v>9.19009518055364</v>
      </c>
    </row>
    <row r="197" spans="1:24" s="168" customFormat="1" ht="22.500000" customHeight="1">
      <c r="A197" s="34">
        <v>195</v>
      </c>
      <c r="B197" s="107">
        <f>C197+D197+E197+F197+G197+H197</f>
        <v>109.563056320217</v>
      </c>
      <c r="C197" s="49">
        <v>27</v>
      </c>
      <c r="D197" s="49">
        <v>9</v>
      </c>
      <c r="E197" s="49">
        <v>8</v>
      </c>
      <c r="F197" s="49">
        <v>33.9119256828707</v>
      </c>
      <c r="G197" s="49">
        <v>20.3471554097224</v>
      </c>
      <c r="H197" s="49">
        <v>11.3039752276235</v>
      </c>
      <c r="I197" s="78">
        <f>(100*B197)/N197</f>
        <v>16.4534451375767</v>
      </c>
      <c r="J197" s="110">
        <f>((C197+F197)*100)/B197</f>
        <v>55.595314450562</v>
      </c>
      <c r="K197" s="110">
        <f>((D197+G197)*100)/B197</f>
        <v>26.7856304810906</v>
      </c>
      <c r="L197" s="110">
        <f>((E197+H197)*100)/B197</f>
        <v>17.6190550683475</v>
      </c>
      <c r="M197" s="111">
        <f>N197-B196</f>
        <v>639.72377937809</v>
      </c>
      <c r="N197" s="107">
        <f>O197+P197+Q197+R197+S197+T197</f>
        <v>665.897357082951</v>
      </c>
      <c r="O197" s="49">
        <v>107</v>
      </c>
      <c r="P197" s="49">
        <v>68</v>
      </c>
      <c r="Q197" s="49">
        <v>15</v>
      </c>
      <c r="R197" s="49">
        <v>233.992287211807</v>
      </c>
      <c r="S197" s="49">
        <v>219.297119415897</v>
      </c>
      <c r="T197" s="49">
        <v>22.6079504552471</v>
      </c>
      <c r="U197" s="49">
        <v>58</v>
      </c>
      <c r="V197" s="110">
        <f>((O197+R197)*100)/N197</f>
        <v>51.2079352147556</v>
      </c>
      <c r="W197" s="110">
        <f>((P197+S197)*100)/N197</f>
        <v>43.1443549610167</v>
      </c>
      <c r="X197" s="110">
        <f>((Q197+T197)*100)/N197</f>
        <v>5.6477098242278</v>
      </c>
    </row>
    <row r="198" spans="1:24" s="168" customFormat="1" ht="22.500000" customHeight="1">
      <c r="A198" s="34">
        <v>196</v>
      </c>
      <c r="B198" s="107">
        <f>C198+D198+E198+F198+G198+H198</f>
        <v>55.8687455007718</v>
      </c>
      <c r="C198" s="49">
        <v>24</v>
      </c>
      <c r="D198" s="49">
        <v>1</v>
      </c>
      <c r="E198" s="49">
        <v>6</v>
      </c>
      <c r="F198" s="49">
        <v>23.7383479780094</v>
      </c>
      <c r="G198" s="49">
        <v>0</v>
      </c>
      <c r="H198" s="49">
        <v>1.13039752276235</v>
      </c>
      <c r="I198" s="78">
        <f>(100*B198)/N198</f>
        <v>13.8038160350156</v>
      </c>
      <c r="J198" s="110">
        <f>((C198+F198)*100)/B198</f>
        <v>85.4473239914613</v>
      </c>
      <c r="K198" s="110">
        <f>((D198+G198)*100)/B198</f>
        <v>1.78990952998253</v>
      </c>
      <c r="L198" s="110">
        <f>((E198+H198)*100)/B198</f>
        <v>12.7627664785562</v>
      </c>
      <c r="M198" s="111">
        <f>N198-B197</f>
        <v>295.171006775464</v>
      </c>
      <c r="N198" s="107">
        <f>O198+P198+Q198+R198+S198+T198</f>
        <v>404.73406309568</v>
      </c>
      <c r="O198" s="49">
        <v>102</v>
      </c>
      <c r="P198" s="49">
        <v>106</v>
      </c>
      <c r="Q198" s="49">
        <v>43</v>
      </c>
      <c r="R198" s="49">
        <v>80.2582241161273</v>
      </c>
      <c r="S198" s="49">
        <v>61.0414662291672</v>
      </c>
      <c r="T198" s="49">
        <v>12.4343727503859</v>
      </c>
      <c r="U198" s="49">
        <v>49</v>
      </c>
      <c r="V198" s="110">
        <f>((O198+R198)*100)/N198</f>
        <v>45.0315999404876</v>
      </c>
      <c r="W198" s="110">
        <f>((P198+S198)*100)/N198</f>
        <v>41.2719070274246</v>
      </c>
      <c r="X198" s="110">
        <f>((Q198+T198)*100)/N198</f>
        <v>13.6964930320878</v>
      </c>
    </row>
    <row r="199" spans="1:24" s="168" customFormat="1" ht="22.500000" customHeight="1">
      <c r="A199" s="34">
        <v>197</v>
      </c>
      <c r="B199" s="107">
        <f>C199+D199+E199+F199+G199+H199</f>
        <v>51.0863603641977</v>
      </c>
      <c r="C199" s="49">
        <v>30</v>
      </c>
      <c r="D199" s="49">
        <v>1</v>
      </c>
      <c r="E199" s="49">
        <v>2</v>
      </c>
      <c r="F199" s="49">
        <v>14.6951677959106</v>
      </c>
      <c r="G199" s="49">
        <v>0</v>
      </c>
      <c r="H199" s="49">
        <v>3.39119256828707</v>
      </c>
      <c r="I199" s="78">
        <f>(100*B199)/N199</f>
        <v>8.34818548557131</v>
      </c>
      <c r="J199" s="110">
        <f>((C199+F199)*100)/B199</f>
        <v>87.4894345130014</v>
      </c>
      <c r="K199" s="110">
        <f>((D199+G199)*100)/B199</f>
        <v>1.95746965113768</v>
      </c>
      <c r="L199" s="110">
        <f>((E199+H199)*100)/B199</f>
        <v>10.553095835861</v>
      </c>
      <c r="M199" s="111">
        <f>N199-B198</f>
        <v>556.076933623074</v>
      </c>
      <c r="N199" s="107">
        <f>O199+P199+Q199+R199+S199+T199</f>
        <v>611.945679123846</v>
      </c>
      <c r="O199" s="49">
        <v>127</v>
      </c>
      <c r="P199" s="49">
        <v>109</v>
      </c>
      <c r="Q199" s="49">
        <v>47</v>
      </c>
      <c r="R199" s="49">
        <v>152.603665572918</v>
      </c>
      <c r="S199" s="49">
        <v>145.821280436344</v>
      </c>
      <c r="T199" s="49">
        <v>30.5207331145836</v>
      </c>
      <c r="U199" s="49">
        <v>54</v>
      </c>
      <c r="V199" s="110">
        <f>((O199+R199)*100)/N199</f>
        <v>45.6909289682772</v>
      </c>
      <c r="W199" s="110">
        <f>((P199+S199)*100)/N199</f>
        <v>41.6411601763714</v>
      </c>
      <c r="X199" s="110">
        <f>((Q199+T199)*100)/N199</f>
        <v>12.6679108553514</v>
      </c>
    </row>
    <row r="200" spans="1:24" s="168" customFormat="1" ht="22.500000" customHeight="1">
      <c r="A200" s="34">
        <v>198</v>
      </c>
      <c r="B200" s="107">
        <f>C200+D200+E200+F200+G200+H200</f>
        <v>22.6519876138118</v>
      </c>
      <c r="C200" s="49">
        <v>16</v>
      </c>
      <c r="D200" s="49">
        <v>0</v>
      </c>
      <c r="E200" s="49">
        <v>1</v>
      </c>
      <c r="F200" s="49">
        <v>5.65198761381178</v>
      </c>
      <c r="G200" s="49">
        <v>0</v>
      </c>
      <c r="H200" s="49">
        <v>0</v>
      </c>
      <c r="I200" s="78">
        <f>(100*B200)/N200</f>
        <v>3.90733553201669</v>
      </c>
      <c r="J200" s="110">
        <f>((C200+F200)*100)/B200</f>
        <v>95.5853763605704</v>
      </c>
      <c r="K200" s="110">
        <f>((D200+G200)*100)/B200</f>
        <v>0</v>
      </c>
      <c r="L200" s="110">
        <f>((E200+H200)*100)/B200</f>
        <v>4.4146236394296</v>
      </c>
      <c r="M200" s="111">
        <f>N200-B199</f>
        <v>528.643417849153</v>
      </c>
      <c r="N200" s="107">
        <f>O200+P200+Q200+R200+S200+T200</f>
        <v>579.72977821335</v>
      </c>
      <c r="O200" s="49">
        <v>131</v>
      </c>
      <c r="P200" s="49">
        <v>115</v>
      </c>
      <c r="Q200" s="49">
        <v>50</v>
      </c>
      <c r="R200" s="49">
        <v>125.474125026621</v>
      </c>
      <c r="S200" s="49">
        <v>113.039752276235</v>
      </c>
      <c r="T200" s="49">
        <v>45.2159009104942</v>
      </c>
      <c r="U200" s="49">
        <v>57</v>
      </c>
      <c r="V200" s="110">
        <f>((O200+R200)*100)/N200</f>
        <v>44.2402882627558</v>
      </c>
      <c r="W200" s="110">
        <f>((P200+S200)*100)/N200</f>
        <v>39.3355250749794</v>
      </c>
      <c r="X200" s="110">
        <f>((Q200+T200)*100)/N200</f>
        <v>16.4241866622648</v>
      </c>
    </row>
    <row r="201" spans="1:24" s="168" customFormat="1" ht="22.500000" customHeight="1">
      <c r="A201" s="34">
        <v>199</v>
      </c>
      <c r="B201" s="107">
        <f>C201+D201+E201+F201+G201+H201</f>
        <v>32.0431801820988</v>
      </c>
      <c r="C201" s="49">
        <v>18</v>
      </c>
      <c r="D201" s="49">
        <v>1</v>
      </c>
      <c r="E201" s="49">
        <v>4</v>
      </c>
      <c r="F201" s="49">
        <v>4.52159009104942</v>
      </c>
      <c r="G201" s="49">
        <v>0</v>
      </c>
      <c r="H201" s="49">
        <v>4.52159009104942</v>
      </c>
      <c r="I201" s="78">
        <f>(100*B201)/N201</f>
        <v>5.32595728896248</v>
      </c>
      <c r="J201" s="110">
        <f>((C201+F201)*100)/B201</f>
        <v>70.2851276404559</v>
      </c>
      <c r="K201" s="110">
        <f>((D201+G201)*100)/B201</f>
        <v>3.12078886776244</v>
      </c>
      <c r="L201" s="110">
        <f>((E201+H201)*100)/B201</f>
        <v>26.5940834917817</v>
      </c>
      <c r="M201" s="111">
        <f>N201-B200</f>
        <v>578.98971628241</v>
      </c>
      <c r="N201" s="107">
        <f>O201+P201+Q201+R201+S201+T201</f>
        <v>601.641703896221</v>
      </c>
      <c r="O201" s="49">
        <v>122</v>
      </c>
      <c r="P201" s="49">
        <v>114</v>
      </c>
      <c r="Q201" s="49">
        <v>48</v>
      </c>
      <c r="R201" s="49">
        <v>183.124398687501</v>
      </c>
      <c r="S201" s="49">
        <v>117.561342367285</v>
      </c>
      <c r="T201" s="49">
        <v>16.9559628414353</v>
      </c>
      <c r="U201" s="49">
        <v>46</v>
      </c>
      <c r="V201" s="110">
        <f>((O201+R201)*100)/N201</f>
        <v>50.7153006035853</v>
      </c>
      <c r="W201" s="110">
        <f>((P201+S201)*100)/N201</f>
        <v>38.4882465540034</v>
      </c>
      <c r="X201" s="110">
        <f>((Q201+T201)*100)/N201</f>
        <v>10.7964528424113</v>
      </c>
    </row>
    <row r="202" spans="1:24" s="168" customFormat="1" ht="22.500000" customHeight="1">
      <c r="A202" s="34">
        <v>200</v>
      </c>
      <c r="B202" s="107">
        <f>C202+D202+E202+F202+G202+H202</f>
        <v>124.997429070603</v>
      </c>
      <c r="C202" s="49">
        <v>39</v>
      </c>
      <c r="D202" s="49">
        <v>3</v>
      </c>
      <c r="E202" s="49">
        <v>5</v>
      </c>
      <c r="F202" s="49">
        <v>67.8238513657414</v>
      </c>
      <c r="G202" s="49">
        <v>5.65198761381178</v>
      </c>
      <c r="H202" s="49">
        <v>4.52159009104942</v>
      </c>
      <c r="I202" s="78">
        <f>(100*B202)/N202</f>
        <v>11.0111525237538</v>
      </c>
      <c r="J202" s="110">
        <f>((C202+F202)*100)/B202</f>
        <v>85.4608388028556</v>
      </c>
      <c r="K202" s="110">
        <f>((D202+G202)*100)/B202</f>
        <v>6.92173245333299</v>
      </c>
      <c r="L202" s="110">
        <f>((E202+H202)*100)/B202</f>
        <v>7.61742874381146</v>
      </c>
      <c r="M202" s="111">
        <f>N202-B201</f>
        <v>1103.14615445795</v>
      </c>
      <c r="N202" s="107">
        <f>O202+P202+Q202+R202+S202+T202</f>
        <v>1135.18933464005</v>
      </c>
      <c r="O202" s="49">
        <v>130</v>
      </c>
      <c r="P202" s="49">
        <v>106</v>
      </c>
      <c r="Q202" s="49">
        <v>48</v>
      </c>
      <c r="R202" s="49">
        <v>411.464698285497</v>
      </c>
      <c r="S202" s="49">
        <v>323.293691510034</v>
      </c>
      <c r="T202" s="49">
        <v>116.430944844522</v>
      </c>
      <c r="U202" s="49">
        <v>61</v>
      </c>
      <c r="V202" s="110">
        <f>((O202+R202)*100)/N202</f>
        <v>47.6981840617085</v>
      </c>
      <c r="W202" s="110">
        <f>((P202+S202)*100)/N202</f>
        <v>37.816924314758</v>
      </c>
      <c r="X202" s="110">
        <f>((Q202+T202)*100)/N202</f>
        <v>14.4848916235334</v>
      </c>
    </row>
    <row r="203" spans="1:24" s="168" customFormat="1" ht="22.500000" customHeight="1">
      <c r="A203" s="34">
        <v>201</v>
      </c>
      <c r="B203" s="107">
        <f>C203+D203+E203+F203+G203+H203</f>
        <v>0</v>
      </c>
      <c r="C203" s="49">
        <v>0</v>
      </c>
      <c r="D203" s="49">
        <v>0</v>
      </c>
      <c r="E203" s="49">
        <v>0</v>
      </c>
      <c r="F203" s="49">
        <v>0</v>
      </c>
      <c r="G203" s="49">
        <v>0</v>
      </c>
      <c r="H203" s="49">
        <v>0</v>
      </c>
      <c r="I203" s="78">
        <f>(100*B203)/N203</f>
        <v>0</v>
      </c>
      <c r="J203" s="110" t="e">
        <f>((C203+F203)*100)/B203</f>
        <v>#DIV/0!</v>
      </c>
      <c r="K203" s="110" t="e">
        <f>((D203+G203)*100)/B203</f>
        <v>#DIV/0!</v>
      </c>
      <c r="L203" s="110" t="e">
        <f>((E203+H203)*100)/B203</f>
        <v>#DIV/0!</v>
      </c>
      <c r="M203" s="111">
        <f>N203-B202</f>
        <v>195.002570929397</v>
      </c>
      <c r="N203" s="107">
        <f>O203+P203+Q203+R203+S203+T203</f>
        <v>320</v>
      </c>
      <c r="O203" s="49">
        <v>154</v>
      </c>
      <c r="P203" s="49">
        <v>114</v>
      </c>
      <c r="Q203" s="49">
        <v>52</v>
      </c>
      <c r="R203" s="49">
        <v>0</v>
      </c>
      <c r="S203" s="49">
        <v>0</v>
      </c>
      <c r="T203" s="49">
        <v>0</v>
      </c>
      <c r="U203" s="49">
        <v>36</v>
      </c>
      <c r="V203" s="110">
        <f>((O203+R203)*100)/N203</f>
        <v>48.125</v>
      </c>
      <c r="W203" s="110">
        <f>((P203+S203)*100)/N203</f>
        <v>35.625</v>
      </c>
      <c r="X203" s="110">
        <f>((Q203+T203)*100)/N203</f>
        <v>16.25</v>
      </c>
    </row>
    <row r="204" spans="1:24" s="168" customFormat="1" ht="22.500000" customHeight="1">
      <c r="A204" s="34">
        <v>202</v>
      </c>
      <c r="B204" s="107">
        <f>C204+D204+E204+F204+G204+H204</f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78">
        <f>(100*B204)/N204</f>
        <v>0</v>
      </c>
      <c r="J204" s="110" t="e">
        <f>((C204+F204)*100)/B204</f>
        <v>#DIV/0!</v>
      </c>
      <c r="K204" s="110" t="e">
        <f>((D204+G204)*100)/B204</f>
        <v>#DIV/0!</v>
      </c>
      <c r="L204" s="110" t="e">
        <f>((E204+H204)*100)/B204</f>
        <v>#DIV/0!</v>
      </c>
      <c r="M204" s="111">
        <f>N204-B203</f>
        <v>215</v>
      </c>
      <c r="N204" s="107">
        <f>O204+P204+Q204+R204+S204+T204</f>
        <v>215</v>
      </c>
      <c r="O204" s="49">
        <v>90</v>
      </c>
      <c r="P204" s="49">
        <v>83</v>
      </c>
      <c r="Q204" s="49">
        <v>42</v>
      </c>
      <c r="R204" s="49">
        <v>0</v>
      </c>
      <c r="S204" s="49">
        <v>0</v>
      </c>
      <c r="T204" s="49">
        <v>0</v>
      </c>
      <c r="U204" s="49">
        <v>32</v>
      </c>
      <c r="V204" s="110">
        <f>((O204+R204)*100)/N204</f>
        <v>41.8604651162791</v>
      </c>
      <c r="W204" s="110">
        <f>((P204+S204)*100)/N204</f>
        <v>38.6046511627907</v>
      </c>
      <c r="X204" s="110">
        <f>((Q204+T204)*100)/N204</f>
        <v>19.5348837209302</v>
      </c>
    </row>
    <row r="205" spans="1:24" s="168" customFormat="1" ht="22.500000" customHeight="1">
      <c r="A205" s="34">
        <v>203</v>
      </c>
      <c r="B205" s="107">
        <f>C205+D205+E205+F205+G205+H205</f>
        <v>67.042323205633</v>
      </c>
      <c r="C205" s="49">
        <v>30</v>
      </c>
      <c r="D205" s="49">
        <v>0</v>
      </c>
      <c r="E205" s="49">
        <v>2</v>
      </c>
      <c r="F205" s="49">
        <v>32.7815281601083</v>
      </c>
      <c r="G205" s="49">
        <v>1.13039752276235</v>
      </c>
      <c r="H205" s="49">
        <v>1.13039752276235</v>
      </c>
      <c r="I205" s="78">
        <f>(100*B205)/N205</f>
        <v>14.8755689692949</v>
      </c>
      <c r="J205" s="110">
        <f>((C205+F205)*100)/B205</f>
        <v>93.6446190379532</v>
      </c>
      <c r="K205" s="110">
        <f>((D205+G205)*100)/B205</f>
        <v>1.68609539274941</v>
      </c>
      <c r="L205" s="110">
        <f>((E205+H205)*100)/B205</f>
        <v>4.66928556929741</v>
      </c>
      <c r="M205" s="111">
        <f>N205-B204</f>
        <v>450.687455007718</v>
      </c>
      <c r="N205" s="107">
        <f>O205+P205+Q205+R205+S205+T205</f>
        <v>450.687455007718</v>
      </c>
      <c r="O205" s="49">
        <v>75</v>
      </c>
      <c r="P205" s="49">
        <v>85</v>
      </c>
      <c r="Q205" s="49">
        <v>42</v>
      </c>
      <c r="R205" s="49">
        <v>128.865317594908</v>
      </c>
      <c r="S205" s="49">
        <v>85.9102117299391</v>
      </c>
      <c r="T205" s="49">
        <v>33.9119256828707</v>
      </c>
      <c r="U205" s="49">
        <v>47</v>
      </c>
      <c r="V205" s="110">
        <f>((O205+R205)*100)/N205</f>
        <v>45.234300473577</v>
      </c>
      <c r="W205" s="110">
        <f>((P205+S205)*100)/N205</f>
        <v>37.9221142791766</v>
      </c>
      <c r="X205" s="110">
        <f>((Q205+T205)*100)/N205</f>
        <v>16.8435852472465</v>
      </c>
    </row>
    <row r="206" spans="1:24" s="168" customFormat="1" ht="22.500000" customHeight="1">
      <c r="A206" s="34">
        <v>204</v>
      </c>
      <c r="B206" s="107">
        <f>C206+D206+E206+F206+G206+H206</f>
        <v>30.4343727503859</v>
      </c>
      <c r="C206" s="49">
        <v>17</v>
      </c>
      <c r="D206" s="49">
        <v>0</v>
      </c>
      <c r="E206" s="49">
        <v>1</v>
      </c>
      <c r="F206" s="49">
        <v>9.04318018209885</v>
      </c>
      <c r="G206" s="49">
        <v>0</v>
      </c>
      <c r="H206" s="49">
        <v>3.39119256828707</v>
      </c>
      <c r="I206" s="78">
        <f>(100*B206)/N206</f>
        <v>7.35760448039015</v>
      </c>
      <c r="J206" s="110">
        <f>((C206+F206)*100)/B206</f>
        <v>85.5716015430895</v>
      </c>
      <c r="K206" s="110">
        <f>((D206+G206)*100)/B206</f>
        <v>0</v>
      </c>
      <c r="L206" s="110">
        <f>((E206+H206)*100)/B206</f>
        <v>14.4283984569105</v>
      </c>
      <c r="M206" s="111">
        <f>N206-B205</f>
        <v>346.602808596452</v>
      </c>
      <c r="N206" s="107">
        <f>O206+P206+Q206+R206+S206+T206</f>
        <v>413.645131802085</v>
      </c>
      <c r="O206" s="49">
        <v>73</v>
      </c>
      <c r="P206" s="49">
        <v>86</v>
      </c>
      <c r="Q206" s="49">
        <v>41</v>
      </c>
      <c r="R206" s="49">
        <v>85.9102117299391</v>
      </c>
      <c r="S206" s="49">
        <v>102.866174571374</v>
      </c>
      <c r="T206" s="49">
        <v>24.8687455007718</v>
      </c>
      <c r="U206" s="49">
        <v>38</v>
      </c>
      <c r="V206" s="110">
        <f>((O206+R206)*100)/N206</f>
        <v>38.4170390299607</v>
      </c>
      <c r="W206" s="110">
        <f>((P206+S206)*100)/N206</f>
        <v>45.6589864235946</v>
      </c>
      <c r="X206" s="110">
        <f>((Q206+T206)*100)/N206</f>
        <v>15.9239745464447</v>
      </c>
    </row>
    <row r="207" spans="1:24" s="168" customFormat="1" ht="22.500000" customHeight="1">
      <c r="A207" s="34">
        <v>205</v>
      </c>
      <c r="B207" s="107">
        <f>C207+D207+E207+F207+G207+H207</f>
        <v>9</v>
      </c>
      <c r="C207" s="49">
        <v>9</v>
      </c>
      <c r="D207" s="49">
        <v>0</v>
      </c>
      <c r="E207" s="49">
        <v>0</v>
      </c>
      <c r="F207" s="49">
        <v>0</v>
      </c>
      <c r="G207" s="49">
        <v>0</v>
      </c>
      <c r="H207" s="49">
        <v>0</v>
      </c>
      <c r="I207" s="78">
        <f>(100*B207)/N207</f>
        <v>4.49121534966318</v>
      </c>
      <c r="J207" s="110">
        <f>((C207+F207)*100)/B207</f>
        <v>100</v>
      </c>
      <c r="K207" s="110">
        <f>((D207+G207)*100)/B207</f>
        <v>0</v>
      </c>
      <c r="L207" s="110">
        <f>((E207+H207)*100)/B207</f>
        <v>0</v>
      </c>
      <c r="M207" s="111">
        <f>N207-B206</f>
        <v>169.956819817901</v>
      </c>
      <c r="N207" s="107">
        <f>O207+P207+Q207+R207+S207+T207</f>
        <v>200.391192568287</v>
      </c>
      <c r="O207" s="49">
        <v>70</v>
      </c>
      <c r="P207" s="49">
        <v>86</v>
      </c>
      <c r="Q207" s="49">
        <v>41</v>
      </c>
      <c r="R207" s="49">
        <v>1.13039752276235</v>
      </c>
      <c r="S207" s="49">
        <v>2.26079504552471</v>
      </c>
      <c r="T207" s="49">
        <v>0</v>
      </c>
      <c r="U207" s="49">
        <v>34</v>
      </c>
      <c r="V207" s="110">
        <f>((O207+R207)*100)/N207</f>
        <v>35.4957703535415</v>
      </c>
      <c r="W207" s="110">
        <f>((P207+S207)*100)/N207</f>
        <v>44.044248609104</v>
      </c>
      <c r="X207" s="110">
        <f>((Q207+T207)*100)/N207</f>
        <v>20.4599810373545</v>
      </c>
    </row>
    <row r="208" spans="1:24" s="168" customFormat="1" ht="22.500000" customHeight="1">
      <c r="A208" s="34">
        <v>206</v>
      </c>
      <c r="B208" s="107">
        <f>C208+D208+E208+F208+G208+H208</f>
        <v>30.2607950455247</v>
      </c>
      <c r="C208" s="49">
        <v>27</v>
      </c>
      <c r="D208" s="49">
        <v>0</v>
      </c>
      <c r="E208" s="49">
        <v>1</v>
      </c>
      <c r="F208" s="49">
        <v>2.26079504552471</v>
      </c>
      <c r="G208" s="49">
        <v>0</v>
      </c>
      <c r="H208" s="49">
        <v>0</v>
      </c>
      <c r="I208" s="78">
        <f>(100*B208)/N208</f>
        <v>13.6017295437927</v>
      </c>
      <c r="J208" s="110">
        <f>((C208+F208)*100)/B208</f>
        <v>96.6953941610074</v>
      </c>
      <c r="K208" s="110">
        <f>((D208+G208)*100)/B208</f>
        <v>0</v>
      </c>
      <c r="L208" s="110">
        <f>((E208+H208)*100)/B208</f>
        <v>3.30460583899262</v>
      </c>
      <c r="M208" s="111">
        <f>N208-B207</f>
        <v>213.477552932485</v>
      </c>
      <c r="N208" s="107">
        <f>O208+P208+Q208+R208+S208+T208</f>
        <v>222.477552932485</v>
      </c>
      <c r="O208" s="49">
        <v>72</v>
      </c>
      <c r="P208" s="49">
        <v>87</v>
      </c>
      <c r="Q208" s="49">
        <v>42</v>
      </c>
      <c r="R208" s="49">
        <v>3.39119256828707</v>
      </c>
      <c r="S208" s="49">
        <v>15.8255653186729</v>
      </c>
      <c r="T208" s="49">
        <v>2.26079504552471</v>
      </c>
      <c r="U208" s="49">
        <v>37</v>
      </c>
      <c r="V208" s="110">
        <f>((O208+R208)*100)/N208</f>
        <v>33.8871007769337</v>
      </c>
      <c r="W208" s="110">
        <f>((P208+S208)*100)/N208</f>
        <v>46.2183999973595</v>
      </c>
      <c r="X208" s="110">
        <f>((Q208+T208)*100)/N208</f>
        <v>19.8944992257069</v>
      </c>
    </row>
    <row r="209" spans="1:24" s="168" customFormat="1" ht="22.500000" customHeight="1">
      <c r="A209" s="34">
        <v>207</v>
      </c>
      <c r="B209" s="107">
        <f>C209+D209+E209+F209+G209+H209</f>
        <v>11</v>
      </c>
      <c r="C209" s="49">
        <v>11</v>
      </c>
      <c r="D209" s="49">
        <v>0</v>
      </c>
      <c r="E209" s="49">
        <v>0</v>
      </c>
      <c r="F209" s="49">
        <v>0</v>
      </c>
      <c r="G209" s="49">
        <v>0</v>
      </c>
      <c r="H209" s="49">
        <v>0</v>
      </c>
      <c r="I209" s="78">
        <f>(100*B209)/N209</f>
        <v>4.96377841708345</v>
      </c>
      <c r="J209" s="110">
        <f>((C209+F209)*100)/B209</f>
        <v>100</v>
      </c>
      <c r="K209" s="110">
        <f>((D209+G209)*100)/B209</f>
        <v>0</v>
      </c>
      <c r="L209" s="110">
        <f>((E209+H209)*100)/B209</f>
        <v>0</v>
      </c>
      <c r="M209" s="111">
        <f>N209-B208</f>
        <v>191.344584480325</v>
      </c>
      <c r="N209" s="107">
        <f>O209+P209+Q209+R209+S209+T209</f>
        <v>221.60537952585</v>
      </c>
      <c r="O209" s="49">
        <v>61</v>
      </c>
      <c r="P209" s="49">
        <v>48</v>
      </c>
      <c r="Q209" s="49">
        <v>12</v>
      </c>
      <c r="R209" s="49">
        <v>61.0414662291672</v>
      </c>
      <c r="S209" s="49">
        <v>28.2599380690589</v>
      </c>
      <c r="T209" s="49">
        <v>11.3039752276235</v>
      </c>
      <c r="U209" s="49">
        <v>41</v>
      </c>
      <c r="V209" s="110">
        <f>((O209+R209)*100)/N209</f>
        <v>55.0715269143236</v>
      </c>
      <c r="W209" s="110">
        <f>((P209+S209)*100)/N209</f>
        <v>34.4124940613923</v>
      </c>
      <c r="X209" s="110">
        <f>((Q209+T209)*100)/N209</f>
        <v>10.5159790242841</v>
      </c>
    </row>
    <row r="210" spans="1:24" s="168" customFormat="1" ht="22.500000" customHeight="1">
      <c r="A210" s="34">
        <v>208</v>
      </c>
      <c r="B210" s="107">
        <f>C210+D210+E210+F210+G210+H210</f>
        <v>69.9119256828706</v>
      </c>
      <c r="C210" s="49">
        <v>30</v>
      </c>
      <c r="D210" s="49">
        <v>2</v>
      </c>
      <c r="E210" s="49">
        <v>4</v>
      </c>
      <c r="F210" s="49">
        <v>29.3903355918212</v>
      </c>
      <c r="G210" s="49">
        <v>1.13039752276235</v>
      </c>
      <c r="H210" s="49">
        <v>3.39119256828707</v>
      </c>
      <c r="I210" s="78">
        <f>(100*B210)/N210</f>
        <v>22.3396496960425</v>
      </c>
      <c r="J210" s="110">
        <f>((C210+F210)*100)/B210</f>
        <v>84.9502213130608</v>
      </c>
      <c r="K210" s="110">
        <f>((D210+G210)*100)/B210</f>
        <v>4.47763023573722</v>
      </c>
      <c r="L210" s="110">
        <f>((E210+H210)*100)/B210</f>
        <v>10.572148451202</v>
      </c>
      <c r="M210" s="111">
        <f>N210-B209</f>
        <v>301.949964006175</v>
      </c>
      <c r="N210" s="107">
        <f>O210+P210+Q210+R210+S210+T210</f>
        <v>312.949964006175</v>
      </c>
      <c r="O210" s="49">
        <v>59</v>
      </c>
      <c r="P210" s="49">
        <v>46</v>
      </c>
      <c r="Q210" s="49">
        <v>9</v>
      </c>
      <c r="R210" s="49">
        <v>133.386907685958</v>
      </c>
      <c r="S210" s="49">
        <v>56.5198761381178</v>
      </c>
      <c r="T210" s="49">
        <v>9.04318018209885</v>
      </c>
      <c r="U210" s="49">
        <v>46</v>
      </c>
      <c r="V210" s="110">
        <f>((O210+R210)*100)/N210</f>
        <v>61.4752931181555</v>
      </c>
      <c r="W210" s="110">
        <f>((P210+S210)*100)/N210</f>
        <v>32.7591909025096</v>
      </c>
      <c r="X210" s="110">
        <f>((Q210+T210)*100)/N210</f>
        <v>5.76551597933491</v>
      </c>
    </row>
    <row r="211" spans="1:24" s="168" customFormat="1" ht="22.500000" customHeight="1">
      <c r="A211" s="34">
        <v>209</v>
      </c>
      <c r="B211" s="107">
        <f>C211+D211+E211+F211+G211+H211</f>
        <v>33.1735777048612</v>
      </c>
      <c r="C211" s="49">
        <v>20</v>
      </c>
      <c r="D211" s="49">
        <v>1</v>
      </c>
      <c r="E211" s="49">
        <v>2</v>
      </c>
      <c r="F211" s="49">
        <v>10.1735777048612</v>
      </c>
      <c r="G211" s="49">
        <v>0</v>
      </c>
      <c r="H211" s="49">
        <v>0</v>
      </c>
      <c r="I211" s="78">
        <f>(100*B211)/N211</f>
        <v>10.1883841727025</v>
      </c>
      <c r="J211" s="110">
        <f>((C211+F211)*100)/B211</f>
        <v>90.9566582576941</v>
      </c>
      <c r="K211" s="110">
        <f>((D211+G211)*100)/B211</f>
        <v>3.0144472474353</v>
      </c>
      <c r="L211" s="110">
        <f>((E211+H211)*100)/B211</f>
        <v>6.02889449487061</v>
      </c>
      <c r="M211" s="111">
        <f>N211-B210</f>
        <v>255.690025937116</v>
      </c>
      <c r="N211" s="107">
        <f>O211+P211+Q211+R211+S211+T211</f>
        <v>325.601951619986</v>
      </c>
      <c r="O211" s="49">
        <v>58</v>
      </c>
      <c r="P211" s="49">
        <v>50</v>
      </c>
      <c r="Q211" s="49">
        <v>13</v>
      </c>
      <c r="R211" s="49">
        <v>80.2582241161273</v>
      </c>
      <c r="S211" s="49">
        <v>108.518162185186</v>
      </c>
      <c r="T211" s="49">
        <v>15.8255653186729</v>
      </c>
      <c r="U211" s="49">
        <v>38</v>
      </c>
      <c r="V211" s="110">
        <f>((O211+R211)*100)/N211</f>
        <v>42.4623450284137</v>
      </c>
      <c r="W211" s="110">
        <f>((P211+S211)*100)/N211</f>
        <v>48.6846474342373</v>
      </c>
      <c r="X211" s="110">
        <f>((Q211+T211)*100)/N211</f>
        <v>8.85300753734903</v>
      </c>
    </row>
    <row r="212" spans="1:24" s="168" customFormat="1" ht="22.500000" customHeight="1">
      <c r="A212" s="34">
        <v>210</v>
      </c>
      <c r="B212" s="107">
        <f>C212+D212+E212+F212+G212+H212</f>
        <v>123.86703154784</v>
      </c>
      <c r="C212" s="49">
        <v>10</v>
      </c>
      <c r="D212" s="49">
        <v>17</v>
      </c>
      <c r="E212" s="49">
        <v>20</v>
      </c>
      <c r="F212" s="49">
        <v>4.52159009104942</v>
      </c>
      <c r="G212" s="49">
        <v>37.3031182511577</v>
      </c>
      <c r="H212" s="49">
        <v>35.042323205633</v>
      </c>
      <c r="I212" s="78">
        <f>(100*B212)/N212</f>
        <v>48.9434233190942</v>
      </c>
      <c r="J212" s="110">
        <f>((C212+F212)*100)/B212</f>
        <v>11.7235312008271</v>
      </c>
      <c r="K212" s="110">
        <f>((D212+G212)*100)/B212</f>
        <v>43.8398479180351</v>
      </c>
      <c r="L212" s="110">
        <f>((E212+H212)*100)/B212</f>
        <v>44.4366208811377</v>
      </c>
      <c r="M212" s="111">
        <f>N212-B211</f>
        <v>219.908497777007</v>
      </c>
      <c r="N212" s="107">
        <f>O212+P212+Q212+R212+S212+T212</f>
        <v>253.082075481868</v>
      </c>
      <c r="O212" s="49">
        <v>71</v>
      </c>
      <c r="P212" s="49">
        <v>33</v>
      </c>
      <c r="Q212" s="49">
        <v>1</v>
      </c>
      <c r="R212" s="49">
        <v>103.996572094136</v>
      </c>
      <c r="S212" s="49">
        <v>41.8247083422072</v>
      </c>
      <c r="T212" s="49">
        <v>2.26079504552471</v>
      </c>
      <c r="U212" s="49">
        <v>37</v>
      </c>
      <c r="V212" s="110">
        <f>((O212+R212)*100)/N212</f>
        <v>69.1461739283364</v>
      </c>
      <c r="W212" s="110">
        <f>((P212+S212)*100)/N212</f>
        <v>29.5653922545645</v>
      </c>
      <c r="X212" s="110">
        <f>((Q212+T212)*100)/N212</f>
        <v>1.28843381709912</v>
      </c>
    </row>
    <row r="213" spans="1:24" s="168" customFormat="1" ht="22.500000" customHeight="1">
      <c r="A213" s="34">
        <v>211</v>
      </c>
      <c r="B213" s="107">
        <f>C213+D213+E213+F213+G213+H213</f>
        <v>58.825565318673</v>
      </c>
      <c r="C213" s="49">
        <v>41</v>
      </c>
      <c r="D213" s="49">
        <v>2</v>
      </c>
      <c r="E213" s="49">
        <v>0</v>
      </c>
      <c r="F213" s="49">
        <v>14.6951677959106</v>
      </c>
      <c r="G213" s="49">
        <v>1.13039752276235</v>
      </c>
      <c r="H213" s="49">
        <v>0</v>
      </c>
      <c r="I213" s="78">
        <f>(100*B213)/N213</f>
        <v>25.4948688738919</v>
      </c>
      <c r="J213" s="110">
        <f>((C213+F213)*100)/B213</f>
        <v>94.67850839035</v>
      </c>
      <c r="K213" s="110">
        <f>((D213+G213)*100)/B213</f>
        <v>5.32149160964998</v>
      </c>
      <c r="L213" s="110">
        <f>((E213+H213)*100)/B213</f>
        <v>0</v>
      </c>
      <c r="M213" s="111">
        <f>N213-B212</f>
        <v>106.867888524306</v>
      </c>
      <c r="N213" s="107">
        <f>O213+P213+Q213+R213+S213+T213</f>
        <v>230.734920072146</v>
      </c>
      <c r="O213" s="49">
        <v>68</v>
      </c>
      <c r="P213" s="49">
        <v>34</v>
      </c>
      <c r="Q213" s="49">
        <v>1</v>
      </c>
      <c r="R213" s="49">
        <v>46.3462984332566</v>
      </c>
      <c r="S213" s="49">
        <v>79.1278265933649</v>
      </c>
      <c r="T213" s="49">
        <v>2.26079504552471</v>
      </c>
      <c r="U213" s="49">
        <v>47</v>
      </c>
      <c r="V213" s="110">
        <f>((O213+R213)*100)/N213</f>
        <v>49.5574308377348</v>
      </c>
      <c r="W213" s="110">
        <f>((P213+S213)*100)/N213</f>
        <v>49.0293478585695</v>
      </c>
      <c r="X213" s="110">
        <f>((Q213+T213)*100)/N213</f>
        <v>1.41322130369565</v>
      </c>
    </row>
    <row r="214" spans="1:24" s="168" customFormat="1" ht="22.500000" customHeight="1">
      <c r="A214" s="34">
        <v>212</v>
      </c>
      <c r="B214" s="107">
        <f>C214+D214+E214+F214+G214+H214</f>
        <v>34.5215900910494</v>
      </c>
      <c r="C214" s="49">
        <v>27</v>
      </c>
      <c r="D214" s="49">
        <v>2</v>
      </c>
      <c r="E214" s="49">
        <v>1</v>
      </c>
      <c r="F214" s="49">
        <v>2.26079504552471</v>
      </c>
      <c r="G214" s="49">
        <v>1.13039752276235</v>
      </c>
      <c r="H214" s="49">
        <v>1.13039752276235</v>
      </c>
      <c r="I214" s="78">
        <f>(100*B214)/N214</f>
        <v>17.0571527130755</v>
      </c>
      <c r="J214" s="110">
        <f>((C214+F214)*100)/B214</f>
        <v>84.7608553613853</v>
      </c>
      <c r="K214" s="110">
        <f>((D214+G214)*100)/B214</f>
        <v>9.0679412926984</v>
      </c>
      <c r="L214" s="110">
        <f>((E214+H214)*100)/B214</f>
        <v>6.1712033459163</v>
      </c>
      <c r="M214" s="111">
        <f>N214-B213</f>
        <v>143.562199343751</v>
      </c>
      <c r="N214" s="107">
        <f>O214+P214+Q214+R214+S214+T214</f>
        <v>202.387764662424</v>
      </c>
      <c r="O214" s="49">
        <v>62</v>
      </c>
      <c r="P214" s="49">
        <v>29</v>
      </c>
      <c r="Q214" s="49">
        <v>4</v>
      </c>
      <c r="R214" s="49">
        <v>47.4766959560189</v>
      </c>
      <c r="S214" s="49">
        <v>57.6502736608802</v>
      </c>
      <c r="T214" s="49">
        <v>2.26079504552471</v>
      </c>
      <c r="U214" s="49">
        <v>44</v>
      </c>
      <c r="V214" s="110">
        <f>((O214+R214)*100)/N214</f>
        <v>54.0925466213941</v>
      </c>
      <c r="W214" s="110">
        <f>((P214+S214)*100)/N214</f>
        <v>42.8139881901507</v>
      </c>
      <c r="X214" s="110">
        <f>((Q214+T214)*100)/N214</f>
        <v>3.0934651884552</v>
      </c>
    </row>
    <row r="215" spans="1:24" s="168" customFormat="1" ht="22.500000" customHeight="1">
      <c r="A215" s="34">
        <v>213</v>
      </c>
      <c r="B215" s="107">
        <f>C215+D215+E215+F215+G215+H215</f>
        <v>50.3039752276235</v>
      </c>
      <c r="C215" s="49">
        <v>39</v>
      </c>
      <c r="D215" s="49">
        <v>0</v>
      </c>
      <c r="E215" s="49">
        <v>0</v>
      </c>
      <c r="F215" s="49">
        <v>11.3039752276235</v>
      </c>
      <c r="G215" s="49">
        <v>0</v>
      </c>
      <c r="H215" s="49">
        <v>0</v>
      </c>
      <c r="I215" s="78">
        <f>(100*B215)/N215</f>
        <v>16.7392708208666</v>
      </c>
      <c r="J215" s="110">
        <f>((C215+F215)*100)/B215</f>
        <v>100</v>
      </c>
      <c r="K215" s="110">
        <f>((D215+G215)*100)/B215</f>
        <v>0</v>
      </c>
      <c r="L215" s="110">
        <f>((E215+H215)*100)/B215</f>
        <v>0</v>
      </c>
      <c r="M215" s="111">
        <f>N215-B214</f>
        <v>265.993144188273</v>
      </c>
      <c r="N215" s="107">
        <f>O215+P215+Q215+R215+S215+T215</f>
        <v>300.514734279322</v>
      </c>
      <c r="O215" s="49">
        <v>58</v>
      </c>
      <c r="P215" s="49">
        <v>27</v>
      </c>
      <c r="Q215" s="49">
        <v>3</v>
      </c>
      <c r="R215" s="49">
        <v>125.474125026621</v>
      </c>
      <c r="S215" s="49">
        <v>80.2582241161273</v>
      </c>
      <c r="T215" s="49">
        <v>6.78238513657414</v>
      </c>
      <c r="U215" s="49">
        <v>45</v>
      </c>
      <c r="V215" s="110">
        <f>((O215+R215)*100)/N215</f>
        <v>61.0532876088816</v>
      </c>
      <c r="W215" s="110">
        <f>((P215+S215)*100)/N215</f>
        <v>35.6915025725271</v>
      </c>
      <c r="X215" s="110">
        <f>((Q215+T215)*100)/N215</f>
        <v>3.25520981859133</v>
      </c>
    </row>
    <row r="216" spans="1:24" s="168" customFormat="1" ht="22.500000" customHeight="1">
      <c r="A216" s="34">
        <v>214</v>
      </c>
      <c r="B216" s="107">
        <f>C216+D216+E216+F216+G216+H216</f>
        <v>39.6951677959106</v>
      </c>
      <c r="C216" s="49">
        <v>22</v>
      </c>
      <c r="D216" s="49">
        <v>2</v>
      </c>
      <c r="E216" s="49">
        <v>1</v>
      </c>
      <c r="F216" s="49">
        <v>14.6951677959106</v>
      </c>
      <c r="G216" s="49">
        <v>0</v>
      </c>
      <c r="H216" s="49">
        <v>0</v>
      </c>
      <c r="I216" s="78">
        <f>(100*B216)/N216</f>
        <v>16.5310257291138</v>
      </c>
      <c r="J216" s="110">
        <f>((C216+F216)*100)/B216</f>
        <v>92.4424050417818</v>
      </c>
      <c r="K216" s="110">
        <f>((D216+G216)*100)/B216</f>
        <v>5.03839663881214</v>
      </c>
      <c r="L216" s="110">
        <f>((E216+H216)*100)/B216</f>
        <v>2.51919831940607</v>
      </c>
      <c r="M216" s="111">
        <f>N216-B215</f>
        <v>189.821280436344</v>
      </c>
      <c r="N216" s="107">
        <f>O216+P216+Q216+R216+S216+T216</f>
        <v>240.125255663967</v>
      </c>
      <c r="O216" s="49">
        <v>53</v>
      </c>
      <c r="P216" s="49">
        <v>27</v>
      </c>
      <c r="Q216" s="49">
        <v>3</v>
      </c>
      <c r="R216" s="49">
        <v>106.257367139661</v>
      </c>
      <c r="S216" s="49">
        <v>44.0855033877319</v>
      </c>
      <c r="T216" s="49">
        <v>6.78238513657414</v>
      </c>
      <c r="U216" s="49">
        <v>43</v>
      </c>
      <c r="V216" s="110">
        <f>((O216+R216)*100)/N216</f>
        <v>66.3226226243052</v>
      </c>
      <c r="W216" s="110">
        <f>((P216+S216)*100)/N216</f>
        <v>29.6035097146172</v>
      </c>
      <c r="X216" s="110">
        <f>((Q216+T216)*100)/N216</f>
        <v>4.07386766107755</v>
      </c>
    </row>
    <row r="217" spans="1:24" s="168" customFormat="1" ht="22.500000" customHeight="1">
      <c r="A217" s="34">
        <v>215</v>
      </c>
      <c r="B217" s="107">
        <f>C217+D217+E217+F217+G217+H217</f>
        <v>20.6519876138118</v>
      </c>
      <c r="C217" s="49">
        <v>12</v>
      </c>
      <c r="D217" s="49">
        <v>0</v>
      </c>
      <c r="E217" s="49">
        <v>3</v>
      </c>
      <c r="F217" s="49">
        <v>2.26079504552471</v>
      </c>
      <c r="G217" s="49">
        <v>0</v>
      </c>
      <c r="H217" s="49">
        <v>3.39119256828707</v>
      </c>
      <c r="I217" s="78">
        <f>(100*B217)/N217</f>
        <v>8.33196802893134</v>
      </c>
      <c r="J217" s="110">
        <f>((C217+F217)*100)/B217</f>
        <v>69.0528936594329</v>
      </c>
      <c r="K217" s="110">
        <f>((D217+G217)*100)/B217</f>
        <v>0</v>
      </c>
      <c r="L217" s="110">
        <f>((E217+H217)*100)/B217</f>
        <v>30.9471063405671</v>
      </c>
      <c r="M217" s="111">
        <f>N217-B216</f>
        <v>208.169292822532</v>
      </c>
      <c r="N217" s="107">
        <f>O217+P217+Q217+R217+S217+T217</f>
        <v>247.864460618443</v>
      </c>
      <c r="O217" s="49">
        <v>49</v>
      </c>
      <c r="P217" s="49">
        <v>36</v>
      </c>
      <c r="Q217" s="49">
        <v>8</v>
      </c>
      <c r="R217" s="49">
        <v>91.5621993437509</v>
      </c>
      <c r="S217" s="49">
        <v>57.6502736608802</v>
      </c>
      <c r="T217" s="49">
        <v>5.65198761381178</v>
      </c>
      <c r="U217" s="49">
        <v>43</v>
      </c>
      <c r="V217" s="110">
        <f>((O217+R217)*100)/N217</f>
        <v>56.709299507092</v>
      </c>
      <c r="W217" s="110">
        <f>((P217+S217)*100)/N217</f>
        <v>37.7828565770239</v>
      </c>
      <c r="X217" s="110">
        <f>((Q217+T217)*100)/N217</f>
        <v>5.50784391588407</v>
      </c>
    </row>
    <row r="218" spans="1:24" s="168" customFormat="1" ht="22.500000" customHeight="1">
      <c r="A218" s="34">
        <v>216</v>
      </c>
      <c r="B218" s="107">
        <f>C218+D218+E218+F218+G218+H218</f>
        <v>16.0431801820988</v>
      </c>
      <c r="C218" s="49">
        <v>6</v>
      </c>
      <c r="D218" s="49">
        <v>0</v>
      </c>
      <c r="E218" s="49">
        <v>1</v>
      </c>
      <c r="F218" s="49">
        <v>3.39119256828707</v>
      </c>
      <c r="G218" s="49">
        <v>4.52159009104942</v>
      </c>
      <c r="H218" s="49">
        <v>1.13039752276235</v>
      </c>
      <c r="I218" s="78">
        <f>(100*B218)/N218</f>
        <v>7.35791524922192</v>
      </c>
      <c r="J218" s="110">
        <f>((C218+F218)*100)/B218</f>
        <v>58.5369762209981</v>
      </c>
      <c r="K218" s="110">
        <f>((D218+G218)*100)/B218</f>
        <v>28.1838765115576</v>
      </c>
      <c r="L218" s="110">
        <f>((E218+H218)*100)/B218</f>
        <v>13.2791472674443</v>
      </c>
      <c r="M218" s="111">
        <f>N218-B217</f>
        <v>197.387764662424</v>
      </c>
      <c r="N218" s="107">
        <f>O218+P218+Q218+R218+S218+T218</f>
        <v>218.039752276236</v>
      </c>
      <c r="O218" s="49">
        <v>50</v>
      </c>
      <c r="P218" s="49">
        <v>43</v>
      </c>
      <c r="Q218" s="49">
        <v>12</v>
      </c>
      <c r="R218" s="49">
        <v>46.3462984332566</v>
      </c>
      <c r="S218" s="49">
        <v>47.4766959560189</v>
      </c>
      <c r="T218" s="49">
        <v>19.21675788696</v>
      </c>
      <c r="U218" s="49">
        <v>40</v>
      </c>
      <c r="V218" s="110">
        <f>((O218+R218)*100)/N218</f>
        <v>44.1874921556483</v>
      </c>
      <c r="W218" s="110">
        <f>((P218+S218)*100)/N218</f>
        <v>41.4955048386744</v>
      </c>
      <c r="X218" s="110">
        <f>((Q218+T218)*100)/N218</f>
        <v>14.3170030056773</v>
      </c>
    </row>
    <row r="219" spans="1:24" s="168" customFormat="1" ht="22.500000" customHeight="1">
      <c r="A219" s="34">
        <v>217</v>
      </c>
      <c r="B219" s="107">
        <f>C219+D219+E219+F219+G219+H219</f>
        <v>37.1735777048612</v>
      </c>
      <c r="C219" s="49">
        <v>27</v>
      </c>
      <c r="D219" s="49">
        <v>0</v>
      </c>
      <c r="E219" s="49">
        <v>0</v>
      </c>
      <c r="F219" s="49">
        <v>10.1735777048612</v>
      </c>
      <c r="G219" s="49">
        <v>0</v>
      </c>
      <c r="H219" s="49">
        <v>0</v>
      </c>
      <c r="I219" s="78">
        <f>(100*B219)/N219</f>
        <v>13.0039561634501</v>
      </c>
      <c r="J219" s="110">
        <f>((C219+F219)*100)/B219</f>
        <v>100</v>
      </c>
      <c r="K219" s="110">
        <f>((D219+G219)*100)/B219</f>
        <v>0</v>
      </c>
      <c r="L219" s="110">
        <f>((E219+H219)*100)/B219</f>
        <v>0</v>
      </c>
      <c r="M219" s="111">
        <f>N219-B218</f>
        <v>269.820423459877</v>
      </c>
      <c r="N219" s="107">
        <f>O219+P219+Q219+R219+S219+T219</f>
        <v>285.863603641976</v>
      </c>
      <c r="O219" s="49">
        <v>52</v>
      </c>
      <c r="P219" s="49">
        <v>39</v>
      </c>
      <c r="Q219" s="49">
        <v>14</v>
      </c>
      <c r="R219" s="49">
        <v>103.996572094136</v>
      </c>
      <c r="S219" s="49">
        <v>57.6502736608802</v>
      </c>
      <c r="T219" s="49">
        <v>19.21675788696</v>
      </c>
      <c r="U219" s="49">
        <v>42</v>
      </c>
      <c r="V219" s="110">
        <f>((O219+R219)*100)/N219</f>
        <v>54.5702811084375</v>
      </c>
      <c r="W219" s="110">
        <f>((P219+S219)*100)/N219</f>
        <v>33.8099262828603</v>
      </c>
      <c r="X219" s="110">
        <f>((Q219+T219)*100)/N219</f>
        <v>11.6197926087022</v>
      </c>
    </row>
    <row r="220" spans="1:24" s="168" customFormat="1" ht="22.500000" customHeight="1">
      <c r="A220" s="34">
        <v>218</v>
      </c>
      <c r="B220" s="107">
        <f>C220+D220+E220+F220+G220+H220</f>
        <v>89.5198761381178</v>
      </c>
      <c r="C220" s="49">
        <v>25</v>
      </c>
      <c r="D220" s="49">
        <v>2</v>
      </c>
      <c r="E220" s="49">
        <v>6</v>
      </c>
      <c r="F220" s="49">
        <v>41.8247083422072</v>
      </c>
      <c r="G220" s="49">
        <v>2.26079504552471</v>
      </c>
      <c r="H220" s="49">
        <v>12.4343727503859</v>
      </c>
      <c r="I220" s="78">
        <f>(100*B220)/N220</f>
        <v>20.5408245069503</v>
      </c>
      <c r="J220" s="110">
        <f>((C220+F220)*100)/B220</f>
        <v>74.6479008070846</v>
      </c>
      <c r="K220" s="110">
        <f>((D220+G220)*100)/B220</f>
        <v>4.75960784278884</v>
      </c>
      <c r="L220" s="110">
        <f>((E220+H220)*100)/B220</f>
        <v>20.5924913501265</v>
      </c>
      <c r="M220" s="111">
        <f>N220-B219</f>
        <v>398.640846919756</v>
      </c>
      <c r="N220" s="107">
        <f>O220+P220+Q220+R220+S220+T220</f>
        <v>435.814424624617</v>
      </c>
      <c r="O220" s="49">
        <v>38</v>
      </c>
      <c r="P220" s="49">
        <v>38</v>
      </c>
      <c r="Q220" s="49">
        <v>6</v>
      </c>
      <c r="R220" s="49">
        <v>98.344584480325</v>
      </c>
      <c r="S220" s="49">
        <v>222.688311984184</v>
      </c>
      <c r="T220" s="49">
        <v>32.7815281601083</v>
      </c>
      <c r="U220" s="49">
        <v>42</v>
      </c>
      <c r="V220" s="110">
        <f>((O220+R220)*100)/N220</f>
        <v>31.285009576671</v>
      </c>
      <c r="W220" s="110">
        <f>((P220+S220)*100)/N220</f>
        <v>59.8163569755004</v>
      </c>
      <c r="X220" s="110">
        <f>((Q220+T220)*100)/N220</f>
        <v>8.89863344782868</v>
      </c>
    </row>
    <row r="221" spans="1:24" s="168" customFormat="1" ht="22.500000" customHeight="1">
      <c r="A221" s="34">
        <v>219</v>
      </c>
      <c r="B221" s="107">
        <f>C221+D221+E221+F221+G221+H221</f>
        <v>6</v>
      </c>
      <c r="C221" s="49">
        <v>6</v>
      </c>
      <c r="D221" s="49">
        <v>0</v>
      </c>
      <c r="E221" s="49">
        <v>0</v>
      </c>
      <c r="F221" s="49">
        <v>0</v>
      </c>
      <c r="G221" s="49">
        <v>0</v>
      </c>
      <c r="H221" s="49">
        <v>0</v>
      </c>
      <c r="I221" s="78">
        <f>(100*B221)/N221</f>
        <v>6.70229381973399</v>
      </c>
      <c r="J221" s="110">
        <f>((C221+F221)*100)/B221</f>
        <v>100</v>
      </c>
      <c r="K221" s="110">
        <f>((D221+G221)*100)/B221</f>
        <v>0</v>
      </c>
      <c r="L221" s="110">
        <f>((E221+H221)*100)/B221</f>
        <v>0</v>
      </c>
      <c r="M221" s="111">
        <f>N221-B220</f>
        <v>0.00171395293159549</v>
      </c>
      <c r="N221" s="107">
        <f>O221+P221+Q221+R221+S221+T221</f>
        <v>89.5215900910494</v>
      </c>
      <c r="O221" s="49">
        <v>40</v>
      </c>
      <c r="P221" s="49">
        <v>39</v>
      </c>
      <c r="Q221" s="49">
        <v>6</v>
      </c>
      <c r="R221" s="49">
        <v>3.39119256828707</v>
      </c>
      <c r="S221" s="49">
        <v>1.13039752276235</v>
      </c>
      <c r="T221" s="49">
        <v>0</v>
      </c>
      <c r="U221" s="49">
        <v>31</v>
      </c>
      <c r="V221" s="110">
        <f>((O221+R221)*100)/N221</f>
        <v>48.470086963553</v>
      </c>
      <c r="W221" s="110">
        <f>((P221+S221)*100)/N221</f>
        <v>44.827619216713</v>
      </c>
      <c r="X221" s="110">
        <f>((Q221+T221)*100)/N221</f>
        <v>6.70229381973399</v>
      </c>
    </row>
    <row r="222" spans="1:24" s="168" customFormat="1" ht="22.500000" customHeight="1">
      <c r="A222" s="34">
        <v>220</v>
      </c>
      <c r="B222" s="107">
        <f>C222+D222+E222+F222+G222+H222</f>
        <v>53.3471554097224</v>
      </c>
      <c r="C222" s="49">
        <v>29</v>
      </c>
      <c r="D222" s="49">
        <v>3</v>
      </c>
      <c r="E222" s="49">
        <v>1</v>
      </c>
      <c r="F222" s="49">
        <v>20.3471554097224</v>
      </c>
      <c r="G222" s="49">
        <v>0</v>
      </c>
      <c r="H222" s="49">
        <v>0</v>
      </c>
      <c r="I222" s="78">
        <f>(100*B222)/N222</f>
        <v>22.4029808434111</v>
      </c>
      <c r="J222" s="110">
        <f>((C222+F222)*100)/B222</f>
        <v>92.5019432258782</v>
      </c>
      <c r="K222" s="110">
        <f>((D222+G222)*100)/B222</f>
        <v>5.62354258059139</v>
      </c>
      <c r="L222" s="110">
        <f>((E222+H222)*100)/B222</f>
        <v>1.87451419353046</v>
      </c>
      <c r="M222" s="111">
        <f>N222-B221</f>
        <v>232.125255663968</v>
      </c>
      <c r="N222" s="107">
        <f>O222+P222+Q222+R222+S222+T222</f>
        <v>238.125255663968</v>
      </c>
      <c r="O222" s="49">
        <v>49</v>
      </c>
      <c r="P222" s="49">
        <v>25</v>
      </c>
      <c r="Q222" s="49">
        <v>7</v>
      </c>
      <c r="R222" s="49">
        <v>76.8670315478402</v>
      </c>
      <c r="S222" s="49">
        <v>72.3454414567908</v>
      </c>
      <c r="T222" s="49">
        <v>7.91278265933649</v>
      </c>
      <c r="U222" s="49">
        <v>40</v>
      </c>
      <c r="V222" s="110">
        <f>((O222+R222)*100)/N222</f>
        <v>52.8574893061568</v>
      </c>
      <c r="W222" s="110">
        <f>((P222+S222)*100)/N222</f>
        <v>40.8799315240046</v>
      </c>
      <c r="X222" s="110">
        <f>((Q222+T222)*100)/N222</f>
        <v>6.26257916983858</v>
      </c>
    </row>
    <row r="223" spans="1:24" s="168" customFormat="1" ht="22.500000" customHeight="1">
      <c r="A223" s="34">
        <v>221</v>
      </c>
      <c r="B223" s="107">
        <f>C223+D223+E223+F223+G223+H223</f>
        <v>24.6519876138118</v>
      </c>
      <c r="C223" s="49">
        <v>18</v>
      </c>
      <c r="D223" s="49">
        <v>0</v>
      </c>
      <c r="E223" s="49">
        <v>1</v>
      </c>
      <c r="F223" s="49">
        <v>4.52159009104942</v>
      </c>
      <c r="G223" s="49">
        <v>0</v>
      </c>
      <c r="H223" s="49">
        <v>1.13039752276235</v>
      </c>
      <c r="I223" s="78">
        <f>(100*B223)/N223</f>
        <v>12.5388710768948</v>
      </c>
      <c r="J223" s="110">
        <f>((C223+F223)*100)/B223</f>
        <v>91.3581105258679</v>
      </c>
      <c r="K223" s="110">
        <f>((D223+G223)*100)/B223</f>
        <v>0</v>
      </c>
      <c r="L223" s="110">
        <f>((E223+H223)*100)/B223</f>
        <v>8.64188947413211</v>
      </c>
      <c r="M223" s="111">
        <f>N223-B222</f>
        <v>143.257367139662</v>
      </c>
      <c r="N223" s="107">
        <f>O223+P223+Q223+R223+S223+T223</f>
        <v>196.604522549384</v>
      </c>
      <c r="O223" s="49">
        <v>39</v>
      </c>
      <c r="P223" s="49">
        <v>25</v>
      </c>
      <c r="Q223" s="49">
        <v>6</v>
      </c>
      <c r="R223" s="49">
        <v>51.9982860470684</v>
      </c>
      <c r="S223" s="49">
        <v>66.693453842979</v>
      </c>
      <c r="T223" s="49">
        <v>7.91278265933649</v>
      </c>
      <c r="U223" s="49">
        <v>38</v>
      </c>
      <c r="V223" s="110">
        <f>((O223+R223)*100)/N223</f>
        <v>46.2849403803573</v>
      </c>
      <c r="W223" s="110">
        <f>((P223+S223)*100)/N223</f>
        <v>46.6385272596906</v>
      </c>
      <c r="X223" s="110">
        <f>((Q223+T223)*100)/N223</f>
        <v>7.07653235995211</v>
      </c>
    </row>
    <row r="224" spans="1:24" s="168" customFormat="1" ht="22.500000" customHeight="1">
      <c r="A224" s="34">
        <v>222</v>
      </c>
      <c r="B224" s="107">
        <f>C224+D224+E224+F224+G224+H224</f>
        <v>98.2590810925931</v>
      </c>
      <c r="C224" s="49">
        <v>31</v>
      </c>
      <c r="D224" s="49">
        <v>6</v>
      </c>
      <c r="E224" s="49">
        <v>7</v>
      </c>
      <c r="F224" s="49">
        <v>44.0855033877319</v>
      </c>
      <c r="G224" s="49">
        <v>6.78238513657414</v>
      </c>
      <c r="H224" s="49">
        <v>3.39119256828707</v>
      </c>
      <c r="I224" s="78">
        <f>(100*B224)/N224</f>
        <v>20.7075389245761</v>
      </c>
      <c r="J224" s="110">
        <f>((C224+F224)*100)/B224</f>
        <v>76.4158412157102</v>
      </c>
      <c r="K224" s="110">
        <f>((D224+G224)*100)/B224</f>
        <v>13.0088588193989</v>
      </c>
      <c r="L224" s="110">
        <f>((E224+H224)*100)/B224</f>
        <v>10.5752999648909</v>
      </c>
      <c r="M224" s="111">
        <f>N224-B223</f>
        <v>449.85674783025</v>
      </c>
      <c r="N224" s="107">
        <f>O224+P224+Q224+R224+S224+T224</f>
        <v>474.508735444062</v>
      </c>
      <c r="O224" s="49">
        <v>41</v>
      </c>
      <c r="P224" s="49">
        <v>35</v>
      </c>
      <c r="Q224" s="49">
        <v>4</v>
      </c>
      <c r="R224" s="49">
        <v>177.47241107369</v>
      </c>
      <c r="S224" s="49">
        <v>192.1675788696</v>
      </c>
      <c r="T224" s="49">
        <v>24.8687455007718</v>
      </c>
      <c r="U224" s="49">
        <v>47</v>
      </c>
      <c r="V224" s="110">
        <f>((O224+R224)*100)/N224</f>
        <v>46.0418101405943</v>
      </c>
      <c r="W224" s="110">
        <f>((P224+S224)*100)/N224</f>
        <v>47.8742669841491</v>
      </c>
      <c r="X224" s="110">
        <f>((Q224+T224)*100)/N224</f>
        <v>6.08392287525654</v>
      </c>
    </row>
    <row r="225" spans="1:24" s="168" customFormat="1" ht="22.500000" customHeight="1">
      <c r="A225" s="34">
        <v>223</v>
      </c>
      <c r="B225" s="107">
        <f>C225+D225+E225+F225+G225+H225</f>
        <v>32.4343727503859</v>
      </c>
      <c r="C225" s="49">
        <v>20</v>
      </c>
      <c r="D225" s="49">
        <v>0</v>
      </c>
      <c r="E225" s="49">
        <v>0</v>
      </c>
      <c r="F225" s="49">
        <v>6.78238513657414</v>
      </c>
      <c r="G225" s="49">
        <v>5.65198761381178</v>
      </c>
      <c r="H225" s="49">
        <v>0</v>
      </c>
      <c r="I225" s="78">
        <f>(100*B225)/N225</f>
        <v>10.9949900917571</v>
      </c>
      <c r="J225" s="110">
        <f>((C225+F225)*100)/B225</f>
        <v>82.574080721988</v>
      </c>
      <c r="K225" s="110">
        <f>((D225+G225)*100)/B225</f>
        <v>17.425919278012</v>
      </c>
      <c r="L225" s="110">
        <f>((E225+H225)*100)/B225</f>
        <v>0</v>
      </c>
      <c r="M225" s="111">
        <f>N225-B224</f>
        <v>196.733206119214</v>
      </c>
      <c r="N225" s="107">
        <f>O225+P225+Q225+R225+S225+T225</f>
        <v>294.992287211808</v>
      </c>
      <c r="O225" s="49">
        <v>36</v>
      </c>
      <c r="P225" s="49">
        <v>22</v>
      </c>
      <c r="Q225" s="49">
        <v>3</v>
      </c>
      <c r="R225" s="49">
        <v>140.169292822532</v>
      </c>
      <c r="S225" s="49">
        <v>81.3886216388896</v>
      </c>
      <c r="T225" s="49">
        <v>12.4343727503859</v>
      </c>
      <c r="U225" s="49">
        <v>40</v>
      </c>
      <c r="V225" s="110">
        <f>((O225+R225)*100)/N225</f>
        <v>59.7199657277957</v>
      </c>
      <c r="W225" s="110">
        <f>((P225+S225)*100)/N225</f>
        <v>35.0479067151527</v>
      </c>
      <c r="X225" s="110">
        <f>((Q225+T225)*100)/N225</f>
        <v>5.23212755705164</v>
      </c>
    </row>
    <row r="226" spans="1:24" s="168" customFormat="1" ht="22.500000" customHeight="1">
      <c r="A226" s="34">
        <v>224</v>
      </c>
      <c r="B226" s="107">
        <f>C226+D226+E226+F226+G226+H226</f>
        <v>49.3471554097224</v>
      </c>
      <c r="C226" s="49">
        <v>28</v>
      </c>
      <c r="D226" s="49">
        <v>0</v>
      </c>
      <c r="E226" s="49">
        <v>1</v>
      </c>
      <c r="F226" s="49">
        <v>20.3471554097224</v>
      </c>
      <c r="G226" s="49">
        <v>0</v>
      </c>
      <c r="H226" s="49">
        <v>0</v>
      </c>
      <c r="I226" s="78">
        <f>(100*B226)/N226</f>
        <v>26.4879283067777</v>
      </c>
      <c r="J226" s="110">
        <f>((C226+F226)*100)/B226</f>
        <v>97.973540740703</v>
      </c>
      <c r="K226" s="110">
        <f>((D226+G226)*100)/B226</f>
        <v>0</v>
      </c>
      <c r="L226" s="110">
        <f>((E226+H226)*100)/B226</f>
        <v>2.026459259297</v>
      </c>
      <c r="M226" s="111">
        <f>N226-B225</f>
        <v>153.866174571374</v>
      </c>
      <c r="N226" s="107">
        <f>O226+P226+Q226+R226+S226+T226</f>
        <v>186.30054732176</v>
      </c>
      <c r="O226" s="49">
        <v>45</v>
      </c>
      <c r="P226" s="49">
        <v>22</v>
      </c>
      <c r="Q226" s="49">
        <v>4</v>
      </c>
      <c r="R226" s="49">
        <v>53.1286835698307</v>
      </c>
      <c r="S226" s="49">
        <v>58.7806711836425</v>
      </c>
      <c r="T226" s="49">
        <v>3.39119256828707</v>
      </c>
      <c r="U226" s="49">
        <v>37</v>
      </c>
      <c r="V226" s="110">
        <f>((O226+R226)*100)/N226</f>
        <v>52.6722465288051</v>
      </c>
      <c r="W226" s="110">
        <f>((P226+S226)*100)/N226</f>
        <v>43.3604046498725</v>
      </c>
      <c r="X226" s="110">
        <f>((Q226+T226)*100)/N226</f>
        <v>3.96734882132242</v>
      </c>
    </row>
    <row r="227" spans="1:24" s="168" customFormat="1" ht="22.500000" customHeight="1">
      <c r="A227" s="34">
        <v>225</v>
      </c>
      <c r="B227" s="107">
        <f>C227+D227+E227+F227+G227+H227</f>
        <v>82.1286835698308</v>
      </c>
      <c r="C227" s="49">
        <v>26</v>
      </c>
      <c r="D227" s="49">
        <v>0</v>
      </c>
      <c r="E227" s="49">
        <v>3</v>
      </c>
      <c r="F227" s="49">
        <v>51.9982860470684</v>
      </c>
      <c r="G227" s="49">
        <v>0</v>
      </c>
      <c r="H227" s="49">
        <v>1.13039752276235</v>
      </c>
      <c r="I227" s="78">
        <f>(100*B227)/N227</f>
        <v>18.2919899644917</v>
      </c>
      <c r="J227" s="110">
        <f>((C227+F227)*100)/B227</f>
        <v>94.9708221984948</v>
      </c>
      <c r="K227" s="110">
        <f>((D227+G227)*100)/B227</f>
        <v>0</v>
      </c>
      <c r="L227" s="110">
        <f>((E227+H227)*100)/B227</f>
        <v>5.02917780150517</v>
      </c>
      <c r="M227" s="111">
        <f>N227-B226</f>
        <v>399.63998994329</v>
      </c>
      <c r="N227" s="107">
        <f>O227+P227+Q227+R227+S227+T227</f>
        <v>448.987145353012</v>
      </c>
      <c r="O227" s="49">
        <v>35</v>
      </c>
      <c r="P227" s="49">
        <v>20</v>
      </c>
      <c r="Q227" s="49">
        <v>4</v>
      </c>
      <c r="R227" s="49">
        <v>143.560485390819</v>
      </c>
      <c r="S227" s="49">
        <v>235.12268473457</v>
      </c>
      <c r="T227" s="49">
        <v>11.3039752276235</v>
      </c>
      <c r="U227" s="49">
        <v>44</v>
      </c>
      <c r="V227" s="110">
        <f>((O227+R227)*100)/N227</f>
        <v>39.7696208541622</v>
      </c>
      <c r="W227" s="110">
        <f>((P227+S227)*100)/N227</f>
        <v>56.8218238261547</v>
      </c>
      <c r="X227" s="110">
        <f>((Q227+T227)*100)/N227</f>
        <v>3.40855531968312</v>
      </c>
    </row>
    <row r="228" spans="1:24" s="168" customFormat="1" ht="22.500000" customHeight="1">
      <c r="A228" s="34">
        <v>226</v>
      </c>
      <c r="B228" s="107">
        <f>C228+D228+E228+F228+G228+H228</f>
        <v>28.6519876138118</v>
      </c>
      <c r="C228" s="49">
        <v>21</v>
      </c>
      <c r="D228" s="49">
        <v>0</v>
      </c>
      <c r="E228" s="49">
        <v>2</v>
      </c>
      <c r="F228" s="49">
        <v>1.13039752276235</v>
      </c>
      <c r="G228" s="49">
        <v>4.52159009104942</v>
      </c>
      <c r="H228" s="49">
        <v>0</v>
      </c>
      <c r="I228" s="78">
        <f>(100*B228)/N228</f>
        <v>15.4262793462222</v>
      </c>
      <c r="J228" s="110">
        <f>((C228+F228)*100)/B228</f>
        <v>77.2386119282501</v>
      </c>
      <c r="K228" s="110">
        <f>((D228+G228)*100)/B228</f>
        <v>15.7810695439146</v>
      </c>
      <c r="L228" s="110">
        <f>((E228+H228)*100)/B228</f>
        <v>6.98031852783538</v>
      </c>
      <c r="M228" s="111">
        <f>N228-B227</f>
        <v>103.606236502315</v>
      </c>
      <c r="N228" s="107">
        <f>O228+P228+Q228+R228+S228+T228</f>
        <v>185.734920072146</v>
      </c>
      <c r="O228" s="49">
        <v>32</v>
      </c>
      <c r="P228" s="49">
        <v>18</v>
      </c>
      <c r="Q228" s="49">
        <v>8</v>
      </c>
      <c r="R228" s="49">
        <v>32.7815281601083</v>
      </c>
      <c r="S228" s="49">
        <v>89.3014042982261</v>
      </c>
      <c r="T228" s="49">
        <v>5.65198761381178</v>
      </c>
      <c r="U228" s="49">
        <v>36</v>
      </c>
      <c r="V228" s="110">
        <f>((O228+R228)*100)/N228</f>
        <v>34.8784860353372</v>
      </c>
      <c r="W228" s="110">
        <f>((P228+S228)*100)/N228</f>
        <v>57.7712603836405</v>
      </c>
      <c r="X228" s="110">
        <f>((Q228+T228)*100)/N228</f>
        <v>7.35025358102227</v>
      </c>
    </row>
    <row r="229" spans="1:24" s="168" customFormat="1" ht="22.500000" customHeight="1">
      <c r="A229" s="34">
        <v>227</v>
      </c>
      <c r="B229" s="107">
        <f>C229+D229+E229+F229+G229+H229</f>
        <v>14</v>
      </c>
      <c r="C229" s="49">
        <v>13</v>
      </c>
      <c r="D229" s="49">
        <v>0</v>
      </c>
      <c r="E229" s="49">
        <v>1</v>
      </c>
      <c r="F229" s="49">
        <v>0</v>
      </c>
      <c r="G229" s="49">
        <v>0</v>
      </c>
      <c r="H229" s="49">
        <v>0</v>
      </c>
      <c r="I229" s="78">
        <f>(100*B229)/N229</f>
        <v>16.1242831516458</v>
      </c>
      <c r="J229" s="110">
        <f>((C229+F229)*100)/B229</f>
        <v>92.8571428571429</v>
      </c>
      <c r="K229" s="110">
        <f>((D229+G229)*100)/B229</f>
        <v>0</v>
      </c>
      <c r="L229" s="110">
        <f>((E229+H229)*100)/B229</f>
        <v>7.14285714285714</v>
      </c>
      <c r="M229" s="111">
        <f>N229-B228</f>
        <v>58.1735777048612</v>
      </c>
      <c r="N229" s="107">
        <f>O229+P229+Q229+R229+S229+T229</f>
        <v>86.825565318673</v>
      </c>
      <c r="O229" s="49">
        <v>37</v>
      </c>
      <c r="P229" s="49">
        <v>22</v>
      </c>
      <c r="Q229" s="49">
        <v>12</v>
      </c>
      <c r="R229" s="49">
        <v>10.1735777048612</v>
      </c>
      <c r="S229" s="49">
        <v>0</v>
      </c>
      <c r="T229" s="49">
        <v>5.65198761381178</v>
      </c>
      <c r="U229" s="49">
        <v>33</v>
      </c>
      <c r="V229" s="110">
        <f>((O229+R229)*100)/N229</f>
        <v>54.3314374420962</v>
      </c>
      <c r="W229" s="110">
        <f>((P229+S229)*100)/N229</f>
        <v>25.3381592383005</v>
      </c>
      <c r="X229" s="110">
        <f>((Q229+T229)*100)/N229</f>
        <v>20.3304033196033</v>
      </c>
    </row>
    <row r="230" spans="1:24" s="168" customFormat="1" ht="22.500000" customHeight="1">
      <c r="A230" s="34">
        <v>228</v>
      </c>
      <c r="B230" s="107">
        <f>C230+D230+E230+F230+G230+H230</f>
        <v>0</v>
      </c>
      <c r="C230" s="49">
        <v>0</v>
      </c>
      <c r="D230" s="49">
        <v>0</v>
      </c>
      <c r="E230" s="49">
        <v>0</v>
      </c>
      <c r="F230" s="49">
        <v>0</v>
      </c>
      <c r="G230" s="49">
        <v>0</v>
      </c>
      <c r="H230" s="49">
        <v>0</v>
      </c>
      <c r="I230" s="78">
        <f>(100*B230)/N230</f>
        <v>0</v>
      </c>
      <c r="J230" s="110" t="e">
        <f>((C230+F230)*100)/B230</f>
        <v>#DIV/0!</v>
      </c>
      <c r="K230" s="110" t="e">
        <f>((D230+G230)*100)/B230</f>
        <v>#DIV/0!</v>
      </c>
      <c r="L230" s="110" t="e">
        <f>((E230+H230)*100)/B230</f>
        <v>#DIV/0!</v>
      </c>
      <c r="M230" s="111">
        <f>N230-B229</f>
        <v>64.1303975227624</v>
      </c>
      <c r="N230" s="107">
        <f>O230+P230+Q230+R230+S230+T230</f>
        <v>78.1303975227624</v>
      </c>
      <c r="O230" s="49">
        <v>41</v>
      </c>
      <c r="P230" s="49">
        <v>24</v>
      </c>
      <c r="Q230" s="49">
        <v>12</v>
      </c>
      <c r="R230" s="49">
        <v>1.13039752276235</v>
      </c>
      <c r="S230" s="49">
        <v>0</v>
      </c>
      <c r="T230" s="49">
        <v>0</v>
      </c>
      <c r="U230" s="49">
        <v>25</v>
      </c>
      <c r="V230" s="110">
        <f>((O230+R230)*100)/N230</f>
        <v>53.9231833685323</v>
      </c>
      <c r="W230" s="110">
        <f>((P230+S230)*100)/N230</f>
        <v>30.7178777543118</v>
      </c>
      <c r="X230" s="110">
        <f>((Q230+T230)*100)/N230</f>
        <v>15.3589388771559</v>
      </c>
    </row>
    <row r="231" spans="1:24" s="168" customFormat="1" ht="22.500000" customHeight="1">
      <c r="A231" s="34">
        <v>229</v>
      </c>
      <c r="B231" s="107">
        <f>C231+D231+E231+F231+G231+H231</f>
        <v>31.3911925682871</v>
      </c>
      <c r="C231" s="49">
        <v>28</v>
      </c>
      <c r="D231" s="49">
        <v>0</v>
      </c>
      <c r="E231" s="49">
        <v>0</v>
      </c>
      <c r="F231" s="49">
        <v>1.13039752276235</v>
      </c>
      <c r="G231" s="49">
        <v>0</v>
      </c>
      <c r="H231" s="49">
        <v>2.26079504552471</v>
      </c>
      <c r="I231" s="78">
        <f>(100*B231)/N231</f>
        <v>26.8104860636199</v>
      </c>
      <c r="J231" s="110">
        <f>((C231+F231)*100)/B231</f>
        <v>92.7979956779066</v>
      </c>
      <c r="K231" s="110">
        <f>((D231+G231)*100)/B231</f>
        <v>0</v>
      </c>
      <c r="L231" s="110">
        <f>((E231+H231)*100)/B231</f>
        <v>7.20200432209344</v>
      </c>
      <c r="M231" s="111">
        <f>N231-B230</f>
        <v>117.085503387732</v>
      </c>
      <c r="N231" s="107">
        <f>O231+P231+Q231+R231+S231+T231</f>
        <v>117.085503387732</v>
      </c>
      <c r="O231" s="49">
        <v>38</v>
      </c>
      <c r="P231" s="49">
        <v>24</v>
      </c>
      <c r="Q231" s="49">
        <v>11</v>
      </c>
      <c r="R231" s="49">
        <v>20.3471554097224</v>
      </c>
      <c r="S231" s="49">
        <v>16.9559628414353</v>
      </c>
      <c r="T231" s="49">
        <v>6.78238513657414</v>
      </c>
      <c r="U231" s="49">
        <v>37</v>
      </c>
      <c r="V231" s="110">
        <f>((O231+R231)*100)/N231</f>
        <v>49.8329457716932</v>
      </c>
      <c r="W231" s="110">
        <f>((P231+S231)*100)/N231</f>
        <v>34.9795334660761</v>
      </c>
      <c r="X231" s="110">
        <f>((Q231+T231)*100)/N231</f>
        <v>15.1875207622307</v>
      </c>
    </row>
    <row r="232" spans="1:24" s="168" customFormat="1" ht="22.500000" customHeight="1">
      <c r="A232" s="34">
        <v>230</v>
      </c>
      <c r="B232" s="107">
        <f>C232+D232+E232+F232+G232+H232</f>
        <v>56.5647702731482</v>
      </c>
      <c r="C232" s="49">
        <v>33</v>
      </c>
      <c r="D232" s="49">
        <v>5</v>
      </c>
      <c r="E232" s="49">
        <v>5</v>
      </c>
      <c r="F232" s="49">
        <v>13.5647702731482</v>
      </c>
      <c r="G232" s="49">
        <v>0</v>
      </c>
      <c r="H232" s="49">
        <v>0</v>
      </c>
      <c r="I232" s="78">
        <f>(100*B232)/N232</f>
        <v>33.8013748391115</v>
      </c>
      <c r="J232" s="110">
        <f>((C232+F232)*100)/B232</f>
        <v>82.3211515724177</v>
      </c>
      <c r="K232" s="110">
        <f>((D232+G232)*100)/B232</f>
        <v>8.83942421379115</v>
      </c>
      <c r="L232" s="110">
        <f>((E232+H232)*100)/B232</f>
        <v>8.83942421379115</v>
      </c>
      <c r="M232" s="111">
        <f>N232-B231</f>
        <v>135.953391912038</v>
      </c>
      <c r="N232" s="107">
        <f>O232+P232+Q232+R232+S232+T232</f>
        <v>167.344584480325</v>
      </c>
      <c r="O232" s="49">
        <v>36</v>
      </c>
      <c r="P232" s="49">
        <v>24</v>
      </c>
      <c r="Q232" s="49">
        <v>9</v>
      </c>
      <c r="R232" s="49">
        <v>41.8247083422072</v>
      </c>
      <c r="S232" s="49">
        <v>47.4766959560189</v>
      </c>
      <c r="T232" s="49">
        <v>9.04318018209885</v>
      </c>
      <c r="U232" s="49">
        <v>42</v>
      </c>
      <c r="V232" s="110">
        <f>((O232+R232)*100)/N232</f>
        <v>46.5056629014232</v>
      </c>
      <c r="W232" s="110">
        <f>((P232+S232)*100)/N232</f>
        <v>42.7122850601852</v>
      </c>
      <c r="X232" s="110">
        <f>((Q232+T232)*100)/N232</f>
        <v>10.7820520383916</v>
      </c>
    </row>
    <row r="233" spans="1:24" s="168" customFormat="1" ht="22.500000" customHeight="1">
      <c r="A233" s="34">
        <v>231</v>
      </c>
      <c r="B233" s="107">
        <f>C233+D233+E233+F233+G233+H233</f>
        <v>20.5215900910494</v>
      </c>
      <c r="C233" s="49">
        <v>14</v>
      </c>
      <c r="D233" s="49">
        <v>0</v>
      </c>
      <c r="E233" s="49">
        <v>2</v>
      </c>
      <c r="F233" s="49">
        <v>4.52159009104942</v>
      </c>
      <c r="G233" s="49">
        <v>0</v>
      </c>
      <c r="H233" s="49">
        <v>0</v>
      </c>
      <c r="I233" s="78">
        <f>(100*B233)/N233</f>
        <v>12.2091429280929</v>
      </c>
      <c r="J233" s="110">
        <f>((C233+F233)*100)/B233</f>
        <v>90.2541665088988</v>
      </c>
      <c r="K233" s="110">
        <f>((D233+G233)*100)/B233</f>
        <v>0</v>
      </c>
      <c r="L233" s="110">
        <f>((E233+H233)*100)/B233</f>
        <v>9.7458334911012</v>
      </c>
      <c r="M233" s="111">
        <f>N233-B232</f>
        <v>111.519019161652</v>
      </c>
      <c r="N233" s="107">
        <f>O233+P233+Q233+R233+S233+T233</f>
        <v>168.0837894348</v>
      </c>
      <c r="O233" s="49">
        <v>38</v>
      </c>
      <c r="P233" s="49">
        <v>25</v>
      </c>
      <c r="Q233" s="49">
        <v>9</v>
      </c>
      <c r="R233" s="49">
        <v>48.6070934787813</v>
      </c>
      <c r="S233" s="49">
        <v>40.6943108194448</v>
      </c>
      <c r="T233" s="49">
        <v>6.78238513657414</v>
      </c>
      <c r="U233" s="49">
        <v>44</v>
      </c>
      <c r="V233" s="110">
        <f>((O233+R233)*100)/N233</f>
        <v>51.5261428660116</v>
      </c>
      <c r="W233" s="110">
        <f>((P233+S233)*100)/N233</f>
        <v>39.0842632953178</v>
      </c>
      <c r="X233" s="110">
        <f>((Q233+T233)*100)/N233</f>
        <v>9.38959383867064</v>
      </c>
    </row>
    <row r="234" spans="1:24" s="168" customFormat="1" ht="22.500000" customHeight="1">
      <c r="A234" s="34">
        <v>232</v>
      </c>
      <c r="B234" s="107">
        <f>C234+D234+E234+F234+G234+H234</f>
        <v>22.3911925682871</v>
      </c>
      <c r="C234" s="49">
        <v>17</v>
      </c>
      <c r="D234" s="49">
        <v>0</v>
      </c>
      <c r="E234" s="49">
        <v>2</v>
      </c>
      <c r="F234" s="49">
        <v>3.39119256828707</v>
      </c>
      <c r="G234" s="49">
        <v>0</v>
      </c>
      <c r="H234" s="49">
        <v>0</v>
      </c>
      <c r="I234" s="78">
        <f>(100*B234)/N234</f>
        <v>21.8684629158259</v>
      </c>
      <c r="J234" s="110">
        <f>((C234+F234)*100)/B234</f>
        <v>91.0679165752314</v>
      </c>
      <c r="K234" s="110">
        <f>((D234+G234)*100)/B234</f>
        <v>0</v>
      </c>
      <c r="L234" s="110">
        <f>((E234+H234)*100)/B234</f>
        <v>8.93208342476865</v>
      </c>
      <c r="M234" s="111">
        <f>N234-B233</f>
        <v>81.8687455007718</v>
      </c>
      <c r="N234" s="107">
        <f>O234+P234+Q234+R234+S234+T234</f>
        <v>102.390335591821</v>
      </c>
      <c r="O234" s="49">
        <v>39</v>
      </c>
      <c r="P234" s="49">
        <v>26</v>
      </c>
      <c r="Q234" s="49">
        <v>8</v>
      </c>
      <c r="R234" s="49">
        <v>24.8687455007718</v>
      </c>
      <c r="S234" s="49">
        <v>3.39119256828707</v>
      </c>
      <c r="T234" s="49">
        <v>1.13039752276235</v>
      </c>
      <c r="U234" s="49">
        <v>36</v>
      </c>
      <c r="V234" s="110">
        <f>((O234+R234)*100)/N234</f>
        <v>62.3777089230222</v>
      </c>
      <c r="W234" s="110">
        <f>((P234+S234)*100)/N234</f>
        <v>28.7050456455724</v>
      </c>
      <c r="X234" s="110">
        <f>((Q234+T234)*100)/N234</f>
        <v>8.91724543140541</v>
      </c>
    </row>
    <row r="235" spans="1:24" s="168" customFormat="1" ht="22.500000" customHeight="1">
      <c r="A235" s="34">
        <v>233</v>
      </c>
      <c r="B235" s="107">
        <f>C235+D235+E235+F235+G235+H235</f>
        <v>44.6951677959106</v>
      </c>
      <c r="C235" s="49">
        <v>24</v>
      </c>
      <c r="D235" s="49">
        <v>0</v>
      </c>
      <c r="E235" s="49">
        <v>6</v>
      </c>
      <c r="F235" s="49">
        <v>7.91278265933649</v>
      </c>
      <c r="G235" s="49">
        <v>3.39119256828707</v>
      </c>
      <c r="H235" s="49">
        <v>3.39119256828707</v>
      </c>
      <c r="I235" s="78">
        <f>(100*B235)/N235</f>
        <v>16.2249666548642</v>
      </c>
      <c r="J235" s="110">
        <f>((C235+F235)*100)/B235</f>
        <v>71.4009684560494</v>
      </c>
      <c r="K235" s="110">
        <f>((D235+G235)*100)/B235</f>
        <v>7.58738077407408</v>
      </c>
      <c r="L235" s="110">
        <f>((E235+H235)*100)/B235</f>
        <v>21.0116507698766</v>
      </c>
      <c r="M235" s="111">
        <f>N235-B234</f>
        <v>253.080361528936</v>
      </c>
      <c r="N235" s="107">
        <f>O235+P235+Q235+R235+S235+T235</f>
        <v>275.471554097223</v>
      </c>
      <c r="O235" s="49">
        <v>41</v>
      </c>
      <c r="P235" s="49">
        <v>25</v>
      </c>
      <c r="Q235" s="49">
        <v>6</v>
      </c>
      <c r="R235" s="49">
        <v>75.7366340250779</v>
      </c>
      <c r="S235" s="49">
        <v>107.387764662423</v>
      </c>
      <c r="T235" s="49">
        <v>20.3471554097224</v>
      </c>
      <c r="U235" s="49">
        <v>41</v>
      </c>
      <c r="V235" s="110">
        <f>((O235+R235)*100)/N235</f>
        <v>42.3770194376867</v>
      </c>
      <c r="W235" s="110">
        <f>((P235+S235)*100)/N235</f>
        <v>48.0585972284089</v>
      </c>
      <c r="X235" s="110">
        <f>((Q235+T235)*100)/N235</f>
        <v>9.56438333390445</v>
      </c>
    </row>
    <row r="236" spans="1:24" s="168" customFormat="1" ht="22.500000" customHeight="1">
      <c r="A236" s="34">
        <v>234</v>
      </c>
      <c r="B236" s="107">
        <f>C236+D236+E236+F236+G236+H236</f>
        <v>26.3911925682871</v>
      </c>
      <c r="C236" s="49">
        <v>23</v>
      </c>
      <c r="D236" s="49">
        <v>0</v>
      </c>
      <c r="E236" s="49">
        <v>0</v>
      </c>
      <c r="F236" s="49">
        <v>3.39119256828707</v>
      </c>
      <c r="G236" s="49">
        <v>0</v>
      </c>
      <c r="H236" s="49">
        <v>0</v>
      </c>
      <c r="I236" s="78">
        <f>(100*B236)/N236</f>
        <v>22.6663193951225</v>
      </c>
      <c r="J236" s="110">
        <f>((C236+F236)*100)/B236</f>
        <v>100</v>
      </c>
      <c r="K236" s="110">
        <f>((D236+G236)*100)/B236</f>
        <v>0</v>
      </c>
      <c r="L236" s="110">
        <f>((E236+H236)*100)/B236</f>
        <v>0</v>
      </c>
      <c r="M236" s="111">
        <f>N236-B235</f>
        <v>71.7383479780094</v>
      </c>
      <c r="N236" s="107">
        <f>O236+P236+Q236+R236+S236+T236</f>
        <v>116.43351577392</v>
      </c>
      <c r="O236" s="49">
        <v>49</v>
      </c>
      <c r="P236" s="49">
        <v>24</v>
      </c>
      <c r="Q236" s="49">
        <v>5</v>
      </c>
      <c r="R236" s="49">
        <v>18.0863603641977</v>
      </c>
      <c r="S236" s="49">
        <v>16.9559628414353</v>
      </c>
      <c r="T236" s="49">
        <v>3.39119256828707</v>
      </c>
      <c r="U236" s="49">
        <v>35</v>
      </c>
      <c r="V236" s="110">
        <f>((O236+R236)*100)/N236</f>
        <v>57.6177399765716</v>
      </c>
      <c r="W236" s="110">
        <f>((P236+S236)*100)/N236</f>
        <v>35.1754068140997</v>
      </c>
      <c r="X236" s="110">
        <f>((Q236+T236)*100)/N236</f>
        <v>7.20685320932876</v>
      </c>
    </row>
    <row r="237" spans="1:24" s="168" customFormat="1" ht="22.500000" customHeight="1">
      <c r="A237" s="34">
        <v>235</v>
      </c>
      <c r="B237" s="107">
        <f>C237+D237+E237+F237+G237+H237</f>
        <v>2</v>
      </c>
      <c r="C237" s="49">
        <v>2</v>
      </c>
      <c r="D237" s="49">
        <v>0</v>
      </c>
      <c r="E237" s="49">
        <v>0</v>
      </c>
      <c r="F237" s="49">
        <v>0</v>
      </c>
      <c r="G237" s="49">
        <v>0</v>
      </c>
      <c r="H237" s="49">
        <v>0</v>
      </c>
      <c r="I237" s="78">
        <f>(100*B237)/N237</f>
        <v>2.56410256410256</v>
      </c>
      <c r="J237" s="110">
        <f>((C237+F237)*100)/B237</f>
        <v>100</v>
      </c>
      <c r="K237" s="110">
        <f>((D237+G237)*100)/B237</f>
        <v>0</v>
      </c>
      <c r="L237" s="110">
        <f>((E237+H237)*100)/B237</f>
        <v>0</v>
      </c>
      <c r="M237" s="111">
        <f>N237-B236</f>
        <v>51.6088074317129</v>
      </c>
      <c r="N237" s="107">
        <f>O237+P237+Q237+R237+S237+T237</f>
        <v>78</v>
      </c>
      <c r="O237" s="49">
        <v>48</v>
      </c>
      <c r="P237" s="49">
        <v>25</v>
      </c>
      <c r="Q237" s="49">
        <v>5</v>
      </c>
      <c r="R237" s="49">
        <v>0</v>
      </c>
      <c r="S237" s="49">
        <v>0</v>
      </c>
      <c r="T237" s="49">
        <v>0</v>
      </c>
      <c r="U237" s="49">
        <v>31</v>
      </c>
      <c r="V237" s="110">
        <f>((O237+R237)*100)/N237</f>
        <v>61.5384615384615</v>
      </c>
      <c r="W237" s="110">
        <f>((P237+S237)*100)/N237</f>
        <v>32.0512820512821</v>
      </c>
      <c r="X237" s="110">
        <f>((Q237+T237)*100)/N237</f>
        <v>6.41025641025641</v>
      </c>
    </row>
    <row r="238" spans="1:24" s="168" customFormat="1" ht="22.500000" customHeight="1">
      <c r="A238" s="34">
        <v>236</v>
      </c>
      <c r="B238" s="107">
        <f>C238+D238+E238+F238+G238+H238</f>
        <v>41.6951677959106</v>
      </c>
      <c r="C238" s="49">
        <v>27</v>
      </c>
      <c r="D238" s="49">
        <v>0</v>
      </c>
      <c r="E238" s="49">
        <v>0</v>
      </c>
      <c r="F238" s="49">
        <v>14.6951677959106</v>
      </c>
      <c r="G238" s="49">
        <v>0</v>
      </c>
      <c r="H238" s="49">
        <v>0</v>
      </c>
      <c r="I238" s="78">
        <f>(100*B238)/N238</f>
        <v>20.339531376047</v>
      </c>
      <c r="J238" s="110">
        <f>((C238+F238)*100)/B238</f>
        <v>100</v>
      </c>
      <c r="K238" s="110">
        <f>((D238+G238)*100)/B238</f>
        <v>0</v>
      </c>
      <c r="L238" s="110">
        <f>((E238+H238)*100)/B238</f>
        <v>0</v>
      </c>
      <c r="M238" s="111">
        <f>N238-B237</f>
        <v>202.995715117671</v>
      </c>
      <c r="N238" s="107">
        <f>O238+P238+Q238+R238+S238+T238</f>
        <v>204.995715117671</v>
      </c>
      <c r="O238" s="49">
        <v>40</v>
      </c>
      <c r="P238" s="49">
        <v>29</v>
      </c>
      <c r="Q238" s="49">
        <v>6</v>
      </c>
      <c r="R238" s="49">
        <v>41.8247083422072</v>
      </c>
      <c r="S238" s="49">
        <v>75.7366340250779</v>
      </c>
      <c r="T238" s="49">
        <v>12.4343727503859</v>
      </c>
      <c r="U238" s="49">
        <v>43</v>
      </c>
      <c r="V238" s="110">
        <f>((O238+R238)*100)/N238</f>
        <v>39.9153261790074</v>
      </c>
      <c r="W238" s="110">
        <f>((P238+S238)*100)/N238</f>
        <v>51.0921089082068</v>
      </c>
      <c r="X238" s="110">
        <f>((Q238+T238)*100)/N238</f>
        <v>8.99256491278574</v>
      </c>
    </row>
    <row r="239" spans="1:24" s="168" customFormat="1" ht="22.500000" customHeight="1">
      <c r="A239" s="34">
        <v>237</v>
      </c>
      <c r="B239" s="107">
        <f>C239+D239+E239+F239+G239+H239</f>
        <v>70.6511306373459</v>
      </c>
      <c r="C239" s="49">
        <v>20</v>
      </c>
      <c r="D239" s="49">
        <v>13</v>
      </c>
      <c r="E239" s="49">
        <v>6</v>
      </c>
      <c r="F239" s="49">
        <v>7.91278265933649</v>
      </c>
      <c r="G239" s="49">
        <v>15.8255653186729</v>
      </c>
      <c r="H239" s="49">
        <v>7.91278265933649</v>
      </c>
      <c r="I239" s="78">
        <f>(100*B239)/N239</f>
        <v>35.6439855200877</v>
      </c>
      <c r="J239" s="110">
        <f>((C239+F239)*100)/B239</f>
        <v>39.5079065367171</v>
      </c>
      <c r="K239" s="110">
        <f>((D239+G239)*100)/B239</f>
        <v>40.7998641474477</v>
      </c>
      <c r="L239" s="110">
        <f>((E239+H239)*100)/B239</f>
        <v>19.6922293158353</v>
      </c>
      <c r="M239" s="111">
        <f>N239-B238</f>
        <v>156.518162185186</v>
      </c>
      <c r="N239" s="107">
        <f>O239+P239+Q239+R239+S239+T239</f>
        <v>198.213329981097</v>
      </c>
      <c r="O239" s="49">
        <v>38</v>
      </c>
      <c r="P239" s="49">
        <v>28</v>
      </c>
      <c r="Q239" s="49">
        <v>9</v>
      </c>
      <c r="R239" s="49">
        <v>41.8247083422072</v>
      </c>
      <c r="S239" s="49">
        <v>72.3454414567908</v>
      </c>
      <c r="T239" s="49">
        <v>9.04318018209885</v>
      </c>
      <c r="U239" s="49">
        <v>44</v>
      </c>
      <c r="V239" s="110">
        <f>((O239+R239)*100)/N239</f>
        <v>40.2721191101627</v>
      </c>
      <c r="W239" s="110">
        <f>((P239+S239)*100)/N239</f>
        <v>50.6249713207283</v>
      </c>
      <c r="X239" s="110">
        <f>((Q239+T239)*100)/N239</f>
        <v>9.102909569109</v>
      </c>
    </row>
    <row r="240" spans="1:24" s="168" customFormat="1" ht="22.500000" customHeight="1">
      <c r="A240" s="34">
        <v>238</v>
      </c>
      <c r="B240" s="107">
        <f>C240+D240+E240+F240+G240+H240</f>
        <v>51.4775529324847</v>
      </c>
      <c r="C240" s="49">
        <v>29</v>
      </c>
      <c r="D240" s="49">
        <v>0</v>
      </c>
      <c r="E240" s="49">
        <v>1</v>
      </c>
      <c r="F240" s="49">
        <v>19.21675788696</v>
      </c>
      <c r="G240" s="49">
        <v>0</v>
      </c>
      <c r="H240" s="49">
        <v>2.26079504552471</v>
      </c>
      <c r="I240" s="78">
        <f>(100*B240)/N240</f>
        <v>20.3893774823023</v>
      </c>
      <c r="J240" s="110">
        <f>((C240+F240)*100)/B240</f>
        <v>93.665598188396</v>
      </c>
      <c r="K240" s="110">
        <f>((D240+G240)*100)/B240</f>
        <v>0</v>
      </c>
      <c r="L240" s="110">
        <f>((E240+H240)*100)/B240</f>
        <v>6.33440181160398</v>
      </c>
      <c r="M240" s="111">
        <f>N240-B239</f>
        <v>181.821280436344</v>
      </c>
      <c r="N240" s="107">
        <f>O240+P240+Q240+R240+S240+T240</f>
        <v>252.47241107369</v>
      </c>
      <c r="O240" s="49">
        <v>37</v>
      </c>
      <c r="P240" s="49">
        <v>29</v>
      </c>
      <c r="Q240" s="49">
        <v>9</v>
      </c>
      <c r="R240" s="49">
        <v>77.9974290706026</v>
      </c>
      <c r="S240" s="49">
        <v>82.519019161652</v>
      </c>
      <c r="T240" s="49">
        <v>16.9559628414353</v>
      </c>
      <c r="U240" s="49">
        <v>46</v>
      </c>
      <c r="V240" s="110">
        <f>((O240+R240)*100)/N240</f>
        <v>45.5485130361582</v>
      </c>
      <c r="W240" s="110">
        <f>((P240+S240)*100)/N240</f>
        <v>44.1707744174482</v>
      </c>
      <c r="X240" s="110">
        <f>((Q240+T240)*100)/N240</f>
        <v>10.2807125463936</v>
      </c>
    </row>
    <row r="241" spans="1:24" s="168" customFormat="1" ht="22.500000" customHeight="1">
      <c r="A241" s="34">
        <v>239</v>
      </c>
      <c r="B241" s="107">
        <f>C241+D241+E241+F241+G241+H241</f>
        <v>23.1735777048612</v>
      </c>
      <c r="C241" s="49">
        <v>10</v>
      </c>
      <c r="D241" s="49">
        <v>0</v>
      </c>
      <c r="E241" s="49">
        <v>3</v>
      </c>
      <c r="F241" s="49">
        <v>9.04318018209885</v>
      </c>
      <c r="G241" s="49">
        <v>0</v>
      </c>
      <c r="H241" s="49">
        <v>1.13039752276235</v>
      </c>
      <c r="I241" s="78">
        <f>(100*B241)/N241</f>
        <v>13.3886470711866</v>
      </c>
      <c r="J241" s="110">
        <f>((C241+F241)*100)/B241</f>
        <v>82.1762630899419</v>
      </c>
      <c r="K241" s="110">
        <f>((D241+G241)*100)/B241</f>
        <v>0</v>
      </c>
      <c r="L241" s="110">
        <f>((E241+H241)*100)/B241</f>
        <v>17.8237369100581</v>
      </c>
      <c r="M241" s="111">
        <f>N241-B240</f>
        <v>121.606236502315</v>
      </c>
      <c r="N241" s="107">
        <f>O241+P241+Q241+R241+S241+T241</f>
        <v>173.0837894348</v>
      </c>
      <c r="O241" s="49">
        <v>50</v>
      </c>
      <c r="P241" s="49">
        <v>22</v>
      </c>
      <c r="Q241" s="49">
        <v>5</v>
      </c>
      <c r="R241" s="49">
        <v>65.5630563202166</v>
      </c>
      <c r="S241" s="49">
        <v>27.1295405462965</v>
      </c>
      <c r="T241" s="49">
        <v>3.39119256828707</v>
      </c>
      <c r="U241" s="49">
        <v>42</v>
      </c>
      <c r="V241" s="110">
        <f>((O241+R241)*100)/N241</f>
        <v>66.767117069475</v>
      </c>
      <c r="W241" s="110">
        <f>((P241+S241)*100)/N241</f>
        <v>28.3848306688498</v>
      </c>
      <c r="X241" s="110">
        <f>((Q241+T241)*100)/N241</f>
        <v>4.84805226167526</v>
      </c>
    </row>
    <row r="242" spans="1:24" s="168" customFormat="1" ht="22.500000" customHeight="1">
      <c r="A242" s="34">
        <v>240</v>
      </c>
      <c r="B242" s="107">
        <f>C242+D242+E242+F242+G242+H242</f>
        <v>24</v>
      </c>
      <c r="C242" s="49">
        <v>24</v>
      </c>
      <c r="D242" s="49">
        <v>0</v>
      </c>
      <c r="E242" s="49">
        <v>0</v>
      </c>
      <c r="F242" s="49">
        <v>0</v>
      </c>
      <c r="G242" s="49">
        <v>0</v>
      </c>
      <c r="H242" s="49">
        <v>0</v>
      </c>
      <c r="I242" s="78">
        <f>(100*B242)/N242</f>
        <v>13.5595846383033</v>
      </c>
      <c r="J242" s="110">
        <f>((C242+F242)*100)/B242</f>
        <v>100</v>
      </c>
      <c r="K242" s="110">
        <f>((D242+G242)*100)/B242</f>
        <v>0</v>
      </c>
      <c r="L242" s="110">
        <f>((E242+H242)*100)/B242</f>
        <v>0</v>
      </c>
      <c r="M242" s="111">
        <f>N242-B241</f>
        <v>153.822994389276</v>
      </c>
      <c r="N242" s="107">
        <f>O242+P242+Q242+R242+S242+T242</f>
        <v>176.996572094137</v>
      </c>
      <c r="O242" s="49">
        <v>47</v>
      </c>
      <c r="P242" s="49">
        <v>21</v>
      </c>
      <c r="Q242" s="49">
        <v>5</v>
      </c>
      <c r="R242" s="49">
        <v>45.2159009104942</v>
      </c>
      <c r="S242" s="49">
        <v>54.2590810925931</v>
      </c>
      <c r="T242" s="49">
        <v>4.52159009104942</v>
      </c>
      <c r="U242" s="49">
        <v>40</v>
      </c>
      <c r="V242" s="110">
        <f>((O242+R242)*100)/N242</f>
        <v>52.1003880580515</v>
      </c>
      <c r="W242" s="110">
        <f>((P242+S242)*100)/N242</f>
        <v>42.5200783281645</v>
      </c>
      <c r="X242" s="110">
        <f>((Q242+T242)*100)/N242</f>
        <v>5.37953361378395</v>
      </c>
    </row>
    <row r="243" spans="1:24" s="168" customFormat="1" ht="22.500000" customHeight="1">
      <c r="A243" s="34">
        <v>241</v>
      </c>
      <c r="B243" s="107">
        <f>C243+D243+E243+F243+G243+H243</f>
        <v>37.21675788696</v>
      </c>
      <c r="C243" s="49">
        <v>16</v>
      </c>
      <c r="D243" s="49">
        <v>0</v>
      </c>
      <c r="E243" s="49">
        <v>2</v>
      </c>
      <c r="F243" s="49">
        <v>19.21675788696</v>
      </c>
      <c r="G243" s="49">
        <v>0</v>
      </c>
      <c r="H243" s="49">
        <v>0</v>
      </c>
      <c r="I243" s="78">
        <f>(100*B243)/N243</f>
        <v>16.4679666577664</v>
      </c>
      <c r="J243" s="110">
        <f>((C243+F243)*100)/B243</f>
        <v>94.6260767633906</v>
      </c>
      <c r="K243" s="110">
        <f>((D243+G243)*100)/B243</f>
        <v>0</v>
      </c>
      <c r="L243" s="110">
        <f>((E243+H243)*100)/B243</f>
        <v>5.37392323660939</v>
      </c>
      <c r="M243" s="111">
        <f>N243-B242</f>
        <v>201.994858141204</v>
      </c>
      <c r="N243" s="107">
        <f>O243+P243+Q243+R243+S243+T243</f>
        <v>225.994858141204</v>
      </c>
      <c r="O243" s="49">
        <v>43</v>
      </c>
      <c r="P243" s="49">
        <v>22</v>
      </c>
      <c r="Q243" s="49">
        <v>5</v>
      </c>
      <c r="R243" s="49">
        <v>103.996572094136</v>
      </c>
      <c r="S243" s="49">
        <v>42.9551058649695</v>
      </c>
      <c r="T243" s="49">
        <v>9.04318018209885</v>
      </c>
      <c r="U243" s="49">
        <v>43</v>
      </c>
      <c r="V243" s="110">
        <f>((O243+R243)*100)/N243</f>
        <v>65.0442108741654</v>
      </c>
      <c r="W243" s="110">
        <f>((P243+S243)*100)/N243</f>
        <v>28.74185120813</v>
      </c>
      <c r="X243" s="110">
        <f>((Q243+T243)*100)/N243</f>
        <v>6.21393791770453</v>
      </c>
    </row>
    <row r="244" spans="1:24" s="168" customFormat="1" ht="22.500000" customHeight="1">
      <c r="A244" s="34">
        <v>242</v>
      </c>
      <c r="B244" s="107">
        <f>C244+D244+E244+F244+G244+H244</f>
        <v>35.6951677959106</v>
      </c>
      <c r="C244" s="49">
        <v>21</v>
      </c>
      <c r="D244" s="49">
        <v>0</v>
      </c>
      <c r="E244" s="49">
        <v>0</v>
      </c>
      <c r="F244" s="49">
        <v>13.5647702731482</v>
      </c>
      <c r="G244" s="49">
        <v>1.13039752276235</v>
      </c>
      <c r="H244" s="49">
        <v>0</v>
      </c>
      <c r="I244" s="78">
        <f>(100*B244)/N244</f>
        <v>19.9224970431488</v>
      </c>
      <c r="J244" s="110">
        <f>((C244+F244)*100)/B244</f>
        <v>96.8331917383735</v>
      </c>
      <c r="K244" s="110">
        <f>((D244+G244)*100)/B244</f>
        <v>3.16680826162654</v>
      </c>
      <c r="L244" s="110">
        <f>((E244+H244)*100)/B244</f>
        <v>0</v>
      </c>
      <c r="M244" s="111">
        <f>N244-B243</f>
        <v>141.953391912038</v>
      </c>
      <c r="N244" s="107">
        <f>O244+P244+Q244+R244+S244+T244</f>
        <v>179.170149798998</v>
      </c>
      <c r="O244" s="49">
        <v>36</v>
      </c>
      <c r="P244" s="49">
        <v>22</v>
      </c>
      <c r="Q244" s="49">
        <v>7</v>
      </c>
      <c r="R244" s="49">
        <v>73.4758389795531</v>
      </c>
      <c r="S244" s="49">
        <v>31.6511306373459</v>
      </c>
      <c r="T244" s="49">
        <v>9.04318018209885</v>
      </c>
      <c r="U244" s="49">
        <v>36</v>
      </c>
      <c r="V244" s="110">
        <f>((O244+R244)*100)/N244</f>
        <v>61.1016059887033</v>
      </c>
      <c r="W244" s="110">
        <f>((P244+S244)*100)/N244</f>
        <v>29.9442349618698</v>
      </c>
      <c r="X244" s="110">
        <f>((Q244+T244)*100)/N244</f>
        <v>8.95415904942699</v>
      </c>
    </row>
    <row r="245" spans="1:24" s="168" customFormat="1" ht="22.500000" customHeight="1">
      <c r="A245" s="34">
        <v>243</v>
      </c>
      <c r="B245" s="107">
        <f>C245+D245+E245+F245+G245+H245</f>
        <v>196.082075481869</v>
      </c>
      <c r="C245" s="49">
        <v>40</v>
      </c>
      <c r="D245" s="49">
        <v>3</v>
      </c>
      <c r="E245" s="49">
        <v>5</v>
      </c>
      <c r="F245" s="49">
        <v>129.995715117671</v>
      </c>
      <c r="G245" s="49">
        <v>12.4343727503859</v>
      </c>
      <c r="H245" s="49">
        <v>5.65198761381178</v>
      </c>
      <c r="I245" s="78">
        <f>(100*B245)/N245</f>
        <v>26.3113180395837</v>
      </c>
      <c r="J245" s="110">
        <f>((C245+F245)*100)/B245</f>
        <v>86.6962034647528</v>
      </c>
      <c r="K245" s="110">
        <f>((D245+G245)*100)/B245</f>
        <v>7.87138381336293</v>
      </c>
      <c r="L245" s="110">
        <f>((E245+H245)*100)/B245</f>
        <v>5.43241272188428</v>
      </c>
      <c r="M245" s="111">
        <f>N245-B244</f>
        <v>709.543345861503</v>
      </c>
      <c r="N245" s="107">
        <f>O245+P245+Q245+R245+S245+T245</f>
        <v>745.238513657414</v>
      </c>
      <c r="O245" s="49">
        <v>47</v>
      </c>
      <c r="P245" s="49">
        <v>17</v>
      </c>
      <c r="Q245" s="49">
        <v>3</v>
      </c>
      <c r="R245" s="49">
        <v>305.207331145836</v>
      </c>
      <c r="S245" s="49">
        <v>345.901641965281</v>
      </c>
      <c r="T245" s="49">
        <v>27.1295405462965</v>
      </c>
      <c r="U245" s="49">
        <v>53</v>
      </c>
      <c r="V245" s="110">
        <f>((O245+R245)*100)/N245</f>
        <v>47.2610210947506</v>
      </c>
      <c r="W245" s="110">
        <f>((P245+S245)*100)/N245</f>
        <v>48.6960396322334</v>
      </c>
      <c r="X245" s="110">
        <f>((Q245+T245)*100)/N245</f>
        <v>4.04293927301603</v>
      </c>
    </row>
    <row r="246" spans="1:24" s="168" customFormat="1" ht="22.500000" customHeight="1">
      <c r="A246" s="34">
        <v>244</v>
      </c>
      <c r="B246" s="107">
        <f>C246+D246+E246+F246+G246+H246</f>
        <v>41.5647702731483</v>
      </c>
      <c r="C246" s="49">
        <v>25</v>
      </c>
      <c r="D246" s="49">
        <v>0</v>
      </c>
      <c r="E246" s="49">
        <v>3</v>
      </c>
      <c r="F246" s="49">
        <v>10.1735777048612</v>
      </c>
      <c r="G246" s="49">
        <v>0</v>
      </c>
      <c r="H246" s="49">
        <v>3.39119256828707</v>
      </c>
      <c r="I246" s="78">
        <f>(100*B246)/N246</f>
        <v>37.6675709682178</v>
      </c>
      <c r="J246" s="110">
        <f>((C246+F246)*100)/B246</f>
        <v>84.6235344829611</v>
      </c>
      <c r="K246" s="110">
        <f>((D246+G246)*100)/B246</f>
        <v>0</v>
      </c>
      <c r="L246" s="110">
        <f>((E246+H246)*100)/B246</f>
        <v>15.3764655170389</v>
      </c>
      <c r="M246" s="111">
        <f>N246-B245</f>
        <v>-85.7357770486122</v>
      </c>
      <c r="N246" s="107">
        <f>O246+P246+Q246+R246+S246+T246</f>
        <v>110.346298433257</v>
      </c>
      <c r="O246" s="49">
        <v>42</v>
      </c>
      <c r="P246" s="49">
        <v>18</v>
      </c>
      <c r="Q246" s="49">
        <v>4</v>
      </c>
      <c r="R246" s="49">
        <v>27.1295405462965</v>
      </c>
      <c r="S246" s="49">
        <v>14.6951677959106</v>
      </c>
      <c r="T246" s="49">
        <v>4.52159009104942</v>
      </c>
      <c r="U246" s="49">
        <v>36</v>
      </c>
      <c r="V246" s="110">
        <f>((O246+R246)*100)/N246</f>
        <v>62.6478110528645</v>
      </c>
      <c r="W246" s="110">
        <f>((P246+S246)*100)/N246</f>
        <v>29.6296008657567</v>
      </c>
      <c r="X246" s="110">
        <f>((Q246+T246)*100)/N246</f>
        <v>7.72258808137887</v>
      </c>
    </row>
    <row r="247" spans="1:24" s="168" customFormat="1" ht="22.500000" customHeight="1">
      <c r="A247" s="34">
        <v>245</v>
      </c>
      <c r="B247" s="107">
        <f>C247+D247+E247+F247+G247+H247</f>
        <v>46.0863603641977</v>
      </c>
      <c r="C247" s="49">
        <v>28</v>
      </c>
      <c r="D247" s="49">
        <v>0</v>
      </c>
      <c r="E247" s="49">
        <v>0</v>
      </c>
      <c r="F247" s="49">
        <v>18.0863603641977</v>
      </c>
      <c r="G247" s="49">
        <v>0</v>
      </c>
      <c r="H247" s="49">
        <v>0</v>
      </c>
      <c r="I247" s="78">
        <f>(100*B247)/N247</f>
        <v>32.3666033379246</v>
      </c>
      <c r="J247" s="110">
        <f>((C247+F247)*100)/B247</f>
        <v>100</v>
      </c>
      <c r="K247" s="110">
        <f>((D247+G247)*100)/B247</f>
        <v>0</v>
      </c>
      <c r="L247" s="110">
        <f>((E247+H247)*100)/B247</f>
        <v>0</v>
      </c>
      <c r="M247" s="111">
        <f>N247-B246</f>
        <v>100.823851365741</v>
      </c>
      <c r="N247" s="107">
        <f>O247+P247+Q247+R247+S247+T247</f>
        <v>142.38862163889</v>
      </c>
      <c r="O247" s="49">
        <v>39</v>
      </c>
      <c r="P247" s="49">
        <v>17</v>
      </c>
      <c r="Q247" s="49">
        <v>5</v>
      </c>
      <c r="R247" s="49">
        <v>40.6943108194448</v>
      </c>
      <c r="S247" s="49">
        <v>29.3903355918212</v>
      </c>
      <c r="T247" s="49">
        <v>11.3039752276235</v>
      </c>
      <c r="U247" s="49">
        <v>42</v>
      </c>
      <c r="V247" s="110">
        <f>((O247+R247)*100)/N247</f>
        <v>55.9695781180864</v>
      </c>
      <c r="W247" s="110">
        <f>((P247+S247)*100)/N247</f>
        <v>32.5800861458378</v>
      </c>
      <c r="X247" s="110">
        <f>((Q247+T247)*100)/N247</f>
        <v>11.4503357360758</v>
      </c>
    </row>
    <row r="248" spans="1:24" s="168" customFormat="1" ht="22.500000" customHeight="1">
      <c r="A248" s="34">
        <v>246</v>
      </c>
      <c r="B248" s="107">
        <f>C248+D248+E248+F248+G248+H248</f>
        <v>41.0431801820989</v>
      </c>
      <c r="C248" s="49">
        <v>29</v>
      </c>
      <c r="D248" s="49">
        <v>0</v>
      </c>
      <c r="E248" s="49">
        <v>3</v>
      </c>
      <c r="F248" s="49">
        <v>9.04318018209885</v>
      </c>
      <c r="G248" s="49">
        <v>0</v>
      </c>
      <c r="H248" s="49">
        <v>0</v>
      </c>
      <c r="I248" s="78">
        <f>(100*B248)/N248</f>
        <v>43.3625883871954</v>
      </c>
      <c r="J248" s="110">
        <f>((C248+F248)*100)/B248</f>
        <v>92.6906248816741</v>
      </c>
      <c r="K248" s="110">
        <f>((D248+G248)*100)/B248</f>
        <v>0</v>
      </c>
      <c r="L248" s="110">
        <f>((E248+H248)*100)/B248</f>
        <v>7.3093751183259</v>
      </c>
      <c r="M248" s="111">
        <f>N248-B247</f>
        <v>48.5647702731482</v>
      </c>
      <c r="N248" s="107">
        <f>O248+P248+Q248+R248+S248+T248</f>
        <v>94.6511306373459</v>
      </c>
      <c r="O248" s="49">
        <v>42</v>
      </c>
      <c r="P248" s="49">
        <v>18</v>
      </c>
      <c r="Q248" s="49">
        <v>3</v>
      </c>
      <c r="R248" s="49">
        <v>16.9559628414353</v>
      </c>
      <c r="S248" s="49">
        <v>13.5647702731482</v>
      </c>
      <c r="T248" s="49">
        <v>1.13039752276235</v>
      </c>
      <c r="U248" s="49">
        <v>36</v>
      </c>
      <c r="V248" s="110">
        <f>((O248+R248)*100)/N248</f>
        <v>62.2876477485769</v>
      </c>
      <c r="W248" s="110">
        <f>((P248+S248)*100)/N248</f>
        <v>33.3485401184356</v>
      </c>
      <c r="X248" s="110">
        <f>((Q248+T248)*100)/N248</f>
        <v>4.3638121329875</v>
      </c>
    </row>
    <row r="249" spans="1:24" s="168" customFormat="1" ht="22.500000" customHeight="1">
      <c r="A249" s="34">
        <v>247</v>
      </c>
      <c r="B249" s="107">
        <f>C249+D249+E249+F249+G249+H249</f>
        <v>8.39119256828706</v>
      </c>
      <c r="C249" s="49">
        <v>1</v>
      </c>
      <c r="D249" s="49">
        <v>2</v>
      </c>
      <c r="E249" s="49">
        <v>2</v>
      </c>
      <c r="F249" s="49">
        <v>1.13039752276235</v>
      </c>
      <c r="G249" s="49">
        <v>2.26079504552471</v>
      </c>
      <c r="H249" s="49">
        <v>0</v>
      </c>
      <c r="I249" s="78">
        <f>(100*B249)/N249</f>
        <v>6.6643803872822</v>
      </c>
      <c r="J249" s="110">
        <f>((C249+F249)*100)/B249</f>
        <v>25.3884952040523</v>
      </c>
      <c r="K249" s="110">
        <f>((D249+G249)*100)/B249</f>
        <v>50.7769904081046</v>
      </c>
      <c r="L249" s="110">
        <f>((E249+H249)*100)/B249</f>
        <v>23.8345143878431</v>
      </c>
      <c r="M249" s="111">
        <f>N249-B248</f>
        <v>84.867888524306</v>
      </c>
      <c r="N249" s="107">
        <f>O249+P249+Q249+R249+S249+T249</f>
        <v>125.911068706405</v>
      </c>
      <c r="O249" s="49">
        <v>46</v>
      </c>
      <c r="P249" s="49">
        <v>17</v>
      </c>
      <c r="Q249" s="49">
        <v>3</v>
      </c>
      <c r="R249" s="49">
        <v>41.8247083422072</v>
      </c>
      <c r="S249" s="49">
        <v>14.6951677959106</v>
      </c>
      <c r="T249" s="49">
        <v>3.39119256828707</v>
      </c>
      <c r="U249" s="49">
        <v>37</v>
      </c>
      <c r="V249" s="110">
        <f>((O249+R249)*100)/N249</f>
        <v>69.7513802753862</v>
      </c>
      <c r="W249" s="110">
        <f>((P249+S249)*100)/N249</f>
        <v>25.172662039599</v>
      </c>
      <c r="X249" s="110">
        <f>((Q249+T249)*100)/N249</f>
        <v>5.07595768501484</v>
      </c>
    </row>
    <row r="250" spans="1:24" s="168" customFormat="1" ht="22.500000" customHeight="1">
      <c r="A250" s="34">
        <v>248</v>
      </c>
      <c r="B250" s="107">
        <f>C250+D250+E250+F250+G250+H250</f>
        <v>54.0863603641977</v>
      </c>
      <c r="C250" s="49">
        <v>29</v>
      </c>
      <c r="D250" s="49">
        <v>0</v>
      </c>
      <c r="E250" s="49">
        <v>7</v>
      </c>
      <c r="F250" s="49">
        <v>14.6951677959106</v>
      </c>
      <c r="G250" s="49">
        <v>0</v>
      </c>
      <c r="H250" s="49">
        <v>3.39119256828707</v>
      </c>
      <c r="I250" s="78">
        <f>(100*B250)/N250</f>
        <v>52.8464255104147</v>
      </c>
      <c r="J250" s="110">
        <f>((C250+F250)*100)/B250</f>
        <v>80.7877762557573</v>
      </c>
      <c r="K250" s="110">
        <f>((D250+G250)*100)/B250</f>
        <v>0</v>
      </c>
      <c r="L250" s="110">
        <f>((E250+H250)*100)/B250</f>
        <v>19.2122237442427</v>
      </c>
      <c r="M250" s="111">
        <f>N250-B249</f>
        <v>93.9551058649695</v>
      </c>
      <c r="N250" s="107">
        <f>O250+P250+Q250+R250+S250+T250</f>
        <v>102.346298433257</v>
      </c>
      <c r="O250" s="49">
        <v>36</v>
      </c>
      <c r="P250" s="49">
        <v>17</v>
      </c>
      <c r="Q250" s="49">
        <v>3</v>
      </c>
      <c r="R250" s="49">
        <v>28.2599380690589</v>
      </c>
      <c r="S250" s="49">
        <v>16.9559628414353</v>
      </c>
      <c r="T250" s="49">
        <v>1.13039752276235</v>
      </c>
      <c r="U250" s="49">
        <v>42</v>
      </c>
      <c r="V250" s="110">
        <f>((O250+R250)*100)/N250</f>
        <v>62.7867729979164</v>
      </c>
      <c r="W250" s="110">
        <f>((P250+S250)*100)/N250</f>
        <v>33.1775192276046</v>
      </c>
      <c r="X250" s="110">
        <f>((Q250+T250)*100)/N250</f>
        <v>4.03570777447894</v>
      </c>
    </row>
    <row r="251" spans="1:24" s="168" customFormat="1" ht="22.500000" customHeight="1">
      <c r="A251" s="34">
        <v>249</v>
      </c>
      <c r="B251" s="107">
        <f>C251+D251+E251+F251+G251+H251</f>
        <v>15</v>
      </c>
      <c r="C251" s="49">
        <v>15</v>
      </c>
      <c r="D251" s="49">
        <v>0</v>
      </c>
      <c r="E251" s="49">
        <v>0</v>
      </c>
      <c r="F251" s="49">
        <v>0</v>
      </c>
      <c r="G251" s="49">
        <v>0</v>
      </c>
      <c r="H251" s="49">
        <v>0</v>
      </c>
      <c r="I251" s="78">
        <f>(100*B251)/N251</f>
        <v>22.4464992229681</v>
      </c>
      <c r="J251" s="110">
        <f>((C251+F251)*100)/B251</f>
        <v>100</v>
      </c>
      <c r="K251" s="110">
        <f>((D251+G251)*100)/B251</f>
        <v>0</v>
      </c>
      <c r="L251" s="110">
        <f>((E251+H251)*100)/B251</f>
        <v>0</v>
      </c>
      <c r="M251" s="111">
        <f>N251-B250</f>
        <v>12.7392049544753</v>
      </c>
      <c r="N251" s="107">
        <f>O251+P251+Q251+R251+S251+T251</f>
        <v>66.825565318673</v>
      </c>
      <c r="O251" s="49">
        <v>30</v>
      </c>
      <c r="P251" s="49">
        <v>17</v>
      </c>
      <c r="Q251" s="49">
        <v>4</v>
      </c>
      <c r="R251" s="49">
        <v>9.04318018209885</v>
      </c>
      <c r="S251" s="49">
        <v>6.78238513657414</v>
      </c>
      <c r="T251" s="49">
        <v>0</v>
      </c>
      <c r="U251" s="49">
        <v>35</v>
      </c>
      <c r="V251" s="110">
        <f>((O251+R251)*100)/N251</f>
        <v>58.4255142413125</v>
      </c>
      <c r="W251" s="110">
        <f>((P251+S251)*100)/N251</f>
        <v>35.5887526325627</v>
      </c>
      <c r="X251" s="110">
        <f>((Q251+T251)*100)/N251</f>
        <v>5.98573312612484</v>
      </c>
    </row>
    <row r="252" spans="1:24" s="168" customFormat="1" ht="22.500000" customHeight="1">
      <c r="A252" s="34">
        <v>250</v>
      </c>
      <c r="B252" s="107">
        <f>C252+D252+E252+F252+G252+H252</f>
        <v>38.2167578869601</v>
      </c>
      <c r="C252" s="49">
        <v>18</v>
      </c>
      <c r="D252" s="49">
        <v>1</v>
      </c>
      <c r="E252" s="49">
        <v>0</v>
      </c>
      <c r="F252" s="49">
        <v>18.0863603641977</v>
      </c>
      <c r="G252" s="49">
        <v>1.13039752276235</v>
      </c>
      <c r="H252" s="49">
        <v>0</v>
      </c>
      <c r="I252" s="78">
        <f>(100*B252)/N252</f>
        <v>25.83780892474</v>
      </c>
      <c r="J252" s="110">
        <f>((C252+F252)*100)/B252</f>
        <v>94.4254886061665</v>
      </c>
      <c r="K252" s="110">
        <f>((D252+G252)*100)/B252</f>
        <v>5.5745113938335</v>
      </c>
      <c r="L252" s="110">
        <f>((E252+H252)*100)/B252</f>
        <v>0</v>
      </c>
      <c r="M252" s="111">
        <f>N252-B251</f>
        <v>132.910211729939</v>
      </c>
      <c r="N252" s="107">
        <f>O252+P252+Q252+R252+S252+T252</f>
        <v>147.910211729939</v>
      </c>
      <c r="O252" s="49">
        <v>39</v>
      </c>
      <c r="P252" s="49">
        <v>17</v>
      </c>
      <c r="Q252" s="49">
        <v>6</v>
      </c>
      <c r="R252" s="49">
        <v>45.2159009104942</v>
      </c>
      <c r="S252" s="49">
        <v>31.6511306373459</v>
      </c>
      <c r="T252" s="49">
        <v>9.04318018209885</v>
      </c>
      <c r="U252" s="49">
        <v>37</v>
      </c>
      <c r="V252" s="110">
        <f>((O252+R252)*100)/N252</f>
        <v>56.9371782553184</v>
      </c>
      <c r="W252" s="110">
        <f>((P252+S252)*100)/N252</f>
        <v>32.8923406087575</v>
      </c>
      <c r="X252" s="110">
        <f>((Q252+T252)*100)/N252</f>
        <v>10.1704811359241</v>
      </c>
    </row>
    <row r="253" spans="1:24" s="168" customFormat="1" ht="22.500000" customHeight="1">
      <c r="A253" s="34">
        <v>251</v>
      </c>
      <c r="B253" s="107">
        <f>C253+D253+E253+F253+G253+H253</f>
        <v>0</v>
      </c>
      <c r="C253" s="49">
        <v>0</v>
      </c>
      <c r="D253" s="49">
        <v>0</v>
      </c>
      <c r="E253" s="49">
        <v>0</v>
      </c>
      <c r="F253" s="49">
        <v>0</v>
      </c>
      <c r="G253" s="49">
        <v>0</v>
      </c>
      <c r="H253" s="49">
        <v>0</v>
      </c>
      <c r="I253" s="78">
        <f>(100*B253)/N253</f>
        <v>0</v>
      </c>
      <c r="J253" s="110" t="e">
        <f>((C253+F253)*100)/B253</f>
        <v>#DIV/0!</v>
      </c>
      <c r="K253" s="110" t="e">
        <f>((D253+G253)*100)/B253</f>
        <v>#DIV/0!</v>
      </c>
      <c r="L253" s="110" t="e">
        <f>((E253+H253)*100)/B253</f>
        <v>#DIV/0!</v>
      </c>
      <c r="M253" s="111">
        <f>N253-B252</f>
        <v>21.7832421130399</v>
      </c>
      <c r="N253" s="107">
        <f>O253+P253+Q253+R253+S253+T253</f>
        <v>60</v>
      </c>
      <c r="O253" s="49">
        <v>39</v>
      </c>
      <c r="P253" s="49">
        <v>16</v>
      </c>
      <c r="Q253" s="49">
        <v>5</v>
      </c>
      <c r="R253" s="49">
        <v>0</v>
      </c>
      <c r="S253" s="49">
        <v>0</v>
      </c>
      <c r="T253" s="49">
        <v>0</v>
      </c>
      <c r="U253" s="49">
        <v>24</v>
      </c>
      <c r="V253" s="110">
        <f>((O253+R253)*100)/N253</f>
        <v>65</v>
      </c>
      <c r="W253" s="110">
        <f>((P253+S253)*100)/N253</f>
        <v>26.6666666666667</v>
      </c>
      <c r="X253" s="110">
        <f>((Q253+T253)*100)/N253</f>
        <v>8.33333333333333</v>
      </c>
    </row>
    <row r="254" spans="1:24" s="168" customFormat="1" ht="22.500000" customHeight="1">
      <c r="A254" s="34">
        <v>252</v>
      </c>
      <c r="B254" s="107">
        <f>C254+D254+E254+F254+G254+H254</f>
        <v>0</v>
      </c>
      <c r="C254" s="49">
        <v>0</v>
      </c>
      <c r="D254" s="49">
        <v>0</v>
      </c>
      <c r="E254" s="49">
        <v>0</v>
      </c>
      <c r="F254" s="49">
        <v>0</v>
      </c>
      <c r="G254" s="49">
        <v>0</v>
      </c>
      <c r="H254" s="49">
        <v>0</v>
      </c>
      <c r="I254" s="78">
        <f>(100*B254)/N254</f>
        <v>0</v>
      </c>
      <c r="J254" s="110" t="e">
        <f>((C254+F254)*100)/B254</f>
        <v>#DIV/0!</v>
      </c>
      <c r="K254" s="110" t="e">
        <f>((D254+G254)*100)/B254</f>
        <v>#DIV/0!</v>
      </c>
      <c r="L254" s="110" t="e">
        <f>((E254+H254)*100)/B254</f>
        <v>#DIV/0!</v>
      </c>
      <c r="M254" s="111">
        <f>N254-B253</f>
        <v>61</v>
      </c>
      <c r="N254" s="107">
        <f>O254+P254+Q254+R254+S254+T254</f>
        <v>61</v>
      </c>
      <c r="O254" s="49">
        <v>39</v>
      </c>
      <c r="P254" s="49">
        <v>17</v>
      </c>
      <c r="Q254" s="49">
        <v>5</v>
      </c>
      <c r="R254" s="49">
        <v>0</v>
      </c>
      <c r="S254" s="49">
        <v>0</v>
      </c>
      <c r="T254" s="49">
        <v>0</v>
      </c>
      <c r="U254" s="49">
        <v>23</v>
      </c>
      <c r="V254" s="110">
        <f>((O254+R254)*100)/N254</f>
        <v>63.9344262295082</v>
      </c>
      <c r="W254" s="110">
        <f>((P254+S254)*100)/N254</f>
        <v>27.8688524590164</v>
      </c>
      <c r="X254" s="110">
        <f>((Q254+T254)*100)/N254</f>
        <v>8.19672131147541</v>
      </c>
    </row>
    <row r="255" spans="1:24" s="168" customFormat="1" ht="22.500000" customHeight="1">
      <c r="A255" s="34">
        <v>253</v>
      </c>
      <c r="B255" s="107">
        <f>C255+D255+E255+F255+G255+H255</f>
        <v>18.3911925682871</v>
      </c>
      <c r="C255" s="49">
        <v>14</v>
      </c>
      <c r="D255" s="49">
        <v>1</v>
      </c>
      <c r="E255" s="49">
        <v>0</v>
      </c>
      <c r="F255" s="49">
        <v>3.39119256828707</v>
      </c>
      <c r="G255" s="49">
        <v>0</v>
      </c>
      <c r="H255" s="49">
        <v>0</v>
      </c>
      <c r="I255" s="78">
        <f>(100*B255)/N255</f>
        <v>18.7004420718167</v>
      </c>
      <c r="J255" s="110">
        <f>((C255+F255)*100)/B255</f>
        <v>94.5626147065397</v>
      </c>
      <c r="K255" s="110">
        <f>((D255+G255)*100)/B255</f>
        <v>5.43738529346027</v>
      </c>
      <c r="L255" s="110">
        <f>((E255+H255)*100)/B255</f>
        <v>0</v>
      </c>
      <c r="M255" s="111">
        <f>N255-B254</f>
        <v>98.3462984332566</v>
      </c>
      <c r="N255" s="107">
        <f>O255+P255+Q255+R255+S255+T255</f>
        <v>98.3462984332566</v>
      </c>
      <c r="O255" s="49">
        <v>32</v>
      </c>
      <c r="P255" s="49">
        <v>15</v>
      </c>
      <c r="Q255" s="49">
        <v>5</v>
      </c>
      <c r="R255" s="49">
        <v>24.8687455007718</v>
      </c>
      <c r="S255" s="49">
        <v>18.0863603641977</v>
      </c>
      <c r="T255" s="49">
        <v>3.39119256828707</v>
      </c>
      <c r="U255" s="49">
        <v>32</v>
      </c>
      <c r="V255" s="110">
        <f>((O255+R255)*100)/N255</f>
        <v>57.8249984053708</v>
      </c>
      <c r="W255" s="110">
        <f>((P255+S255)*100)/N255</f>
        <v>33.6427103930627</v>
      </c>
      <c r="X255" s="110">
        <f>((Q255+T255)*100)/N255</f>
        <v>8.53229120156649</v>
      </c>
    </row>
    <row r="256" spans="1:24" s="168" customFormat="1" ht="22.500000" customHeight="1">
      <c r="A256" s="34">
        <v>254</v>
      </c>
      <c r="B256" s="107">
        <f>C256+D256+E256+F256+G256+H256</f>
        <v>23.3911925682871</v>
      </c>
      <c r="C256" s="49">
        <v>19</v>
      </c>
      <c r="D256" s="49">
        <v>0</v>
      </c>
      <c r="E256" s="49">
        <v>1</v>
      </c>
      <c r="F256" s="49">
        <v>3.39119256828707</v>
      </c>
      <c r="G256" s="49">
        <v>0</v>
      </c>
      <c r="H256" s="49">
        <v>0</v>
      </c>
      <c r="I256" s="78">
        <f>(100*B256)/N256</f>
        <v>28.9874122856386</v>
      </c>
      <c r="J256" s="110">
        <f>((C256+F256)*100)/B256</f>
        <v>95.7248866338018</v>
      </c>
      <c r="K256" s="110">
        <f>((D256+G256)*100)/B256</f>
        <v>0</v>
      </c>
      <c r="L256" s="110">
        <f>((E256+H256)*100)/B256</f>
        <v>4.2751133661982</v>
      </c>
      <c r="M256" s="111">
        <f>N256-B255</f>
        <v>62.3031182511576</v>
      </c>
      <c r="N256" s="107">
        <f>O256+P256+Q256+R256+S256+T256</f>
        <v>80.6943108194447</v>
      </c>
      <c r="O256" s="49">
        <v>22</v>
      </c>
      <c r="P256" s="49">
        <v>15</v>
      </c>
      <c r="Q256" s="49">
        <v>3</v>
      </c>
      <c r="R256" s="49">
        <v>15.8255653186729</v>
      </c>
      <c r="S256" s="49">
        <v>21.4775529324847</v>
      </c>
      <c r="T256" s="49">
        <v>3.39119256828707</v>
      </c>
      <c r="U256" s="49">
        <v>32</v>
      </c>
      <c r="V256" s="110">
        <f>((O256+R256)*100)/N256</f>
        <v>46.8751327504469</v>
      </c>
      <c r="W256" s="110">
        <f>((P256+S256)*100)/N256</f>
        <v>45.2046154952659</v>
      </c>
      <c r="X256" s="110">
        <f>((Q256+T256)*100)/N256</f>
        <v>7.92025175428725</v>
      </c>
    </row>
    <row r="257" spans="1:24" s="168" customFormat="1" ht="22.500000" customHeight="1">
      <c r="A257" s="34">
        <v>255</v>
      </c>
      <c r="B257" s="107">
        <f>C257+D257+E257+F257+G257+H257</f>
        <v>47.1295405462965</v>
      </c>
      <c r="C257" s="49">
        <v>19</v>
      </c>
      <c r="D257" s="49">
        <v>0</v>
      </c>
      <c r="E257" s="49">
        <v>1</v>
      </c>
      <c r="F257" s="49">
        <v>19.21675788696</v>
      </c>
      <c r="G257" s="49">
        <v>4.52159009104942</v>
      </c>
      <c r="H257" s="49">
        <v>3.39119256828707</v>
      </c>
      <c r="I257" s="78">
        <f>(100*B257)/N257</f>
        <v>33.4774845468534</v>
      </c>
      <c r="J257" s="110">
        <f>((C257+F257)*100)/B257</f>
        <v>81.0887554683856</v>
      </c>
      <c r="K257" s="110">
        <f>((D257+G257)*100)/B257</f>
        <v>9.59396174594096</v>
      </c>
      <c r="L257" s="110">
        <f>((E257+H257)*100)/B257</f>
        <v>9.31728278567345</v>
      </c>
      <c r="M257" s="111">
        <f>N257-B256</f>
        <v>117.38862163889</v>
      </c>
      <c r="N257" s="107">
        <f>O257+P257+Q257+R257+S257+T257</f>
        <v>140.779814207177</v>
      </c>
      <c r="O257" s="49">
        <v>35</v>
      </c>
      <c r="P257" s="49">
        <v>15</v>
      </c>
      <c r="Q257" s="49">
        <v>6</v>
      </c>
      <c r="R257" s="49">
        <v>49.7374910015437</v>
      </c>
      <c r="S257" s="49">
        <v>23.7383479780094</v>
      </c>
      <c r="T257" s="49">
        <v>11.3039752276235</v>
      </c>
      <c r="U257" s="49">
        <v>34</v>
      </c>
      <c r="V257" s="110">
        <f>((O257+R257)*100)/N257</f>
        <v>60.1915064874578</v>
      </c>
      <c r="W257" s="110">
        <f>((P257+S257)*100)/N257</f>
        <v>27.5169762058363</v>
      </c>
      <c r="X257" s="110">
        <f>((Q257+T257)*100)/N257</f>
        <v>12.2915173067059</v>
      </c>
    </row>
    <row r="258" spans="1:24" s="168" customFormat="1" ht="22.500000" customHeight="1">
      <c r="A258" s="34">
        <v>256</v>
      </c>
      <c r="B258" s="107">
        <f>C258+D258+E258+F258+G258+H258</f>
        <v>9</v>
      </c>
      <c r="C258" s="49">
        <v>9</v>
      </c>
      <c r="D258" s="49">
        <v>0</v>
      </c>
      <c r="E258" s="49">
        <v>0</v>
      </c>
      <c r="F258" s="49">
        <v>0</v>
      </c>
      <c r="G258" s="49">
        <v>0</v>
      </c>
      <c r="H258" s="49">
        <v>0</v>
      </c>
      <c r="I258" s="78">
        <f>(100*B258)/N258</f>
        <v>13.0353207605195</v>
      </c>
      <c r="J258" s="110">
        <f>((C258+F258)*100)/B258</f>
        <v>100</v>
      </c>
      <c r="K258" s="110">
        <f>((D258+G258)*100)/B258</f>
        <v>0</v>
      </c>
      <c r="L258" s="110">
        <f>((E258+H258)*100)/B258</f>
        <v>0</v>
      </c>
      <c r="M258" s="111">
        <f>N258-B257</f>
        <v>21.9136396358024</v>
      </c>
      <c r="N258" s="107">
        <f>O258+P258+Q258+R258+S258+T258</f>
        <v>69.0431801820989</v>
      </c>
      <c r="O258" s="49">
        <v>37</v>
      </c>
      <c r="P258" s="49">
        <v>16</v>
      </c>
      <c r="Q258" s="49">
        <v>7</v>
      </c>
      <c r="R258" s="49">
        <v>5.65198761381178</v>
      </c>
      <c r="S258" s="49">
        <v>1.13039752276235</v>
      </c>
      <c r="T258" s="49">
        <v>2.26079504552471</v>
      </c>
      <c r="U258" s="49">
        <v>31</v>
      </c>
      <c r="V258" s="110">
        <f>((O258+R258)*100)/N258</f>
        <v>61.7758155133045</v>
      </c>
      <c r="W258" s="110">
        <f>((P258+S258)*100)/N258</f>
        <v>24.8111362738239</v>
      </c>
      <c r="X258" s="110">
        <f>((Q258+T258)*100)/N258</f>
        <v>13.4130482128716</v>
      </c>
    </row>
    <row r="259" spans="1:24" s="168" customFormat="1" ht="22.500000" customHeight="1">
      <c r="A259" s="34">
        <v>257</v>
      </c>
      <c r="B259" s="107">
        <f>C259+D259+E259+F259+G259+H259</f>
        <v>25.0431801820988</v>
      </c>
      <c r="C259" s="49">
        <v>14</v>
      </c>
      <c r="D259" s="49">
        <v>2</v>
      </c>
      <c r="E259" s="49">
        <v>0</v>
      </c>
      <c r="F259" s="49">
        <v>7.91278265933649</v>
      </c>
      <c r="G259" s="49">
        <v>1.13039752276235</v>
      </c>
      <c r="H259" s="49">
        <v>0</v>
      </c>
      <c r="I259" s="78">
        <f>(100*B259)/N259</f>
        <v>11.2413547333794</v>
      </c>
      <c r="J259" s="110">
        <f>((C259+F259)*100)/B259</f>
        <v>87.5</v>
      </c>
      <c r="K259" s="110">
        <f>((D259+G259)*100)/B259</f>
        <v>12.5</v>
      </c>
      <c r="L259" s="110">
        <f>((E259+H259)*100)/B259</f>
        <v>0</v>
      </c>
      <c r="M259" s="111">
        <f>N259-B258</f>
        <v>213.777243277779</v>
      </c>
      <c r="N259" s="107">
        <f>O259+P259+Q259+R259+S259+T259</f>
        <v>222.777243277779</v>
      </c>
      <c r="O259" s="49">
        <v>36</v>
      </c>
      <c r="P259" s="49">
        <v>15</v>
      </c>
      <c r="Q259" s="49">
        <v>9</v>
      </c>
      <c r="R259" s="49">
        <v>102.866174571374</v>
      </c>
      <c r="S259" s="49">
        <v>46.3462984332566</v>
      </c>
      <c r="T259" s="49">
        <v>13.5647702731482</v>
      </c>
      <c r="U259" s="49">
        <v>38</v>
      </c>
      <c r="V259" s="110">
        <f>((O259+R259)*100)/N259</f>
        <v>62.3340932530632</v>
      </c>
      <c r="W259" s="110">
        <f>((P259+S259)*100)/N259</f>
        <v>27.5370578837644</v>
      </c>
      <c r="X259" s="110">
        <f>((Q259+T259)*100)/N259</f>
        <v>10.1288488631724</v>
      </c>
    </row>
    <row r="260" spans="1:24" s="168" customFormat="1" ht="22.500000" customHeight="1">
      <c r="A260" s="34">
        <v>258</v>
      </c>
      <c r="B260" s="107">
        <f>C260+D260+E260+F260+G260+H260</f>
        <v>58.2599380690589</v>
      </c>
      <c r="C260" s="49">
        <v>24</v>
      </c>
      <c r="D260" s="49">
        <v>0</v>
      </c>
      <c r="E260" s="49">
        <v>6</v>
      </c>
      <c r="F260" s="49">
        <v>20.3471554097224</v>
      </c>
      <c r="G260" s="49">
        <v>0</v>
      </c>
      <c r="H260" s="49">
        <v>7.91278265933649</v>
      </c>
      <c r="I260" s="78">
        <f>(100*B260)/N260</f>
        <v>40.9912256209641</v>
      </c>
      <c r="J260" s="110">
        <f>((C260+F260)*100)/B260</f>
        <v>76.119468848654</v>
      </c>
      <c r="K260" s="110">
        <f>((D260+G260)*100)/B260</f>
        <v>0</v>
      </c>
      <c r="L260" s="110">
        <f>((E260+H260)*100)/B260</f>
        <v>23.880531151346</v>
      </c>
      <c r="M260" s="111">
        <f>N260-B259</f>
        <v>117.084646411266</v>
      </c>
      <c r="N260" s="107">
        <f>O260+P260+Q260+R260+S260+T260</f>
        <v>142.127826593365</v>
      </c>
      <c r="O260" s="49">
        <v>40</v>
      </c>
      <c r="P260" s="49">
        <v>17</v>
      </c>
      <c r="Q260" s="49">
        <v>6</v>
      </c>
      <c r="R260" s="49">
        <v>41.8247083422072</v>
      </c>
      <c r="S260" s="49">
        <v>30.5207331145836</v>
      </c>
      <c r="T260" s="49">
        <v>6.78238513657414</v>
      </c>
      <c r="U260" s="49">
        <v>37</v>
      </c>
      <c r="V260" s="110">
        <f>((O260+R260)*100)/N260</f>
        <v>57.5712091737756</v>
      </c>
      <c r="W260" s="110">
        <f>((P260+S260)*100)/N260</f>
        <v>33.4352070622616</v>
      </c>
      <c r="X260" s="110">
        <f>((Q260+T260)*100)/N260</f>
        <v>8.99358376396285</v>
      </c>
    </row>
    <row r="261" spans="1:24" s="168" customFormat="1" ht="22.500000" customHeight="1">
      <c r="A261" s="34">
        <v>259</v>
      </c>
      <c r="B261" s="107">
        <f>C261+D261+E261+F261+G261+H261</f>
        <v>12.1303975227624</v>
      </c>
      <c r="C261" s="49">
        <v>10</v>
      </c>
      <c r="D261" s="49">
        <v>1</v>
      </c>
      <c r="E261" s="49">
        <v>0</v>
      </c>
      <c r="F261" s="49">
        <v>1.13039752276235</v>
      </c>
      <c r="G261" s="49">
        <v>0</v>
      </c>
      <c r="H261" s="49">
        <v>0</v>
      </c>
      <c r="I261" s="78">
        <f>(100*B261)/N261</f>
        <v>17.3184562597324</v>
      </c>
      <c r="J261" s="110">
        <f>((C261+F261)*100)/B261</f>
        <v>91.7562470799203</v>
      </c>
      <c r="K261" s="110">
        <f>((D261+G261)*100)/B261</f>
        <v>8.24375292007973</v>
      </c>
      <c r="L261" s="110">
        <f>((E261+H261)*100)/B261</f>
        <v>0</v>
      </c>
      <c r="M261" s="111">
        <f>N261-B260</f>
        <v>11.7832421130399</v>
      </c>
      <c r="N261" s="107">
        <f>O261+P261+Q261+R261+S261+T261</f>
        <v>70.0431801820988</v>
      </c>
      <c r="O261" s="49">
        <v>38</v>
      </c>
      <c r="P261" s="49">
        <v>16</v>
      </c>
      <c r="Q261" s="49">
        <v>7</v>
      </c>
      <c r="R261" s="49">
        <v>4.52159009104942</v>
      </c>
      <c r="S261" s="49">
        <v>3.39119256828707</v>
      </c>
      <c r="T261" s="49">
        <v>1.13039752276235</v>
      </c>
      <c r="U261" s="49">
        <v>28</v>
      </c>
      <c r="V261" s="110">
        <f>((O261+R261)*100)/N261</f>
        <v>60.7076805771832</v>
      </c>
      <c r="W261" s="110">
        <f>((P261+S261)*100)/N261</f>
        <v>27.6846261375821</v>
      </c>
      <c r="X261" s="110">
        <f>((Q261+T261)*100)/N261</f>
        <v>11.6076932852347</v>
      </c>
    </row>
    <row r="262" spans="1:24" s="168" customFormat="1" ht="22.500000" customHeight="1">
      <c r="A262" s="34">
        <v>260</v>
      </c>
      <c r="B262" s="107">
        <f>C262+D262+E262+F262+G262+H262</f>
        <v>3.13039752276235</v>
      </c>
      <c r="C262" s="49">
        <v>1</v>
      </c>
      <c r="D262" s="49">
        <v>0</v>
      </c>
      <c r="E262" s="49">
        <v>1</v>
      </c>
      <c r="F262" s="49">
        <v>1.13039752276235</v>
      </c>
      <c r="G262" s="49">
        <v>0</v>
      </c>
      <c r="H262" s="49">
        <v>0</v>
      </c>
      <c r="I262" s="78">
        <f>(100*B262)/N262</f>
        <v>2.44234376494757</v>
      </c>
      <c r="J262" s="110">
        <f>((C262+F262)*100)/B262</f>
        <v>68.055175333848</v>
      </c>
      <c r="K262" s="110">
        <f>((D262+G262)*100)/B262</f>
        <v>0</v>
      </c>
      <c r="L262" s="110">
        <f>((E262+H262)*100)/B262</f>
        <v>31.9448246661521</v>
      </c>
      <c r="M262" s="111">
        <f>N262-B261</f>
        <v>116.041466229167</v>
      </c>
      <c r="N262" s="107">
        <f>O262+P262+Q262+R262+S262+T262</f>
        <v>128.17186375193</v>
      </c>
      <c r="O262" s="49">
        <v>41</v>
      </c>
      <c r="P262" s="49">
        <v>17</v>
      </c>
      <c r="Q262" s="49">
        <v>8</v>
      </c>
      <c r="R262" s="49">
        <v>37.3031182511577</v>
      </c>
      <c r="S262" s="49">
        <v>14.6951677959106</v>
      </c>
      <c r="T262" s="49">
        <v>10.1735777048612</v>
      </c>
      <c r="U262" s="49">
        <v>34</v>
      </c>
      <c r="V262" s="110">
        <f>((O262+R262)*100)/N262</f>
        <v>61.0922834068401</v>
      </c>
      <c r="W262" s="110">
        <f>((P262+S262)*100)/N262</f>
        <v>24.7286470432037</v>
      </c>
      <c r="X262" s="110">
        <f>((Q262+T262)*100)/N262</f>
        <v>14.1790695499562</v>
      </c>
    </row>
    <row r="263" spans="1:24" s="168" customFormat="1" ht="22.500000" customHeight="1">
      <c r="A263" s="34">
        <v>261</v>
      </c>
      <c r="B263" s="107">
        <f>C263+D263+E263+F263+G263+H263</f>
        <v>55.6511306373459</v>
      </c>
      <c r="C263" s="49">
        <v>17</v>
      </c>
      <c r="D263" s="49">
        <v>2</v>
      </c>
      <c r="E263" s="49">
        <v>5</v>
      </c>
      <c r="F263" s="49">
        <v>14.6951677959106</v>
      </c>
      <c r="G263" s="49">
        <v>3.39119256828707</v>
      </c>
      <c r="H263" s="49">
        <v>13.5647702731482</v>
      </c>
      <c r="I263" s="78">
        <f>(100*B263)/N263</f>
        <v>41.2370348438037</v>
      </c>
      <c r="J263" s="110">
        <f>((C263+F263)*100)/B263</f>
        <v>56.9533223007708</v>
      </c>
      <c r="K263" s="110">
        <f>((D263+G263)*100)/B263</f>
        <v>9.68748075114434</v>
      </c>
      <c r="L263" s="110">
        <f>((E263+H263)*100)/B263</f>
        <v>33.3591969480849</v>
      </c>
      <c r="M263" s="111">
        <f>N263-B262</f>
        <v>131.823851365741</v>
      </c>
      <c r="N263" s="107">
        <f>O263+P263+Q263+R263+S263+T263</f>
        <v>134.954248888504</v>
      </c>
      <c r="O263" s="49">
        <v>41</v>
      </c>
      <c r="P263" s="49">
        <v>17</v>
      </c>
      <c r="Q263" s="49">
        <v>8</v>
      </c>
      <c r="R263" s="49">
        <v>40.6943108194448</v>
      </c>
      <c r="S263" s="49">
        <v>20.3471554097224</v>
      </c>
      <c r="T263" s="49">
        <v>7.91278265933649</v>
      </c>
      <c r="U263" s="49">
        <v>33</v>
      </c>
      <c r="V263" s="110">
        <f>((O263+R263)*100)/N263</f>
        <v>60.5348193867826</v>
      </c>
      <c r="W263" s="110">
        <f>((P263+S263)*100)/N263</f>
        <v>27.6739381807666</v>
      </c>
      <c r="X263" s="110">
        <f>((Q263+T263)*100)/N263</f>
        <v>11.7912424324508</v>
      </c>
    </row>
    <row r="264" spans="1:24" s="168" customFormat="1" ht="22.500000" customHeight="1">
      <c r="A264" s="34">
        <v>262</v>
      </c>
      <c r="B264" s="107">
        <f>C264+D264+E264+F264+G264+H264</f>
        <v>32.6079504552471</v>
      </c>
      <c r="C264" s="49">
        <v>10</v>
      </c>
      <c r="D264" s="49">
        <v>0</v>
      </c>
      <c r="E264" s="49">
        <v>0</v>
      </c>
      <c r="F264" s="49">
        <v>20.3471554097224</v>
      </c>
      <c r="G264" s="49">
        <v>2.26079504552471</v>
      </c>
      <c r="H264" s="49">
        <v>0</v>
      </c>
      <c r="I264" s="78">
        <f>(100*B264)/N264</f>
        <v>21.428490976183</v>
      </c>
      <c r="J264" s="110">
        <f>((C264+F264)*100)/B264</f>
        <v>93.0667367498992</v>
      </c>
      <c r="K264" s="110">
        <f>((D264+G264)*100)/B264</f>
        <v>6.93326325010076</v>
      </c>
      <c r="L264" s="110">
        <f>((E264+H264)*100)/B264</f>
        <v>0</v>
      </c>
      <c r="M264" s="111">
        <f>N264-B263</f>
        <v>96.5198761381179</v>
      </c>
      <c r="N264" s="107">
        <f>O264+P264+Q264+R264+S264+T264</f>
        <v>152.171006775464</v>
      </c>
      <c r="O264" s="49">
        <v>39</v>
      </c>
      <c r="P264" s="49">
        <v>16</v>
      </c>
      <c r="Q264" s="49">
        <v>9</v>
      </c>
      <c r="R264" s="49">
        <v>59.9110687064049</v>
      </c>
      <c r="S264" s="49">
        <v>22.6079504552471</v>
      </c>
      <c r="T264" s="49">
        <v>5.65198761381178</v>
      </c>
      <c r="U264" s="49">
        <v>33</v>
      </c>
      <c r="V264" s="110">
        <f>((O264+R264)*100)/N264</f>
        <v>64.9999436833281</v>
      </c>
      <c r="W264" s="110">
        <f>((P264+S264)*100)/N264</f>
        <v>25.3714234224757</v>
      </c>
      <c r="X264" s="110">
        <f>((Q264+T264)*100)/N264</f>
        <v>9.62863289419616</v>
      </c>
    </row>
    <row r="265" spans="1:24" s="168" customFormat="1" ht="22.500000" customHeight="1">
      <c r="A265" s="34">
        <v>263</v>
      </c>
      <c r="B265" s="107">
        <f>C265+D265+E265+F265+G265+H265</f>
        <v>14.9127826593365</v>
      </c>
      <c r="C265" s="49">
        <v>5</v>
      </c>
      <c r="D265" s="49">
        <v>0</v>
      </c>
      <c r="E265" s="49">
        <v>2</v>
      </c>
      <c r="F265" s="49">
        <v>7.91278265933649</v>
      </c>
      <c r="G265" s="49">
        <v>0</v>
      </c>
      <c r="H265" s="49">
        <v>0</v>
      </c>
      <c r="I265" s="78">
        <f>(100*B265)/N265</f>
        <v>12.2850701967263</v>
      </c>
      <c r="J265" s="110">
        <f>((C265+F265)*100)/B265</f>
        <v>86.588686728108</v>
      </c>
      <c r="K265" s="110">
        <f>((D265+G265)*100)/B265</f>
        <v>0</v>
      </c>
      <c r="L265" s="110">
        <f>((E265+H265)*100)/B265</f>
        <v>13.411313271892</v>
      </c>
      <c r="M265" s="111">
        <f>N265-B264</f>
        <v>88.7815281601083</v>
      </c>
      <c r="N265" s="107">
        <f>O265+P265+Q265+R265+S265+T265</f>
        <v>121.389478615355</v>
      </c>
      <c r="O265" s="49">
        <v>39</v>
      </c>
      <c r="P265" s="49">
        <v>19</v>
      </c>
      <c r="Q265" s="49">
        <v>8</v>
      </c>
      <c r="R265" s="49">
        <v>30.5207331145836</v>
      </c>
      <c r="S265" s="49">
        <v>19.21675788696</v>
      </c>
      <c r="T265" s="49">
        <v>5.65198761381178</v>
      </c>
      <c r="U265" s="49">
        <v>29</v>
      </c>
      <c r="V265" s="110">
        <f>((O265+R265)*100)/N265</f>
        <v>57.2708062573303</v>
      </c>
      <c r="W265" s="110">
        <f>((P265+S265)*100)/N265</f>
        <v>31.4827597275187</v>
      </c>
      <c r="X265" s="110">
        <f>((Q265+T265)*100)/N265</f>
        <v>11.246434015151</v>
      </c>
    </row>
    <row r="266" spans="1:24" s="168" customFormat="1" ht="22.500000" customHeight="1">
      <c r="A266" s="34">
        <v>264</v>
      </c>
      <c r="B266" s="107">
        <f>C266+D266+E266+F266+G266+H266</f>
        <v>29.3911925682871</v>
      </c>
      <c r="C266" s="49">
        <v>26</v>
      </c>
      <c r="D266" s="49">
        <v>0</v>
      </c>
      <c r="E266" s="49">
        <v>0</v>
      </c>
      <c r="F266" s="49">
        <v>3.39119256828707</v>
      </c>
      <c r="G266" s="49">
        <v>0</v>
      </c>
      <c r="H266" s="49">
        <v>0</v>
      </c>
      <c r="I266" s="78">
        <f>(100*B266)/N266</f>
        <v>35.9193272344919</v>
      </c>
      <c r="J266" s="110">
        <f>((C266+F266)*100)/B266</f>
        <v>100</v>
      </c>
      <c r="K266" s="110">
        <f>((D266+G266)*100)/B266</f>
        <v>0</v>
      </c>
      <c r="L266" s="110">
        <f>((E266+H266)*100)/B266</f>
        <v>0</v>
      </c>
      <c r="M266" s="111">
        <f>N266-B265</f>
        <v>66.9127826593365</v>
      </c>
      <c r="N266" s="107">
        <f>O266+P266+Q266+R266+S266+T266</f>
        <v>81.825565318673</v>
      </c>
      <c r="O266" s="49">
        <v>39</v>
      </c>
      <c r="P266" s="49">
        <v>19</v>
      </c>
      <c r="Q266" s="49">
        <v>8</v>
      </c>
      <c r="R266" s="49">
        <v>9.04318018209885</v>
      </c>
      <c r="S266" s="49">
        <v>5.65198761381178</v>
      </c>
      <c r="T266" s="49">
        <v>1.13039752276235</v>
      </c>
      <c r="U266" s="49">
        <v>31</v>
      </c>
      <c r="V266" s="110">
        <f>((O266+R266)*100)/N266</f>
        <v>58.7141439169931</v>
      </c>
      <c r="W266" s="110">
        <f>((P266+S266)*100)/N266</f>
        <v>30.1274882951357</v>
      </c>
      <c r="X266" s="110">
        <f>((Q266+T266)*100)/N266</f>
        <v>11.1583677878712</v>
      </c>
    </row>
    <row r="267" spans="1:24" s="168" customFormat="1" ht="22.500000" customHeight="1">
      <c r="A267" s="34">
        <v>265</v>
      </c>
      <c r="B267" s="107">
        <f>C267+D267+E267+F267+G267+H267</f>
        <v>12.6519876138118</v>
      </c>
      <c r="C267" s="49">
        <v>6</v>
      </c>
      <c r="D267" s="49">
        <v>0</v>
      </c>
      <c r="E267" s="49">
        <v>1</v>
      </c>
      <c r="F267" s="49">
        <v>3.39119256828707</v>
      </c>
      <c r="G267" s="49">
        <v>1.13039752276235</v>
      </c>
      <c r="H267" s="49">
        <v>1.13039752276235</v>
      </c>
      <c r="I267" s="78">
        <f>(100*B267)/N267</f>
        <v>5.22259530532909</v>
      </c>
      <c r="J267" s="110">
        <f>((C267+F267)*100)/B267</f>
        <v>74.2270136119562</v>
      </c>
      <c r="K267" s="110">
        <f>((D267+G267)*100)/B267</f>
        <v>8.93454496847856</v>
      </c>
      <c r="L267" s="110">
        <f>((E267+H267)*100)/B267</f>
        <v>16.8384414195653</v>
      </c>
      <c r="M267" s="111">
        <f>N267-B266</f>
        <v>212.863603641976</v>
      </c>
      <c r="N267" s="107">
        <f>O267+P267+Q267+R267+S267+T267</f>
        <v>242.254796210264</v>
      </c>
      <c r="O267" s="49">
        <v>37</v>
      </c>
      <c r="P267" s="49">
        <v>16</v>
      </c>
      <c r="Q267" s="49">
        <v>5</v>
      </c>
      <c r="R267" s="49">
        <v>122.082932458334</v>
      </c>
      <c r="S267" s="49">
        <v>46.3462984332566</v>
      </c>
      <c r="T267" s="49">
        <v>15.8255653186729</v>
      </c>
      <c r="U267" s="49">
        <v>42</v>
      </c>
      <c r="V267" s="110">
        <f>((O267+R267)*100)/N267</f>
        <v>65.6676090409616</v>
      </c>
      <c r="W267" s="110">
        <f>((P267+S267)*100)/N267</f>
        <v>25.7358365690079</v>
      </c>
      <c r="X267" s="110">
        <f>((Q267+T267)*100)/N267</f>
        <v>8.59655439003052</v>
      </c>
    </row>
    <row r="268" spans="1:24" s="168" customFormat="1" ht="22.500000" customHeight="1">
      <c r="A268" s="34">
        <v>266</v>
      </c>
      <c r="B268" s="107">
        <f>C268+D268+E268+F268+G268+H268</f>
        <v>5</v>
      </c>
      <c r="C268" s="49">
        <v>5</v>
      </c>
      <c r="D268" s="49">
        <v>0</v>
      </c>
      <c r="E268" s="49">
        <v>0</v>
      </c>
      <c r="F268" s="49">
        <v>0</v>
      </c>
      <c r="G268" s="49">
        <v>0</v>
      </c>
      <c r="H268" s="49">
        <v>0</v>
      </c>
      <c r="I268" s="78">
        <f>(100*B268)/N268</f>
        <v>5.38144050212255</v>
      </c>
      <c r="J268" s="110">
        <f>((C268+F268)*100)/B268</f>
        <v>100</v>
      </c>
      <c r="K268" s="110">
        <f>((D268+G268)*100)/B268</f>
        <v>0</v>
      </c>
      <c r="L268" s="110">
        <f>((E268+H268)*100)/B268</f>
        <v>0</v>
      </c>
      <c r="M268" s="111">
        <f>N268-B267</f>
        <v>80.2599380690589</v>
      </c>
      <c r="N268" s="107">
        <f>O268+P268+Q268+R268+S268+T268</f>
        <v>92.9119256828706</v>
      </c>
      <c r="O268" s="49">
        <v>38</v>
      </c>
      <c r="P268" s="49">
        <v>16</v>
      </c>
      <c r="Q268" s="49">
        <v>5</v>
      </c>
      <c r="R268" s="49">
        <v>27.1295405462965</v>
      </c>
      <c r="S268" s="49">
        <v>5.65198761381178</v>
      </c>
      <c r="T268" s="49">
        <v>1.13039752276235</v>
      </c>
      <c r="U268" s="49">
        <v>33</v>
      </c>
      <c r="V268" s="110">
        <f>((O268+R268)*100)/N268</f>
        <v>70.0981494760945</v>
      </c>
      <c r="W268" s="110">
        <f>((P268+S268)*100)/N268</f>
        <v>23.3037766192845</v>
      </c>
      <c r="X268" s="110">
        <f>((Q268+T268)*100)/N268</f>
        <v>6.59807390462101</v>
      </c>
    </row>
    <row r="269" spans="1:24" s="168" customFormat="1" ht="22.500000" customHeight="1">
      <c r="A269" s="34">
        <v>267</v>
      </c>
      <c r="B269" s="107">
        <f>C269+D269+E269+F269+G269+H269</f>
        <v>36.0863603641977</v>
      </c>
      <c r="C269" s="49">
        <v>11</v>
      </c>
      <c r="D269" s="49">
        <v>2</v>
      </c>
      <c r="E269" s="49">
        <v>5</v>
      </c>
      <c r="F269" s="49">
        <v>12.4343727503859</v>
      </c>
      <c r="G269" s="49">
        <v>5.65198761381178</v>
      </c>
      <c r="H269" s="49">
        <v>0</v>
      </c>
      <c r="I269" s="78">
        <f>(100*B269)/N269</f>
        <v>23.5328560747626</v>
      </c>
      <c r="J269" s="110">
        <f>((C269+F269)*100)/B269</f>
        <v>64.9396960898163</v>
      </c>
      <c r="K269" s="110">
        <f>((D269+G269)*100)/B269</f>
        <v>21.2046533276976</v>
      </c>
      <c r="L269" s="110">
        <f>((E269+H269)*100)/B269</f>
        <v>13.8556505824861</v>
      </c>
      <c r="M269" s="111">
        <f>N269-B268</f>
        <v>148.344584480325</v>
      </c>
      <c r="N269" s="107">
        <f>O269+P269+Q269+R269+S269+T269</f>
        <v>153.344584480325</v>
      </c>
      <c r="O269" s="49">
        <v>35</v>
      </c>
      <c r="P269" s="49">
        <v>14</v>
      </c>
      <c r="Q269" s="49">
        <v>6</v>
      </c>
      <c r="R269" s="49">
        <v>33.9119256828707</v>
      </c>
      <c r="S269" s="49">
        <v>32.7815281601083</v>
      </c>
      <c r="T269" s="49">
        <v>31.6511306373459</v>
      </c>
      <c r="U269" s="49">
        <v>35</v>
      </c>
      <c r="V269" s="110">
        <f>((O269+R269)*100)/N269</f>
        <v>44.9392627176296</v>
      </c>
      <c r="W269" s="110">
        <f>((P269+S269)*100)/N269</f>
        <v>30.507453731508</v>
      </c>
      <c r="X269" s="110">
        <f>((Q269+T269)*100)/N269</f>
        <v>24.5532835508624</v>
      </c>
    </row>
    <row r="270" spans="1:24" s="168" customFormat="1" ht="22.500000" customHeight="1">
      <c r="A270" s="34">
        <v>268</v>
      </c>
      <c r="B270" s="107">
        <f>C270+D270+E270+F270+G270+H270</f>
        <v>22.2607950455247</v>
      </c>
      <c r="C270" s="49">
        <v>18</v>
      </c>
      <c r="D270" s="49">
        <v>1</v>
      </c>
      <c r="E270" s="49">
        <v>1</v>
      </c>
      <c r="F270" s="49">
        <v>2.26079504552471</v>
      </c>
      <c r="G270" s="49">
        <v>0</v>
      </c>
      <c r="H270" s="49">
        <v>0</v>
      </c>
      <c r="I270" s="78">
        <f>(100*B270)/N270</f>
        <v>19.0054172616506</v>
      </c>
      <c r="J270" s="110">
        <f>((C270+F270)*100)/B270</f>
        <v>91.0155949241261</v>
      </c>
      <c r="K270" s="110">
        <f>((D270+G270)*100)/B270</f>
        <v>4.49220253793693</v>
      </c>
      <c r="L270" s="110">
        <f>((E270+H270)*100)/B270</f>
        <v>4.49220253793693</v>
      </c>
      <c r="M270" s="111">
        <f>N270-B269</f>
        <v>81.042323205633</v>
      </c>
      <c r="N270" s="107">
        <f>O270+P270+Q270+R270+S270+T270</f>
        <v>117.128683569831</v>
      </c>
      <c r="O270" s="49">
        <v>37</v>
      </c>
      <c r="P270" s="49">
        <v>21</v>
      </c>
      <c r="Q270" s="49">
        <v>6</v>
      </c>
      <c r="R270" s="49">
        <v>30.5207331145836</v>
      </c>
      <c r="S270" s="49">
        <v>19.21675788696</v>
      </c>
      <c r="T270" s="49">
        <v>3.39119256828707</v>
      </c>
      <c r="U270" s="49">
        <v>33</v>
      </c>
      <c r="V270" s="110">
        <f>((O270+R270)*100)/N270</f>
        <v>57.6466251106874</v>
      </c>
      <c r="W270" s="110">
        <f>((P270+S270)*100)/N270</f>
        <v>34.3355330745976</v>
      </c>
      <c r="X270" s="110">
        <f>((Q270+T270)*100)/N270</f>
        <v>8.01784181471497</v>
      </c>
    </row>
    <row r="271" spans="1:24" s="168" customFormat="1" ht="22.500000" customHeight="1">
      <c r="A271" s="34">
        <v>269</v>
      </c>
      <c r="B271" s="107">
        <f>C271+D271+E271+F271+G271+H271</f>
        <v>28.3039752276235</v>
      </c>
      <c r="C271" s="49">
        <v>16</v>
      </c>
      <c r="D271" s="49">
        <v>0</v>
      </c>
      <c r="E271" s="49">
        <v>1</v>
      </c>
      <c r="F271" s="49">
        <v>11.3039752276235</v>
      </c>
      <c r="G271" s="49">
        <v>0</v>
      </c>
      <c r="H271" s="49">
        <v>0</v>
      </c>
      <c r="I271" s="78">
        <f>(100*B271)/N271</f>
        <v>15.470665786397</v>
      </c>
      <c r="J271" s="110">
        <f>((C271+F271)*100)/B271</f>
        <v>96.4669273769572</v>
      </c>
      <c r="K271" s="110">
        <f>((D271+G271)*100)/B271</f>
        <v>0</v>
      </c>
      <c r="L271" s="110">
        <f>((E271+H271)*100)/B271</f>
        <v>3.53307262304286</v>
      </c>
      <c r="M271" s="111">
        <f>N271-B270</f>
        <v>160.691739890047</v>
      </c>
      <c r="N271" s="107">
        <f>O271+P271+Q271+R271+S271+T271</f>
        <v>182.952534935572</v>
      </c>
      <c r="O271" s="49">
        <v>35</v>
      </c>
      <c r="P271" s="49">
        <v>23</v>
      </c>
      <c r="Q271" s="49">
        <v>4</v>
      </c>
      <c r="R271" s="49">
        <v>59.9110687064049</v>
      </c>
      <c r="S271" s="49">
        <v>54.2590810925931</v>
      </c>
      <c r="T271" s="49">
        <v>6.78238513657414</v>
      </c>
      <c r="U271" s="49">
        <v>37</v>
      </c>
      <c r="V271" s="110">
        <f>((O271+R271)*100)/N271</f>
        <v>51.8774275195632</v>
      </c>
      <c r="W271" s="110">
        <f>((P271+S271)*100)/N271</f>
        <v>42.2290301251089</v>
      </c>
      <c r="X271" s="110">
        <f>((Q271+T271)*100)/N271</f>
        <v>5.89354235532797</v>
      </c>
    </row>
    <row r="272" spans="1:24" s="168" customFormat="1" ht="22.500000" customHeight="1">
      <c r="A272" s="34">
        <v>270</v>
      </c>
      <c r="B272" s="107">
        <f>C272+D272+E272+F272+G272+H272</f>
        <v>16</v>
      </c>
      <c r="C272" s="49">
        <v>15</v>
      </c>
      <c r="D272" s="49">
        <v>1</v>
      </c>
      <c r="E272" s="49">
        <v>0</v>
      </c>
      <c r="F272" s="49">
        <v>0</v>
      </c>
      <c r="G272" s="49">
        <v>0</v>
      </c>
      <c r="H272" s="49">
        <v>0</v>
      </c>
      <c r="I272" s="78">
        <f>(100*B272)/N272</f>
        <v>32</v>
      </c>
      <c r="J272" s="110">
        <f>((C272+F272)*100)/B272</f>
        <v>93.75</v>
      </c>
      <c r="K272" s="110">
        <f>((D272+G272)*100)/B272</f>
        <v>6.25</v>
      </c>
      <c r="L272" s="110">
        <f>((E272+H272)*100)/B272</f>
        <v>0</v>
      </c>
      <c r="M272" s="111">
        <f>N272-B271</f>
        <v>21.6960247723765</v>
      </c>
      <c r="N272" s="107">
        <f>O272+P272+Q272+R272+S272+T272</f>
        <v>50</v>
      </c>
      <c r="O272" s="49">
        <v>24</v>
      </c>
      <c r="P272" s="49">
        <v>22</v>
      </c>
      <c r="Q272" s="49">
        <v>4</v>
      </c>
      <c r="R272" s="49">
        <v>0</v>
      </c>
      <c r="S272" s="49">
        <v>0</v>
      </c>
      <c r="T272" s="49">
        <v>0</v>
      </c>
      <c r="U272" s="49">
        <v>20</v>
      </c>
      <c r="V272" s="110">
        <f>((O272+R272)*100)/N272</f>
        <v>48</v>
      </c>
      <c r="W272" s="110">
        <f>((P272+S272)*100)/N272</f>
        <v>44</v>
      </c>
      <c r="X272" s="110">
        <f>((Q272+T272)*100)/N272</f>
        <v>8</v>
      </c>
    </row>
    <row r="273" spans="1:24" s="168" customFormat="1" ht="22.500000" customHeight="1">
      <c r="A273" s="34">
        <v>271</v>
      </c>
      <c r="B273" s="107">
        <f>C273+D273+E273+F273+G273+H273</f>
        <v>47.5207331145836</v>
      </c>
      <c r="C273" s="49">
        <v>14</v>
      </c>
      <c r="D273" s="49">
        <v>0</v>
      </c>
      <c r="E273" s="49">
        <v>3</v>
      </c>
      <c r="F273" s="49">
        <v>18.0863603641977</v>
      </c>
      <c r="G273" s="49">
        <v>4.52159009104942</v>
      </c>
      <c r="H273" s="49">
        <v>7.91278265933649</v>
      </c>
      <c r="I273" s="78">
        <f>(100*B273)/N273</f>
        <v>42.364218196175</v>
      </c>
      <c r="J273" s="110">
        <f>((C273+F273)*100)/B273</f>
        <v>67.5207604369865</v>
      </c>
      <c r="K273" s="110">
        <f>((D273+G273)*100)/B273</f>
        <v>9.51498387061245</v>
      </c>
      <c r="L273" s="110">
        <f>((E273+H273)*100)/B273</f>
        <v>22.9642556924011</v>
      </c>
      <c r="M273" s="111">
        <f>N273-B272</f>
        <v>96.1718637519296</v>
      </c>
      <c r="N273" s="107">
        <f>O273+P273+Q273+R273+S273+T273</f>
        <v>112.17186375193</v>
      </c>
      <c r="O273" s="49">
        <v>26</v>
      </c>
      <c r="P273" s="49">
        <v>22</v>
      </c>
      <c r="Q273" s="49">
        <v>2</v>
      </c>
      <c r="R273" s="49">
        <v>33.9119256828707</v>
      </c>
      <c r="S273" s="49">
        <v>24.8687455007718</v>
      </c>
      <c r="T273" s="49">
        <v>3.39119256828707</v>
      </c>
      <c r="U273" s="49">
        <v>25</v>
      </c>
      <c r="V273" s="110">
        <f>((O273+R273)*100)/N273</f>
        <v>53.410831984897</v>
      </c>
      <c r="W273" s="110">
        <f>((P273+S273)*100)/N273</f>
        <v>41.7829783094476</v>
      </c>
      <c r="X273" s="110">
        <f>((Q273+T273)*100)/N273</f>
        <v>4.80618970565543</v>
      </c>
    </row>
    <row r="274" spans="1:24" s="168" customFormat="1" ht="22.500000" customHeight="1">
      <c r="A274" s="34">
        <v>272</v>
      </c>
      <c r="B274" s="107">
        <f>C274+D274+E274+F274+G274+H274</f>
        <v>18.2607950455247</v>
      </c>
      <c r="C274" s="49">
        <v>16</v>
      </c>
      <c r="D274" s="49">
        <v>0</v>
      </c>
      <c r="E274" s="49">
        <v>0</v>
      </c>
      <c r="F274" s="49">
        <v>2.26079504552471</v>
      </c>
      <c r="G274" s="49">
        <v>0</v>
      </c>
      <c r="H274" s="49">
        <v>0</v>
      </c>
      <c r="I274" s="78">
        <f>(100*B274)/N274</f>
        <v>18.592503735384</v>
      </c>
      <c r="J274" s="110">
        <f>((C274+F274)*100)/B274</f>
        <v>100</v>
      </c>
      <c r="K274" s="110">
        <f>((D274+G274)*100)/B274</f>
        <v>0</v>
      </c>
      <c r="L274" s="110">
        <f>((E274+H274)*100)/B274</f>
        <v>0</v>
      </c>
      <c r="M274" s="111">
        <f>N274-B273</f>
        <v>50.6951677959105</v>
      </c>
      <c r="N274" s="107">
        <f>O274+P274+Q274+R274+S274+T274</f>
        <v>98.2159009104942</v>
      </c>
      <c r="O274" s="49">
        <v>27</v>
      </c>
      <c r="P274" s="49">
        <v>23</v>
      </c>
      <c r="Q274" s="49">
        <v>3</v>
      </c>
      <c r="R274" s="49">
        <v>15.8255653186729</v>
      </c>
      <c r="S274" s="49">
        <v>28.2599380690589</v>
      </c>
      <c r="T274" s="49">
        <v>1.13039752276235</v>
      </c>
      <c r="U274" s="49">
        <v>31</v>
      </c>
      <c r="V274" s="110">
        <f>((O274+R274)*100)/N274</f>
        <v>43.6034948737074</v>
      </c>
      <c r="W274" s="110">
        <f>((P274+S274)*100)/N274</f>
        <v>52.1910786276582</v>
      </c>
      <c r="X274" s="110">
        <f>((Q274+T274)*100)/N274</f>
        <v>4.20542649863432</v>
      </c>
    </row>
    <row r="275" spans="1:24" s="168" customFormat="1" ht="22.500000" customHeight="1">
      <c r="A275" s="34">
        <v>273</v>
      </c>
      <c r="B275" s="107">
        <f>C275+D275+E275+F275+G275+H275</f>
        <v>50.9991430235342</v>
      </c>
      <c r="C275" s="49">
        <v>17</v>
      </c>
      <c r="D275" s="49">
        <v>2</v>
      </c>
      <c r="E275" s="49">
        <v>6</v>
      </c>
      <c r="F275" s="49">
        <v>24.8687455007718</v>
      </c>
      <c r="G275" s="49">
        <v>1.13039752276235</v>
      </c>
      <c r="H275" s="49">
        <v>0</v>
      </c>
      <c r="I275" s="78">
        <f>(100*B275)/N275</f>
        <v>27.8228200644876</v>
      </c>
      <c r="J275" s="110">
        <f>((C275+F275)*100)/B275</f>
        <v>82.0969589262529</v>
      </c>
      <c r="K275" s="110">
        <f>((D275+G275)*100)/B275</f>
        <v>6.13813750030621</v>
      </c>
      <c r="L275" s="110">
        <f>((E275+H275)*100)/B275</f>
        <v>11.7649035734409</v>
      </c>
      <c r="M275" s="111">
        <f>N275-B274</f>
        <v>165.03889529977</v>
      </c>
      <c r="N275" s="107">
        <f>O275+P275+Q275+R275+S275+T275</f>
        <v>183.299690345295</v>
      </c>
      <c r="O275" s="49">
        <v>21</v>
      </c>
      <c r="P275" s="49">
        <v>19</v>
      </c>
      <c r="Q275" s="49">
        <v>2</v>
      </c>
      <c r="R275" s="49">
        <v>76.8670315478402</v>
      </c>
      <c r="S275" s="49">
        <v>59.9110687064049</v>
      </c>
      <c r="T275" s="49">
        <v>4.52159009104942</v>
      </c>
      <c r="U275" s="49">
        <v>34</v>
      </c>
      <c r="V275" s="110">
        <f>((O275+R275)*100)/N275</f>
        <v>53.3918149907843</v>
      </c>
      <c r="W275" s="110">
        <f>((P275+S275)*100)/N275</f>
        <v>43.0503011531305</v>
      </c>
      <c r="X275" s="110">
        <f>((Q275+T275)*100)/N275</f>
        <v>3.55788385608521</v>
      </c>
    </row>
    <row r="276" spans="1:24" s="168" customFormat="1" ht="22.500000" customHeight="1">
      <c r="A276" s="34">
        <v>274</v>
      </c>
      <c r="B276" s="107">
        <f>C276+D276+E276+F276+G276+H276</f>
        <v>19.0431801820988</v>
      </c>
      <c r="C276" s="49">
        <v>8</v>
      </c>
      <c r="D276" s="49">
        <v>2</v>
      </c>
      <c r="E276" s="49">
        <v>0</v>
      </c>
      <c r="F276" s="49">
        <v>7.91278265933649</v>
      </c>
      <c r="G276" s="49">
        <v>1.13039752276235</v>
      </c>
      <c r="H276" s="49">
        <v>0</v>
      </c>
      <c r="I276" s="78">
        <f>(100*B276)/N276</f>
        <v>16.5096946542379</v>
      </c>
      <c r="J276" s="110">
        <f>((C276+F276)*100)/B276</f>
        <v>83.5615821893813</v>
      </c>
      <c r="K276" s="110">
        <f>((D276+G276)*100)/B276</f>
        <v>16.4384178106187</v>
      </c>
      <c r="L276" s="110">
        <f>((E276+H276)*100)/B276</f>
        <v>0</v>
      </c>
      <c r="M276" s="111">
        <f>N276-B275</f>
        <v>64.3462984332566</v>
      </c>
      <c r="N276" s="107">
        <f>O276+P276+Q276+R276+S276+T276</f>
        <v>115.345441456791</v>
      </c>
      <c r="O276" s="49">
        <v>20</v>
      </c>
      <c r="P276" s="49">
        <v>21</v>
      </c>
      <c r="Q276" s="49">
        <v>2</v>
      </c>
      <c r="R276" s="49">
        <v>28.2599380690589</v>
      </c>
      <c r="S276" s="49">
        <v>38.4335157739201</v>
      </c>
      <c r="T276" s="49">
        <v>5.65198761381178</v>
      </c>
      <c r="U276" s="49">
        <v>32</v>
      </c>
      <c r="V276" s="110">
        <f>((O276+R276)*100)/N276</f>
        <v>41.8394844733742</v>
      </c>
      <c r="W276" s="110">
        <f>((P276+S276)*100)/N276</f>
        <v>51.5265406445944</v>
      </c>
      <c r="X276" s="110">
        <f>((Q276+T276)*100)/N276</f>
        <v>6.63397488203144</v>
      </c>
    </row>
    <row r="277" spans="1:24" s="168" customFormat="1" ht="22.500000" customHeight="1">
      <c r="A277" s="34">
        <v>275</v>
      </c>
      <c r="B277" s="107">
        <f>C277+D277+E277+F277+G277+H277</f>
        <v>61.6943108194448</v>
      </c>
      <c r="C277" s="49">
        <v>18</v>
      </c>
      <c r="D277" s="49">
        <v>1</v>
      </c>
      <c r="E277" s="49">
        <v>2</v>
      </c>
      <c r="F277" s="49">
        <v>32.7815281601083</v>
      </c>
      <c r="G277" s="49">
        <v>3.39119256828707</v>
      </c>
      <c r="H277" s="49">
        <v>4.52159009104942</v>
      </c>
      <c r="I277" s="78">
        <f>(100*B277)/N277</f>
        <v>36.9243643930116</v>
      </c>
      <c r="J277" s="110">
        <f>((C277+F277)*100)/B277</f>
        <v>82.3115251400183</v>
      </c>
      <c r="K277" s="110">
        <f>((D277+G277)*100)/B277</f>
        <v>7.11766208255147</v>
      </c>
      <c r="L277" s="110">
        <f>((E277+H277)*100)/B277</f>
        <v>10.5708127774303</v>
      </c>
      <c r="M277" s="111">
        <f>N277-B276</f>
        <v>148.039752276236</v>
      </c>
      <c r="N277" s="107">
        <f>O277+P277+Q277+R277+S277+T277</f>
        <v>167.082932458334</v>
      </c>
      <c r="O277" s="49">
        <v>24</v>
      </c>
      <c r="P277" s="49">
        <v>20</v>
      </c>
      <c r="Q277" s="49">
        <v>1</v>
      </c>
      <c r="R277" s="49">
        <v>50.867888524306</v>
      </c>
      <c r="S277" s="49">
        <v>64.4326587974543</v>
      </c>
      <c r="T277" s="49">
        <v>6.78238513657414</v>
      </c>
      <c r="U277" s="49">
        <v>34</v>
      </c>
      <c r="V277" s="110">
        <f>((O277+R277)*100)/N277</f>
        <v>44.8088188438851</v>
      </c>
      <c r="W277" s="110">
        <f>((P277+S277)*100)/N277</f>
        <v>50.5333833654789</v>
      </c>
      <c r="X277" s="110">
        <f>((Q277+T277)*100)/N277</f>
        <v>4.657797790636</v>
      </c>
    </row>
    <row r="278" spans="1:24" s="168" customFormat="1" ht="22.500000" customHeight="1">
      <c r="A278" s="34">
        <v>276</v>
      </c>
      <c r="B278" s="107">
        <f>C278+D278+E278+F278+G278+H278</f>
        <v>52.1295405462965</v>
      </c>
      <c r="C278" s="49">
        <v>22</v>
      </c>
      <c r="D278" s="49">
        <v>0</v>
      </c>
      <c r="E278" s="49">
        <v>3</v>
      </c>
      <c r="F278" s="49">
        <v>22.6079504552471</v>
      </c>
      <c r="G278" s="49">
        <v>2.26079504552471</v>
      </c>
      <c r="H278" s="49">
        <v>2.26079504552471</v>
      </c>
      <c r="I278" s="78">
        <f>(100*B278)/N278</f>
        <v>27.9815497544187</v>
      </c>
      <c r="J278" s="110">
        <f>((C278+F278)*100)/B278</f>
        <v>85.5713478150274</v>
      </c>
      <c r="K278" s="110">
        <f>((D278+G278)*100)/B278</f>
        <v>4.33687890173689</v>
      </c>
      <c r="L278" s="110">
        <f>((E278+H278)*100)/B278</f>
        <v>10.0917732832358</v>
      </c>
      <c r="M278" s="111">
        <f>N278-B277</f>
        <v>124.60537952585</v>
      </c>
      <c r="N278" s="107">
        <f>O278+P278+Q278+R278+S278+T278</f>
        <v>186.299690345294</v>
      </c>
      <c r="O278" s="49">
        <v>24</v>
      </c>
      <c r="P278" s="49">
        <v>20</v>
      </c>
      <c r="Q278" s="49">
        <v>1</v>
      </c>
      <c r="R278" s="49">
        <v>39.5639132966824</v>
      </c>
      <c r="S278" s="49">
        <v>97.2141869575626</v>
      </c>
      <c r="T278" s="49">
        <v>4.52159009104942</v>
      </c>
      <c r="U278" s="49">
        <v>29</v>
      </c>
      <c r="V278" s="110">
        <f>((O278+R278)*100)/N278</f>
        <v>34.1191728117587</v>
      </c>
      <c r="W278" s="110">
        <f>((P278+S278)*100)/N278</f>
        <v>62.9170057879934</v>
      </c>
      <c r="X278" s="110">
        <f>((Q278+T278)*100)/N278</f>
        <v>2.96382140024791</v>
      </c>
    </row>
    <row r="279" spans="1:24" s="168" customFormat="1" ht="22.500000" customHeight="1">
      <c r="A279" s="34">
        <v>277</v>
      </c>
      <c r="B279" s="107">
        <f>C279+D279+E279+F279+G279+H279</f>
        <v>36.6951677959106</v>
      </c>
      <c r="C279" s="49">
        <v>19</v>
      </c>
      <c r="D279" s="49">
        <v>0</v>
      </c>
      <c r="E279" s="49">
        <v>3</v>
      </c>
      <c r="F279" s="49">
        <v>14.6951677959106</v>
      </c>
      <c r="G279" s="49">
        <v>0</v>
      </c>
      <c r="H279" s="49">
        <v>0</v>
      </c>
      <c r="I279" s="78">
        <f>(100*B279)/N279</f>
        <v>46.4759908734305</v>
      </c>
      <c r="J279" s="110">
        <f>((C279+F279)*100)/B279</f>
        <v>91.8245366346728</v>
      </c>
      <c r="K279" s="110">
        <f>((D279+G279)*100)/B279</f>
        <v>0</v>
      </c>
      <c r="L279" s="110">
        <f>((E279+H279)*100)/B279</f>
        <v>8.17546336532716</v>
      </c>
      <c r="M279" s="111">
        <f>N279-B278</f>
        <v>26.8255653186729</v>
      </c>
      <c r="N279" s="107">
        <f>O279+P279+Q279+R279+S279+T279</f>
        <v>78.9551058649695</v>
      </c>
      <c r="O279" s="49">
        <v>18</v>
      </c>
      <c r="P279" s="49">
        <v>17</v>
      </c>
      <c r="Q279" s="49">
        <v>1</v>
      </c>
      <c r="R279" s="49">
        <v>14.6951677959106</v>
      </c>
      <c r="S279" s="49">
        <v>27.1295405462965</v>
      </c>
      <c r="T279" s="49">
        <v>1.13039752276235</v>
      </c>
      <c r="U279" s="49">
        <v>29</v>
      </c>
      <c r="V279" s="110">
        <f>((O279+R279)*100)/N279</f>
        <v>41.409820730057</v>
      </c>
      <c r="W279" s="110">
        <f>((P279+S279)*100)/N279</f>
        <v>55.8919401891091</v>
      </c>
      <c r="X279" s="110">
        <f>((Q279+T279)*100)/N279</f>
        <v>2.69823908083386</v>
      </c>
    </row>
    <row r="280" spans="1:24" s="168" customFormat="1" ht="22.500000" customHeight="1">
      <c r="A280" s="34">
        <v>278</v>
      </c>
      <c r="B280" s="107">
        <f>C280+D280+E280+F280+G280+H280</f>
        <v>13.5215900910494</v>
      </c>
      <c r="C280" s="49">
        <v>6</v>
      </c>
      <c r="D280" s="49">
        <v>1</v>
      </c>
      <c r="E280" s="49">
        <v>2</v>
      </c>
      <c r="F280" s="49">
        <v>4.52159009104942</v>
      </c>
      <c r="G280" s="49">
        <v>0</v>
      </c>
      <c r="H280" s="49">
        <v>0</v>
      </c>
      <c r="I280" s="78">
        <f>(100*B280)/N280</f>
        <v>17.8326964741159</v>
      </c>
      <c r="J280" s="110">
        <f>((C280+F280)*100)/B280</f>
        <v>77.8132602763499</v>
      </c>
      <c r="K280" s="110">
        <f>((D280+G280)*100)/B280</f>
        <v>7.39557990788337</v>
      </c>
      <c r="L280" s="110">
        <f>((E280+H280)*100)/B280</f>
        <v>14.7911598157667</v>
      </c>
      <c r="M280" s="111">
        <f>N280-B279</f>
        <v>39.1295405462964</v>
      </c>
      <c r="N280" s="107">
        <f>O280+P280+Q280+R280+S280+T280</f>
        <v>75.8247083422071</v>
      </c>
      <c r="O280" s="49">
        <v>20</v>
      </c>
      <c r="P280" s="49">
        <v>13</v>
      </c>
      <c r="Q280" s="49">
        <v>1</v>
      </c>
      <c r="R280" s="49">
        <v>23.7383479780094</v>
      </c>
      <c r="S280" s="49">
        <v>16.9559628414353</v>
      </c>
      <c r="T280" s="49">
        <v>1.13039752276235</v>
      </c>
      <c r="U280" s="49">
        <v>23</v>
      </c>
      <c r="V280" s="110">
        <f>((O280+R280)*100)/N280</f>
        <v>57.6835030879544</v>
      </c>
      <c r="W280" s="110">
        <f>((P280+S280)*100)/N280</f>
        <v>39.5068619403586</v>
      </c>
      <c r="X280" s="110">
        <f>((Q280+T280)*100)/N280</f>
        <v>2.80963497168704</v>
      </c>
    </row>
    <row r="281" spans="1:24" s="168" customFormat="1" ht="22.500000" customHeight="1">
      <c r="A281" s="34">
        <v>279</v>
      </c>
      <c r="B281" s="107">
        <f>C281+D281+E281+F281+G281+H281</f>
        <v>72.4766959560189</v>
      </c>
      <c r="C281" s="49">
        <v>22</v>
      </c>
      <c r="D281" s="49">
        <v>0</v>
      </c>
      <c r="E281" s="49">
        <v>3</v>
      </c>
      <c r="F281" s="49">
        <v>40.6943108194448</v>
      </c>
      <c r="G281" s="49">
        <v>1.13039752276235</v>
      </c>
      <c r="H281" s="49">
        <v>5.65198761381178</v>
      </c>
      <c r="I281" s="78">
        <f>(100*B281)/N281</f>
        <v>45.5590645935581</v>
      </c>
      <c r="J281" s="110">
        <f>((C281+F281)*100)/B281</f>
        <v>86.502716483502</v>
      </c>
      <c r="K281" s="110">
        <f>((D281+G281)*100)/B281</f>
        <v>1.55967032968543</v>
      </c>
      <c r="L281" s="110">
        <f>((E281+H281)*100)/B281</f>
        <v>11.9376131868126</v>
      </c>
      <c r="M281" s="111">
        <f>N281-B280</f>
        <v>145.561342367285</v>
      </c>
      <c r="N281" s="107">
        <f>O281+P281+Q281+R281+S281+T281</f>
        <v>159.082932458334</v>
      </c>
      <c r="O281" s="49">
        <v>19</v>
      </c>
      <c r="P281" s="49">
        <v>15</v>
      </c>
      <c r="Q281" s="49">
        <v>3</v>
      </c>
      <c r="R281" s="49">
        <v>53.1286835698307</v>
      </c>
      <c r="S281" s="49">
        <v>61.0414662291672</v>
      </c>
      <c r="T281" s="49">
        <v>7.91278265933649</v>
      </c>
      <c r="U281" s="49">
        <v>29</v>
      </c>
      <c r="V281" s="110">
        <f>((O281+R281)*100)/N281</f>
        <v>45.3403029823592</v>
      </c>
      <c r="W281" s="110">
        <f>((P281+S281)*100)/N281</f>
        <v>47.7998896890358</v>
      </c>
      <c r="X281" s="110">
        <f>((Q281+T281)*100)/N281</f>
        <v>6.85980732860495</v>
      </c>
    </row>
    <row r="282" spans="1:24" s="168" customFormat="1" ht="22.500000" customHeight="1">
      <c r="A282" s="34">
        <v>280</v>
      </c>
      <c r="B282" s="107">
        <f>C282+D282+E282+F282+G282+H282</f>
        <v>16.5215900910494</v>
      </c>
      <c r="C282" s="49">
        <v>11</v>
      </c>
      <c r="D282" s="49">
        <v>1</v>
      </c>
      <c r="E282" s="49">
        <v>0</v>
      </c>
      <c r="F282" s="49">
        <v>4.52159009104942</v>
      </c>
      <c r="G282" s="49">
        <v>0</v>
      </c>
      <c r="H282" s="49">
        <v>0</v>
      </c>
      <c r="I282" s="78">
        <f>(100*B282)/N282</f>
        <v>14.4213943148215</v>
      </c>
      <c r="J282" s="110">
        <f>((C282+F282)*100)/B282</f>
        <v>93.9473138209515</v>
      </c>
      <c r="K282" s="110">
        <f>((D282+G282)*100)/B282</f>
        <v>6.05268617904853</v>
      </c>
      <c r="L282" s="110">
        <f>((E282+H282)*100)/B282</f>
        <v>0</v>
      </c>
      <c r="M282" s="111">
        <f>N282-B281</f>
        <v>42.0863603641977</v>
      </c>
      <c r="N282" s="107">
        <f>O282+P282+Q282+R282+S282+T282</f>
        <v>114.563056320217</v>
      </c>
      <c r="O282" s="49">
        <v>24</v>
      </c>
      <c r="P282" s="49">
        <v>19</v>
      </c>
      <c r="Q282" s="49">
        <v>6</v>
      </c>
      <c r="R282" s="49">
        <v>42.9551058649695</v>
      </c>
      <c r="S282" s="49">
        <v>20.3471554097224</v>
      </c>
      <c r="T282" s="49">
        <v>2.26079504552471</v>
      </c>
      <c r="U282" s="49">
        <v>29</v>
      </c>
      <c r="V282" s="110">
        <f>((O282+R282)*100)/N282</f>
        <v>58.4438893440678</v>
      </c>
      <c r="W282" s="110">
        <f>((P282+S282)*100)/N282</f>
        <v>34.3454134985214</v>
      </c>
      <c r="X282" s="110">
        <f>((Q282+T282)*100)/N282</f>
        <v>7.21069715741073</v>
      </c>
    </row>
    <row r="283" spans="1:24" s="168" customFormat="1" ht="22.500000" customHeight="1">
      <c r="A283" s="34">
        <v>281</v>
      </c>
      <c r="B283" s="107">
        <f>C283+D283+E283+F283+G283+H283</f>
        <v>41.9991430235342</v>
      </c>
      <c r="C283" s="49">
        <v>14</v>
      </c>
      <c r="D283" s="49">
        <v>0</v>
      </c>
      <c r="E283" s="49">
        <v>2</v>
      </c>
      <c r="F283" s="49">
        <v>20.3471554097224</v>
      </c>
      <c r="G283" s="49">
        <v>2.26079504552471</v>
      </c>
      <c r="H283" s="49">
        <v>3.39119256828707</v>
      </c>
      <c r="I283" s="78">
        <f>(100*B283)/N283</f>
        <v>24.1924244868604</v>
      </c>
      <c r="J283" s="110">
        <f>((C283+F283)*100)/B283</f>
        <v>81.7806101197732</v>
      </c>
      <c r="K283" s="110">
        <f>((D283+G283)*100)/B283</f>
        <v>5.38295518138995</v>
      </c>
      <c r="L283" s="110">
        <f>((E283+H283)*100)/B283</f>
        <v>12.8364346988369</v>
      </c>
      <c r="M283" s="111">
        <f>N283-B282</f>
        <v>157.082932458334</v>
      </c>
      <c r="N283" s="107">
        <f>O283+P283+Q283+R283+S283+T283</f>
        <v>173.604522549384</v>
      </c>
      <c r="O283" s="49">
        <v>24</v>
      </c>
      <c r="P283" s="49">
        <v>17</v>
      </c>
      <c r="Q283" s="49">
        <v>6</v>
      </c>
      <c r="R283" s="49">
        <v>64.4326587974543</v>
      </c>
      <c r="S283" s="49">
        <v>50.867888524306</v>
      </c>
      <c r="T283" s="49">
        <v>11.3039752276235</v>
      </c>
      <c r="U283" s="49">
        <v>32</v>
      </c>
      <c r="V283" s="110">
        <f>((O283+R283)*100)/N283</f>
        <v>50.9391446137578</v>
      </c>
      <c r="W283" s="110">
        <f>((P283+S283)*100)/N283</f>
        <v>39.0933873885689</v>
      </c>
      <c r="X283" s="110">
        <f>((Q283+T283)*100)/N283</f>
        <v>9.96746799767338</v>
      </c>
    </row>
    <row r="284" spans="1:24" s="168" customFormat="1" ht="22.500000" customHeight="1">
      <c r="A284" s="34">
        <v>282</v>
      </c>
      <c r="B284" s="107">
        <f>C284+D284+E284+F284+G284+H284</f>
        <v>36.3471554097224</v>
      </c>
      <c r="C284" s="49">
        <v>15</v>
      </c>
      <c r="D284" s="49">
        <v>0</v>
      </c>
      <c r="E284" s="49">
        <v>1</v>
      </c>
      <c r="F284" s="49">
        <v>18.0863603641977</v>
      </c>
      <c r="G284" s="49">
        <v>0</v>
      </c>
      <c r="H284" s="49">
        <v>2.26079504552471</v>
      </c>
      <c r="I284" s="78">
        <f>(100*B284)/N284</f>
        <v>26.2977022907804</v>
      </c>
      <c r="J284" s="110">
        <f>((C284+F284)*100)/B284</f>
        <v>91.0287476178879</v>
      </c>
      <c r="K284" s="110">
        <f>((D284+G284)*100)/B284</f>
        <v>0</v>
      </c>
      <c r="L284" s="110">
        <f>((E284+H284)*100)/B284</f>
        <v>8.9712523821121</v>
      </c>
      <c r="M284" s="111">
        <f>N284-B283</f>
        <v>96.2150439340284</v>
      </c>
      <c r="N284" s="107">
        <f>O284+P284+Q284+R284+S284+T284</f>
        <v>138.214186957563</v>
      </c>
      <c r="O284" s="49">
        <v>18</v>
      </c>
      <c r="P284" s="49">
        <v>17</v>
      </c>
      <c r="Q284" s="49">
        <v>6</v>
      </c>
      <c r="R284" s="49">
        <v>36.1727207283954</v>
      </c>
      <c r="S284" s="49">
        <v>46.3462984332566</v>
      </c>
      <c r="T284" s="49">
        <v>14.6951677959106</v>
      </c>
      <c r="U284" s="49">
        <v>27</v>
      </c>
      <c r="V284" s="110">
        <f>((O284+R284)*100)/N284</f>
        <v>39.1947613489407</v>
      </c>
      <c r="W284" s="110">
        <f>((P284+S284)*100)/N284</f>
        <v>45.8319799346694</v>
      </c>
      <c r="X284" s="110">
        <f>((Q284+T284)*100)/N284</f>
        <v>14.9732587163898</v>
      </c>
    </row>
    <row r="285" spans="1:24" s="168" customFormat="1" ht="22.500000" customHeight="1">
      <c r="A285" s="34">
        <v>283</v>
      </c>
      <c r="B285" s="107">
        <f>C285+D285+E285+F285+G285+H285</f>
        <v>12.2607950455247</v>
      </c>
      <c r="C285" s="49">
        <v>10</v>
      </c>
      <c r="D285" s="49">
        <v>0</v>
      </c>
      <c r="E285" s="49">
        <v>0</v>
      </c>
      <c r="F285" s="49">
        <v>2.26079504552471</v>
      </c>
      <c r="G285" s="49">
        <v>0</v>
      </c>
      <c r="H285" s="49">
        <v>0</v>
      </c>
      <c r="I285" s="78">
        <f>(100*B285)/N285</f>
        <v>13.0799266275676</v>
      </c>
      <c r="J285" s="110">
        <f>((C285+F285)*100)/B285</f>
        <v>100</v>
      </c>
      <c r="K285" s="110">
        <f>((D285+G285)*100)/B285</f>
        <v>0</v>
      </c>
      <c r="L285" s="110">
        <f>((E285+H285)*100)/B285</f>
        <v>0</v>
      </c>
      <c r="M285" s="111">
        <f>N285-B284</f>
        <v>57.3903355918213</v>
      </c>
      <c r="N285" s="107">
        <f>O285+P285+Q285+R285+S285+T285</f>
        <v>93.7374910015437</v>
      </c>
      <c r="O285" s="49">
        <v>21</v>
      </c>
      <c r="P285" s="49">
        <v>17</v>
      </c>
      <c r="Q285" s="49">
        <v>6</v>
      </c>
      <c r="R285" s="49">
        <v>22.6079504552471</v>
      </c>
      <c r="S285" s="49">
        <v>25.9991430235342</v>
      </c>
      <c r="T285" s="49">
        <v>1.13039752276235</v>
      </c>
      <c r="U285" s="49">
        <v>28</v>
      </c>
      <c r="V285" s="110">
        <f>((O285+R285)*100)/N285</f>
        <v>46.5213544648096</v>
      </c>
      <c r="W285" s="110">
        <f>((P285+S285)*100)/N285</f>
        <v>45.8718732111425</v>
      </c>
      <c r="X285" s="110">
        <f>((Q285+T285)*100)/N285</f>
        <v>7.60677232404794</v>
      </c>
    </row>
    <row r="286" spans="1:24" s="168" customFormat="1" ht="22.500000" customHeight="1">
      <c r="A286" s="34">
        <v>284</v>
      </c>
      <c r="B286" s="107">
        <f>C286+D286+E286+F286+G286+H286</f>
        <v>11.3911925682871</v>
      </c>
      <c r="C286" s="49">
        <v>8</v>
      </c>
      <c r="D286" s="49">
        <v>0</v>
      </c>
      <c r="E286" s="49">
        <v>0</v>
      </c>
      <c r="F286" s="49">
        <v>3.39119256828707</v>
      </c>
      <c r="G286" s="49">
        <v>0</v>
      </c>
      <c r="H286" s="49">
        <v>0</v>
      </c>
      <c r="I286" s="78">
        <f>(100*B286)/N286</f>
        <v>16.8164605549357</v>
      </c>
      <c r="J286" s="110">
        <f>((C286+F286)*100)/B286</f>
        <v>100</v>
      </c>
      <c r="K286" s="110">
        <f>((D286+G286)*100)/B286</f>
        <v>0</v>
      </c>
      <c r="L286" s="110">
        <f>((E286+H286)*100)/B286</f>
        <v>0</v>
      </c>
      <c r="M286" s="111">
        <f>N286-B285</f>
        <v>55.4775529324847</v>
      </c>
      <c r="N286" s="107">
        <f>O286+P286+Q286+R286+S286+T286</f>
        <v>67.7383479780094</v>
      </c>
      <c r="O286" s="49">
        <v>20</v>
      </c>
      <c r="P286" s="49">
        <v>18</v>
      </c>
      <c r="Q286" s="49">
        <v>6</v>
      </c>
      <c r="R286" s="49">
        <v>3.39119256828707</v>
      </c>
      <c r="S286" s="49">
        <v>14.6951677959106</v>
      </c>
      <c r="T286" s="49">
        <v>5.65198761381178</v>
      </c>
      <c r="U286" s="49">
        <v>20</v>
      </c>
      <c r="V286" s="110">
        <f>((O286+R286)*100)/N286</f>
        <v>34.5316844394859</v>
      </c>
      <c r="W286" s="110">
        <f>((P286+S286)*100)/N286</f>
        <v>48.2668514539574</v>
      </c>
      <c r="X286" s="110">
        <f>((Q286+T286)*100)/N286</f>
        <v>17.2014641065567</v>
      </c>
    </row>
    <row r="287" spans="1:24" s="168" customFormat="1" ht="22.500000" customHeight="1">
      <c r="A287" s="34">
        <v>285</v>
      </c>
      <c r="B287" s="107">
        <f>C287+D287+E287+F287+G287+H287</f>
        <v>19.1735777048612</v>
      </c>
      <c r="C287" s="49">
        <v>5</v>
      </c>
      <c r="D287" s="49">
        <v>1</v>
      </c>
      <c r="E287" s="49">
        <v>3</v>
      </c>
      <c r="F287" s="49">
        <v>2.26079504552471</v>
      </c>
      <c r="G287" s="49">
        <v>4.52159009104942</v>
      </c>
      <c r="H287" s="49">
        <v>3.39119256828707</v>
      </c>
      <c r="I287" s="78">
        <f>(100*B287)/N287</f>
        <v>10.9024212204398</v>
      </c>
      <c r="J287" s="110">
        <f>((C287+F287)*100)/B287</f>
        <v>37.8687543727629</v>
      </c>
      <c r="K287" s="110">
        <f>((D287+G287)*100)/B287</f>
        <v>28.7979122939038</v>
      </c>
      <c r="L287" s="110">
        <f>((E287+H287)*100)/B287</f>
        <v>33.3333333333334</v>
      </c>
      <c r="M287" s="111">
        <f>N287-B286</f>
        <v>164.474125026621</v>
      </c>
      <c r="N287" s="107">
        <f>O287+P287+Q287+R287+S287+T287</f>
        <v>175.865317594909</v>
      </c>
      <c r="O287" s="49">
        <v>25</v>
      </c>
      <c r="P287" s="49">
        <v>16</v>
      </c>
      <c r="Q287" s="49">
        <v>6</v>
      </c>
      <c r="R287" s="49">
        <v>63.3022612746919</v>
      </c>
      <c r="S287" s="49">
        <v>51.9982860470684</v>
      </c>
      <c r="T287" s="49">
        <v>13.5647702731482</v>
      </c>
      <c r="U287" s="49">
        <v>29</v>
      </c>
      <c r="V287" s="110">
        <f>((O287+R287)*100)/N287</f>
        <v>50.2101622322652</v>
      </c>
      <c r="W287" s="110">
        <f>((P287+S287)*100)/N287</f>
        <v>38.6649778233688</v>
      </c>
      <c r="X287" s="110">
        <f>((Q287+T287)*100)/N287</f>
        <v>11.1248599443661</v>
      </c>
    </row>
    <row r="288" spans="1:24" s="168" customFormat="1" ht="22.500000" customHeight="1">
      <c r="A288" s="34">
        <v>286</v>
      </c>
      <c r="B288" s="107">
        <f>C288+D288+E288+F288+G288+H288</f>
        <v>25.3039752276235</v>
      </c>
      <c r="C288" s="49">
        <v>14</v>
      </c>
      <c r="D288" s="49">
        <v>0</v>
      </c>
      <c r="E288" s="49">
        <v>0</v>
      </c>
      <c r="F288" s="49">
        <v>11.3039752276235</v>
      </c>
      <c r="G288" s="49">
        <v>0</v>
      </c>
      <c r="H288" s="49">
        <v>0</v>
      </c>
      <c r="I288" s="78">
        <f>(100*B288)/N288</f>
        <v>17.1733323738155</v>
      </c>
      <c r="J288" s="110">
        <f>((C288+F288)*100)/B288</f>
        <v>100</v>
      </c>
      <c r="K288" s="110">
        <f>((D288+G288)*100)/B288</f>
        <v>0</v>
      </c>
      <c r="L288" s="110">
        <f>((E288+H288)*100)/B288</f>
        <v>0</v>
      </c>
      <c r="M288" s="111">
        <f>N288-B287</f>
        <v>128.171006775464</v>
      </c>
      <c r="N288" s="107">
        <f>O288+P288+Q288+R288+S288+T288</f>
        <v>147.344584480325</v>
      </c>
      <c r="O288" s="49">
        <v>27</v>
      </c>
      <c r="P288" s="49">
        <v>16</v>
      </c>
      <c r="Q288" s="49">
        <v>6</v>
      </c>
      <c r="R288" s="49">
        <v>42.9551058649695</v>
      </c>
      <c r="S288" s="49">
        <v>37.3031182511577</v>
      </c>
      <c r="T288" s="49">
        <v>18.0863603641977</v>
      </c>
      <c r="U288" s="49">
        <v>28</v>
      </c>
      <c r="V288" s="110">
        <f>((O288+R288)*100)/N288</f>
        <v>47.4772154753409</v>
      </c>
      <c r="W288" s="110">
        <f>((P288+S288)*100)/N288</f>
        <v>36.1758244723784</v>
      </c>
      <c r="X288" s="110">
        <f>((Q288+T288)*100)/N288</f>
        <v>16.3469600522807</v>
      </c>
    </row>
    <row r="289" spans="1:24" s="168" customFormat="1" ht="22.500000" customHeight="1">
      <c r="A289" s="34">
        <v>287</v>
      </c>
      <c r="B289" s="107">
        <f>C289+D289+E289+F289+G289+H289</f>
        <v>22.3039752276236</v>
      </c>
      <c r="C289" s="49">
        <v>5</v>
      </c>
      <c r="D289" s="49">
        <v>1</v>
      </c>
      <c r="E289" s="49">
        <v>5</v>
      </c>
      <c r="F289" s="49">
        <v>3.39119256828707</v>
      </c>
      <c r="G289" s="49">
        <v>2.26079504552471</v>
      </c>
      <c r="H289" s="49">
        <v>5.65198761381178</v>
      </c>
      <c r="I289" s="78">
        <f>(100*B289)/N289</f>
        <v>8.36331186083111</v>
      </c>
      <c r="J289" s="110">
        <f>((C289+F289)*100)/B289</f>
        <v>37.6219596849917</v>
      </c>
      <c r="K289" s="110">
        <f>((D289+G289)*100)/B289</f>
        <v>14.6197931635353</v>
      </c>
      <c r="L289" s="110">
        <f>((E289+H289)*100)/B289</f>
        <v>47.758247151473</v>
      </c>
      <c r="M289" s="111">
        <f>N289-B288</f>
        <v>241.384336756561</v>
      </c>
      <c r="N289" s="107">
        <f>O289+P289+Q289+R289+S289+T289</f>
        <v>266.688311984184</v>
      </c>
      <c r="O289" s="49">
        <v>24</v>
      </c>
      <c r="P289" s="49">
        <v>14</v>
      </c>
      <c r="Q289" s="49">
        <v>6</v>
      </c>
      <c r="R289" s="49">
        <v>91.5621993437509</v>
      </c>
      <c r="S289" s="49">
        <v>79.1278265933649</v>
      </c>
      <c r="T289" s="49">
        <v>51.9982860470684</v>
      </c>
      <c r="U289" s="49">
        <v>28</v>
      </c>
      <c r="V289" s="110">
        <f>((O289+R289)*100)/N289</f>
        <v>43.332307473079</v>
      </c>
      <c r="W289" s="110">
        <f>((P289+S289)*100)/N289</f>
        <v>34.9201005100245</v>
      </c>
      <c r="X289" s="110">
        <f>((Q289+T289)*100)/N289</f>
        <v>21.7475920168965</v>
      </c>
    </row>
    <row r="290" spans="1:24" s="168" customFormat="1" ht="22.500000" customHeight="1">
      <c r="A290" s="34">
        <v>288</v>
      </c>
      <c r="B290" s="107">
        <f>C290+D290+E290+F290+G290+H290</f>
        <v>9.52159009104942</v>
      </c>
      <c r="C290" s="49">
        <v>5</v>
      </c>
      <c r="D290" s="49">
        <v>0</v>
      </c>
      <c r="E290" s="49">
        <v>0</v>
      </c>
      <c r="F290" s="49">
        <v>4.52159009104942</v>
      </c>
      <c r="G290" s="49">
        <v>0</v>
      </c>
      <c r="H290" s="49">
        <v>0</v>
      </c>
      <c r="I290" s="78">
        <f>(100*B290)/N290</f>
        <v>8.60512114071322</v>
      </c>
      <c r="J290" s="110">
        <f>((C290+F290)*100)/B290</f>
        <v>100</v>
      </c>
      <c r="K290" s="110">
        <f>((D290+G290)*100)/B290</f>
        <v>0</v>
      </c>
      <c r="L290" s="110">
        <f>((E290+H290)*100)/B290</f>
        <v>0</v>
      </c>
      <c r="M290" s="111">
        <f>N290-B289</f>
        <v>88.3462984332566</v>
      </c>
      <c r="N290" s="107">
        <f>O290+P290+Q290+R290+S290+T290</f>
        <v>110.65027366088</v>
      </c>
      <c r="O290" s="49">
        <v>31</v>
      </c>
      <c r="P290" s="49">
        <v>15</v>
      </c>
      <c r="Q290" s="49">
        <v>7</v>
      </c>
      <c r="R290" s="49">
        <v>25.9991430235342</v>
      </c>
      <c r="S290" s="49">
        <v>21.4775529324847</v>
      </c>
      <c r="T290" s="49">
        <v>10.1735777048612</v>
      </c>
      <c r="U290" s="49">
        <v>27</v>
      </c>
      <c r="V290" s="110">
        <f>((O290+R290)*100)/N290</f>
        <v>51.512880300888</v>
      </c>
      <c r="W290" s="110">
        <f>((P290+S290)*100)/N290</f>
        <v>32.9665275336605</v>
      </c>
      <c r="X290" s="110">
        <f>((Q290+T290)*100)/N290</f>
        <v>15.5205921654515</v>
      </c>
    </row>
    <row r="291" spans="1:24" s="168" customFormat="1" ht="22.500000" customHeight="1">
      <c r="A291" s="34">
        <v>289</v>
      </c>
      <c r="B291" s="107">
        <f>C291+D291+E291+F291+G291+H291</f>
        <v>18.1303975227624</v>
      </c>
      <c r="C291" s="49">
        <v>17</v>
      </c>
      <c r="D291" s="49">
        <v>0</v>
      </c>
      <c r="E291" s="49">
        <v>0</v>
      </c>
      <c r="F291" s="49">
        <v>1.13039752276235</v>
      </c>
      <c r="G291" s="49">
        <v>0</v>
      </c>
      <c r="H291" s="49">
        <v>0</v>
      </c>
      <c r="I291" s="78">
        <f>(100*B291)/N291</f>
        <v>27.2372269120202</v>
      </c>
      <c r="J291" s="110">
        <f>((C291+F291)*100)/B291</f>
        <v>100</v>
      </c>
      <c r="K291" s="110">
        <f>((D291+G291)*100)/B291</f>
        <v>0</v>
      </c>
      <c r="L291" s="110">
        <f>((E291+H291)*100)/B291</f>
        <v>0</v>
      </c>
      <c r="M291" s="111">
        <f>N291-B290</f>
        <v>57.0431801820988</v>
      </c>
      <c r="N291" s="107">
        <f>O291+P291+Q291+R291+S291+T291</f>
        <v>66.5647702731483</v>
      </c>
      <c r="O291" s="49">
        <v>28</v>
      </c>
      <c r="P291" s="49">
        <v>16</v>
      </c>
      <c r="Q291" s="49">
        <v>9</v>
      </c>
      <c r="R291" s="49">
        <v>4.52159009104942</v>
      </c>
      <c r="S291" s="49">
        <v>7.91278265933649</v>
      </c>
      <c r="T291" s="49">
        <v>1.13039752276235</v>
      </c>
      <c r="U291" s="49">
        <v>21</v>
      </c>
      <c r="V291" s="110">
        <f>((O291+R291)*100)/N291</f>
        <v>48.8570605105331</v>
      </c>
      <c r="W291" s="110">
        <f>((P291+S291)*100)/N291</f>
        <v>35.9240820049562</v>
      </c>
      <c r="X291" s="110">
        <f>((Q291+T291)*100)/N291</f>
        <v>15.2188574845107</v>
      </c>
    </row>
    <row r="292" spans="1:24" s="168" customFormat="1" ht="22.500000" customHeight="1">
      <c r="A292" s="34">
        <v>290</v>
      </c>
      <c r="B292" s="107">
        <f>C292+D292+E292+F292+G292+H292</f>
        <v>32.0863603641976</v>
      </c>
      <c r="C292" s="49">
        <v>12</v>
      </c>
      <c r="D292" s="49">
        <v>1</v>
      </c>
      <c r="E292" s="49">
        <v>1</v>
      </c>
      <c r="F292" s="49">
        <v>15.8255653186729</v>
      </c>
      <c r="G292" s="49">
        <v>0</v>
      </c>
      <c r="H292" s="49">
        <v>2.26079504552471</v>
      </c>
      <c r="I292" s="78">
        <f>(100*B292)/N292</f>
        <v>13.059737431623</v>
      </c>
      <c r="J292" s="110">
        <f>((C292+F292)*100)/B292</f>
        <v>86.7208527325556</v>
      </c>
      <c r="K292" s="110">
        <f>((D292+G292)*100)/B292</f>
        <v>3.11658906977749</v>
      </c>
      <c r="L292" s="110">
        <f>((E292+H292)*100)/B292</f>
        <v>10.1625581976669</v>
      </c>
      <c r="M292" s="111">
        <f>N292-B291</f>
        <v>227.558771437888</v>
      </c>
      <c r="N292" s="107">
        <f>O292+P292+Q292+R292+S292+T292</f>
        <v>245.68916896065</v>
      </c>
      <c r="O292" s="49">
        <v>27</v>
      </c>
      <c r="P292" s="49">
        <v>15</v>
      </c>
      <c r="Q292" s="49">
        <v>7</v>
      </c>
      <c r="R292" s="49">
        <v>67.8238513657414</v>
      </c>
      <c r="S292" s="49">
        <v>91.5621993437509</v>
      </c>
      <c r="T292" s="49">
        <v>37.3031182511577</v>
      </c>
      <c r="U292" s="49">
        <v>28</v>
      </c>
      <c r="V292" s="110">
        <f>((O292+R292)*100)/N292</f>
        <v>38.5950474605287</v>
      </c>
      <c r="W292" s="110">
        <f>((P292+S292)*100)/N292</f>
        <v>43.372770478465</v>
      </c>
      <c r="X292" s="110">
        <f>((Q292+T292)*100)/N292</f>
        <v>18.0321820610063</v>
      </c>
    </row>
    <row r="293" spans="1:24" s="168" customFormat="1" ht="22.500000" customHeight="1">
      <c r="A293" s="34">
        <v>291</v>
      </c>
      <c r="B293" s="107">
        <f>C293+D293+E293+F293+G293+H293</f>
        <v>8</v>
      </c>
      <c r="C293" s="49">
        <v>8</v>
      </c>
      <c r="D293" s="49">
        <v>0</v>
      </c>
      <c r="E293" s="49">
        <v>0</v>
      </c>
      <c r="F293" s="49">
        <v>0</v>
      </c>
      <c r="G293" s="49">
        <v>0</v>
      </c>
      <c r="H293" s="49">
        <v>0</v>
      </c>
      <c r="I293" s="78">
        <f>(100*B293)/N293</f>
        <v>11.4003023098619</v>
      </c>
      <c r="J293" s="110">
        <f>((C293+F293)*100)/B293</f>
        <v>100</v>
      </c>
      <c r="K293" s="110">
        <f>((D293+G293)*100)/B293</f>
        <v>0</v>
      </c>
      <c r="L293" s="110">
        <f>((E293+H293)*100)/B293</f>
        <v>0</v>
      </c>
      <c r="M293" s="111">
        <f>N293-B292</f>
        <v>38.0872173406636</v>
      </c>
      <c r="N293" s="107">
        <f>O293+P293+Q293+R293+S293+T293</f>
        <v>70.1735777048612</v>
      </c>
      <c r="O293" s="49">
        <v>27</v>
      </c>
      <c r="P293" s="49">
        <v>26</v>
      </c>
      <c r="Q293" s="49">
        <v>7</v>
      </c>
      <c r="R293" s="49">
        <v>4.52159009104942</v>
      </c>
      <c r="S293" s="49">
        <v>5.65198761381178</v>
      </c>
      <c r="T293" s="49">
        <v>0</v>
      </c>
      <c r="U293" s="49">
        <v>18</v>
      </c>
      <c r="V293" s="110">
        <f>((O293+R293)*100)/N293</f>
        <v>44.9194570406887</v>
      </c>
      <c r="W293" s="110">
        <f>((P293+S293)*100)/N293</f>
        <v>45.1052784381822</v>
      </c>
      <c r="X293" s="110">
        <f>((Q293+T293)*100)/N293</f>
        <v>9.97526452112913</v>
      </c>
    </row>
    <row r="294" spans="1:24" s="168" customFormat="1" ht="22.500000" customHeight="1">
      <c r="A294" s="34">
        <v>292</v>
      </c>
      <c r="B294" s="107">
        <f>C294+D294+E294+F294+G294+H294</f>
        <v>39.4775529324848</v>
      </c>
      <c r="C294" s="49">
        <v>14</v>
      </c>
      <c r="D294" s="49">
        <v>2</v>
      </c>
      <c r="E294" s="49">
        <v>2</v>
      </c>
      <c r="F294" s="49">
        <v>12.4343727503859</v>
      </c>
      <c r="G294" s="49">
        <v>0</v>
      </c>
      <c r="H294" s="49">
        <v>9.04318018209885</v>
      </c>
      <c r="I294" s="78">
        <f>(100*B294)/N294</f>
        <v>28.2867088066225</v>
      </c>
      <c r="J294" s="110">
        <f>((C294+F294)*100)/B294</f>
        <v>66.9605149934051</v>
      </c>
      <c r="K294" s="110">
        <f>((D294+G294)*100)/B294</f>
        <v>5.06617014337347</v>
      </c>
      <c r="L294" s="110">
        <f>((E294+H294)*100)/B294</f>
        <v>27.9733148632214</v>
      </c>
      <c r="M294" s="111">
        <f>N294-B293</f>
        <v>131.562199343751</v>
      </c>
      <c r="N294" s="107">
        <f>O294+P294+Q294+R294+S294+T294</f>
        <v>139.562199343751</v>
      </c>
      <c r="O294" s="49">
        <v>23</v>
      </c>
      <c r="P294" s="49">
        <v>23</v>
      </c>
      <c r="Q294" s="49">
        <v>2</v>
      </c>
      <c r="R294" s="49">
        <v>30.5207331145836</v>
      </c>
      <c r="S294" s="49">
        <v>54.2590810925931</v>
      </c>
      <c r="T294" s="49">
        <v>6.78238513657414</v>
      </c>
      <c r="U294" s="49">
        <v>24</v>
      </c>
      <c r="V294" s="110">
        <f>((O294+R294)*100)/N294</f>
        <v>38.3490181196977</v>
      </c>
      <c r="W294" s="110">
        <f>((P294+S294)*100)/N294</f>
        <v>55.358171092087</v>
      </c>
      <c r="X294" s="110">
        <f>((Q294+T294)*100)/N294</f>
        <v>6.29281078821533</v>
      </c>
    </row>
    <row r="295" spans="1:24" s="168" customFormat="1" ht="22.500000" customHeight="1">
      <c r="A295" s="34">
        <v>293</v>
      </c>
      <c r="B295" s="107">
        <f>C295+D295+E295+F295+G295+H295</f>
        <v>29.825565318673</v>
      </c>
      <c r="C295" s="49">
        <v>11</v>
      </c>
      <c r="D295" s="49">
        <v>0</v>
      </c>
      <c r="E295" s="49">
        <v>3</v>
      </c>
      <c r="F295" s="49">
        <v>14.6951677959106</v>
      </c>
      <c r="G295" s="49">
        <v>0</v>
      </c>
      <c r="H295" s="49">
        <v>1.13039752276235</v>
      </c>
      <c r="I295" s="78">
        <f>(100*B295)/N295</f>
        <v>23.7125213665415</v>
      </c>
      <c r="J295" s="110">
        <f>((C295+F295)*100)/B295</f>
        <v>86.1514862211969</v>
      </c>
      <c r="K295" s="110">
        <f>((D295+G295)*100)/B295</f>
        <v>0</v>
      </c>
      <c r="L295" s="110">
        <f>((E295+H295)*100)/B295</f>
        <v>13.8485137788031</v>
      </c>
      <c r="M295" s="111">
        <f>N295-B294</f>
        <v>86.3022612746919</v>
      </c>
      <c r="N295" s="107">
        <f>O295+P295+Q295+R295+S295+T295</f>
        <v>125.779814207177</v>
      </c>
      <c r="O295" s="49">
        <v>14</v>
      </c>
      <c r="P295" s="49">
        <v>25</v>
      </c>
      <c r="Q295" s="49">
        <v>2</v>
      </c>
      <c r="R295" s="49">
        <v>39.5639132966824</v>
      </c>
      <c r="S295" s="49">
        <v>41.8247083422072</v>
      </c>
      <c r="T295" s="49">
        <v>3.39119256828707</v>
      </c>
      <c r="U295" s="49">
        <v>23</v>
      </c>
      <c r="V295" s="110">
        <f>((O295+R295)*100)/N295</f>
        <v>42.5854606594149</v>
      </c>
      <c r="W295" s="110">
        <f>((P295+S295)*100)/N295</f>
        <v>53.1283248933233</v>
      </c>
      <c r="X295" s="110">
        <f>((Q295+T295)*100)/N295</f>
        <v>4.28621444726181</v>
      </c>
    </row>
    <row r="296" spans="1:24" s="168" customFormat="1" ht="22.500000" customHeight="1">
      <c r="A296" s="34">
        <v>294</v>
      </c>
      <c r="B296" s="107">
        <f>C296+D296+E296+F296+G296+H296</f>
        <v>42.8687455007718</v>
      </c>
      <c r="C296" s="49">
        <v>14</v>
      </c>
      <c r="D296" s="49">
        <v>0</v>
      </c>
      <c r="E296" s="49">
        <v>4</v>
      </c>
      <c r="F296" s="49">
        <v>19.21675788696</v>
      </c>
      <c r="G296" s="49">
        <v>3.39119256828707</v>
      </c>
      <c r="H296" s="49">
        <v>2.26079504552471</v>
      </c>
      <c r="I296" s="78">
        <f>(100*B296)/N296</f>
        <v>18.9762264564665</v>
      </c>
      <c r="J296" s="110">
        <f>((C296+F296)*100)/B296</f>
        <v>77.4847910731654</v>
      </c>
      <c r="K296" s="110">
        <f>((D296+G296)*100)/B296</f>
        <v>7.91064102453387</v>
      </c>
      <c r="L296" s="110">
        <f>((E296+H296)*100)/B296</f>
        <v>14.6045679023007</v>
      </c>
      <c r="M296" s="111">
        <f>N296-B295</f>
        <v>196.082075481869</v>
      </c>
      <c r="N296" s="107">
        <f>O296+P296+Q296+R296+S296+T296</f>
        <v>225.907640800542</v>
      </c>
      <c r="O296" s="49">
        <v>30</v>
      </c>
      <c r="P296" s="49">
        <v>27</v>
      </c>
      <c r="Q296" s="49">
        <v>5</v>
      </c>
      <c r="R296" s="49">
        <v>62.1718637519296</v>
      </c>
      <c r="S296" s="49">
        <v>98.344584480325</v>
      </c>
      <c r="T296" s="49">
        <v>3.39119256828707</v>
      </c>
      <c r="U296" s="49">
        <v>25</v>
      </c>
      <c r="V296" s="110">
        <f>((O296+R296)*100)/N296</f>
        <v>40.8006844856168</v>
      </c>
      <c r="W296" s="110">
        <f>((P296+S296)*100)/N296</f>
        <v>55.4848804742263</v>
      </c>
      <c r="X296" s="110">
        <f>((Q296+T296)*100)/N296</f>
        <v>3.71443504015688</v>
      </c>
    </row>
    <row r="297" spans="1:24" s="168" customFormat="1" ht="22.500000" customHeight="1">
      <c r="A297" s="34">
        <v>295</v>
      </c>
      <c r="B297" s="107">
        <f>C297+D297+E297+F297+G297+H297</f>
        <v>11.1303975227624</v>
      </c>
      <c r="C297" s="49">
        <v>9</v>
      </c>
      <c r="D297" s="49">
        <v>0</v>
      </c>
      <c r="E297" s="49">
        <v>1</v>
      </c>
      <c r="F297" s="49">
        <v>1.13039752276235</v>
      </c>
      <c r="G297" s="49">
        <v>0</v>
      </c>
      <c r="H297" s="49">
        <v>0</v>
      </c>
      <c r="I297" s="78">
        <f>(100*B297)/N297</f>
        <v>9.25202685704119</v>
      </c>
      <c r="J297" s="110">
        <f>((C297+F297)*100)/B297</f>
        <v>91.0155949241261</v>
      </c>
      <c r="K297" s="110">
        <f>((D297+G297)*100)/B297</f>
        <v>0</v>
      </c>
      <c r="L297" s="110">
        <f>((E297+H297)*100)/B297</f>
        <v>8.98440507587387</v>
      </c>
      <c r="M297" s="111">
        <f>N297-B296</f>
        <v>77.4335157739201</v>
      </c>
      <c r="N297" s="107">
        <f>O297+P297+Q297+R297+S297+T297</f>
        <v>120.302261274692</v>
      </c>
      <c r="O297" s="49">
        <v>23</v>
      </c>
      <c r="P297" s="49">
        <v>29</v>
      </c>
      <c r="Q297" s="49">
        <v>5</v>
      </c>
      <c r="R297" s="49">
        <v>23.7383479780094</v>
      </c>
      <c r="S297" s="49">
        <v>38.4335157739201</v>
      </c>
      <c r="T297" s="49">
        <v>1.13039752276235</v>
      </c>
      <c r="U297" s="49">
        <v>23</v>
      </c>
      <c r="V297" s="110">
        <f>((O297+R297)*100)/N297</f>
        <v>38.8507643021685</v>
      </c>
      <c r="W297" s="110">
        <f>((P297+S297)*100)/N297</f>
        <v>56.0534066936165</v>
      </c>
      <c r="X297" s="110">
        <f>((Q297+T297)*100)/N297</f>
        <v>5.09582900421508</v>
      </c>
    </row>
    <row r="298" spans="1:24" s="168" customFormat="1" ht="22.500000" customHeight="1">
      <c r="A298" s="34">
        <v>296</v>
      </c>
      <c r="B298" s="107">
        <f>C298+D298+E298+F298+G298+H298</f>
        <v>12.6519876138118</v>
      </c>
      <c r="C298" s="49">
        <v>6</v>
      </c>
      <c r="D298" s="49">
        <v>1</v>
      </c>
      <c r="E298" s="49">
        <v>0</v>
      </c>
      <c r="F298" s="49">
        <v>4.52159009104942</v>
      </c>
      <c r="G298" s="49">
        <v>1.13039752276235</v>
      </c>
      <c r="H298" s="49">
        <v>0</v>
      </c>
      <c r="I298" s="78">
        <f>(100*B298)/N298</f>
        <v>6.68970954733561</v>
      </c>
      <c r="J298" s="110">
        <f>((C298+F298)*100)/B298</f>
        <v>83.1615585804347</v>
      </c>
      <c r="K298" s="110">
        <f>((D298+G298)*100)/B298</f>
        <v>16.8384414195653</v>
      </c>
      <c r="L298" s="110">
        <f>((E298+H298)*100)/B298</f>
        <v>0</v>
      </c>
      <c r="M298" s="111">
        <f>N298-B297</f>
        <v>177.995715117671</v>
      </c>
      <c r="N298" s="107">
        <f>O298+P298+Q298+R298+S298+T298</f>
        <v>189.126112640433</v>
      </c>
      <c r="O298" s="49">
        <v>24</v>
      </c>
      <c r="P298" s="49">
        <v>29</v>
      </c>
      <c r="Q298" s="49">
        <v>5</v>
      </c>
      <c r="R298" s="49">
        <v>58.7806711836425</v>
      </c>
      <c r="S298" s="49">
        <v>64.4326587974543</v>
      </c>
      <c r="T298" s="49">
        <v>7.91278265933649</v>
      </c>
      <c r="U298" s="49">
        <v>21</v>
      </c>
      <c r="V298" s="110">
        <f>((O298+R298)*100)/N298</f>
        <v>43.7700907758968</v>
      </c>
      <c r="W298" s="110">
        <f>((P298+S298)*100)/N298</f>
        <v>49.4023048922327</v>
      </c>
      <c r="X298" s="110">
        <f>((Q298+T298)*100)/N298</f>
        <v>6.82760433187049</v>
      </c>
    </row>
    <row r="299" spans="1:24" s="168" customFormat="1" ht="22.500000" customHeight="1">
      <c r="A299" s="34">
        <v>297</v>
      </c>
      <c r="B299" s="107">
        <f>C299+D299+E299+F299+G299+H299</f>
        <v>25.9127826593365</v>
      </c>
      <c r="C299" s="49">
        <v>16</v>
      </c>
      <c r="D299" s="49">
        <v>1</v>
      </c>
      <c r="E299" s="49">
        <v>1</v>
      </c>
      <c r="F299" s="49">
        <v>5.65198761381178</v>
      </c>
      <c r="G299" s="49">
        <v>2.26079504552471</v>
      </c>
      <c r="H299" s="49">
        <v>0</v>
      </c>
      <c r="I299" s="78">
        <f>(100*B299)/N299</f>
        <v>26.9684621984767</v>
      </c>
      <c r="J299" s="110">
        <f>((C299+F299)*100)/B299</f>
        <v>83.5571690561395</v>
      </c>
      <c r="K299" s="110">
        <f>((D299+G299)*100)/B299</f>
        <v>12.5837316987253</v>
      </c>
      <c r="L299" s="110">
        <f>((E299+H299)*100)/B299</f>
        <v>3.85909924513528</v>
      </c>
      <c r="M299" s="111">
        <f>N299-B298</f>
        <v>83.43351577392</v>
      </c>
      <c r="N299" s="107">
        <f>O299+P299+Q299+R299+S299+T299</f>
        <v>96.0855033877318</v>
      </c>
      <c r="O299" s="49">
        <v>17</v>
      </c>
      <c r="P299" s="49">
        <v>29</v>
      </c>
      <c r="Q299" s="49">
        <v>6</v>
      </c>
      <c r="R299" s="49">
        <v>13.5647702731482</v>
      </c>
      <c r="S299" s="49">
        <v>27.1295405462965</v>
      </c>
      <c r="T299" s="49">
        <v>3.39119256828707</v>
      </c>
      <c r="U299" s="49">
        <v>21</v>
      </c>
      <c r="V299" s="110">
        <f>((O299+R299)*100)/N299</f>
        <v>31.8099704903567</v>
      </c>
      <c r="W299" s="110">
        <f>((P299+S299)*100)/N299</f>
        <v>58.4162423750835</v>
      </c>
      <c r="X299" s="110">
        <f>((Q299+T299)*100)/N299</f>
        <v>9.77378713455972</v>
      </c>
    </row>
    <row r="300" spans="1:24" s="168" customFormat="1" ht="22.500000" customHeight="1">
      <c r="A300" s="34">
        <v>298</v>
      </c>
      <c r="B300" s="107">
        <f>C300+D300+E300+F300+G300+H300</f>
        <v>43.5207331145836</v>
      </c>
      <c r="C300" s="49">
        <v>8</v>
      </c>
      <c r="D300" s="49">
        <v>3</v>
      </c>
      <c r="E300" s="49">
        <v>2</v>
      </c>
      <c r="F300" s="49">
        <v>16.9559628414353</v>
      </c>
      <c r="G300" s="49">
        <v>9.04318018209885</v>
      </c>
      <c r="H300" s="49">
        <v>4.52159009104942</v>
      </c>
      <c r="I300" s="78">
        <f>(100*B300)/N300</f>
        <v>19.3355684688276</v>
      </c>
      <c r="J300" s="110">
        <f>((C300+F300)*100)/B300</f>
        <v>57.3426986529156</v>
      </c>
      <c r="K300" s="110">
        <f>((D300+G300)*100)/B300</f>
        <v>27.6722824277591</v>
      </c>
      <c r="L300" s="110">
        <f>((E300+H300)*100)/B300</f>
        <v>14.9850189193253</v>
      </c>
      <c r="M300" s="111">
        <f>N300-B299</f>
        <v>199.168435846066</v>
      </c>
      <c r="N300" s="107">
        <f>O300+P300+Q300+R300+S300+T300</f>
        <v>225.081218505403</v>
      </c>
      <c r="O300" s="49">
        <v>22</v>
      </c>
      <c r="P300" s="49">
        <v>24</v>
      </c>
      <c r="Q300" s="49">
        <v>5</v>
      </c>
      <c r="R300" s="49">
        <v>62.1718637519296</v>
      </c>
      <c r="S300" s="49">
        <v>97.2141869575626</v>
      </c>
      <c r="T300" s="49">
        <v>14.6951677959106</v>
      </c>
      <c r="U300" s="49">
        <v>26</v>
      </c>
      <c r="V300" s="110">
        <f>((O300+R300)*100)/N300</f>
        <v>37.3962182677224</v>
      </c>
      <c r="W300" s="110">
        <f>((P300+S300)*100)/N300</f>
        <v>53.8535324104143</v>
      </c>
      <c r="X300" s="110">
        <f>((Q300+T300)*100)/N300</f>
        <v>8.75024932186327</v>
      </c>
    </row>
    <row r="301" spans="1:24" s="168" customFormat="1" ht="22.500000" customHeight="1">
      <c r="A301" s="34">
        <v>299</v>
      </c>
      <c r="B301" s="107">
        <f>C301+D301+E301+F301+G301+H301</f>
        <v>46.3903355918212</v>
      </c>
      <c r="C301" s="49">
        <v>13</v>
      </c>
      <c r="D301" s="49">
        <v>1</v>
      </c>
      <c r="E301" s="49">
        <v>3</v>
      </c>
      <c r="F301" s="49">
        <v>27.1295405462965</v>
      </c>
      <c r="G301" s="49">
        <v>2.26079504552471</v>
      </c>
      <c r="H301" s="49">
        <v>0</v>
      </c>
      <c r="I301" s="78">
        <f>(100*B301)/N301</f>
        <v>20.6904247039519</v>
      </c>
      <c r="J301" s="110">
        <f>((C301+F301)*100)/B301</f>
        <v>86.5040962397597</v>
      </c>
      <c r="K301" s="110">
        <f>((D301+G301)*100)/B301</f>
        <v>7.02903957025825</v>
      </c>
      <c r="L301" s="110">
        <f>((E301+H301)*100)/B301</f>
        <v>6.46686418998209</v>
      </c>
      <c r="M301" s="111">
        <f>N301-B300</f>
        <v>180.690882913582</v>
      </c>
      <c r="N301" s="107">
        <f>O301+P301+Q301+R301+S301+T301</f>
        <v>224.211616028165</v>
      </c>
      <c r="O301" s="49">
        <v>18</v>
      </c>
      <c r="P301" s="49">
        <v>26</v>
      </c>
      <c r="Q301" s="49">
        <v>5</v>
      </c>
      <c r="R301" s="49">
        <v>48.6070934787813</v>
      </c>
      <c r="S301" s="49">
        <v>114.170149798998</v>
      </c>
      <c r="T301" s="49">
        <v>12.4343727503859</v>
      </c>
      <c r="U301" s="49">
        <v>27</v>
      </c>
      <c r="V301" s="110">
        <f>((O301+R301)*100)/N301</f>
        <v>29.707244726524</v>
      </c>
      <c r="W301" s="110">
        <f>((P301+S301)*100)/N301</f>
        <v>62.5168991161413</v>
      </c>
      <c r="X301" s="110">
        <f>((Q301+T301)*100)/N301</f>
        <v>7.77585615733478</v>
      </c>
    </row>
    <row r="302" spans="1:24" s="168" customFormat="1" ht="22.500000" customHeight="1">
      <c r="A302" s="34">
        <v>300</v>
      </c>
      <c r="B302" s="107">
        <f>C302+D302+E302+F302+G302+H302</f>
        <v>26.5647702731482</v>
      </c>
      <c r="C302" s="49">
        <v>11</v>
      </c>
      <c r="D302" s="49">
        <v>0</v>
      </c>
      <c r="E302" s="49">
        <v>2</v>
      </c>
      <c r="F302" s="49">
        <v>13.5647702731482</v>
      </c>
      <c r="G302" s="49">
        <v>0</v>
      </c>
      <c r="H302" s="49">
        <v>0</v>
      </c>
      <c r="I302" s="78">
        <f>(100*B302)/N302</f>
        <v>22.1940042836407</v>
      </c>
      <c r="J302" s="110">
        <f>((C302+F302)*100)/B302</f>
        <v>92.4712317123946</v>
      </c>
      <c r="K302" s="110">
        <f>((D302+G302)*100)/B302</f>
        <v>0</v>
      </c>
      <c r="L302" s="110">
        <f>((E302+H302)*100)/B302</f>
        <v>7.52876828760537</v>
      </c>
      <c r="M302" s="111">
        <f>N302-B301</f>
        <v>73.3031182511577</v>
      </c>
      <c r="N302" s="107">
        <f>O302+P302+Q302+R302+S302+T302</f>
        <v>119.693453842979</v>
      </c>
      <c r="O302" s="49">
        <v>23</v>
      </c>
      <c r="P302" s="49">
        <v>26</v>
      </c>
      <c r="Q302" s="49">
        <v>4</v>
      </c>
      <c r="R302" s="49">
        <v>23.7383479780094</v>
      </c>
      <c r="S302" s="49">
        <v>37.3031182511577</v>
      </c>
      <c r="T302" s="49">
        <v>5.65198761381178</v>
      </c>
      <c r="U302" s="49">
        <v>18</v>
      </c>
      <c r="V302" s="110">
        <f>((O302+R302)*100)/N302</f>
        <v>39.0483743909033</v>
      </c>
      <c r="W302" s="110">
        <f>((P302+S302)*100)/N302</f>
        <v>52.8877028932615</v>
      </c>
      <c r="X302" s="110">
        <f>((Q302+T302)*100)/N302</f>
        <v>8.06392271583527</v>
      </c>
    </row>
    <row r="303" spans="1:24" s="168" customFormat="1" ht="22.500000" customHeight="1">
      <c r="A303" s="34">
        <v>301</v>
      </c>
      <c r="B303" s="107">
        <f>C303+D303+E303+F303+G303+H303</f>
        <v>0</v>
      </c>
      <c r="C303" s="49">
        <v>0</v>
      </c>
      <c r="D303" s="49">
        <v>0</v>
      </c>
      <c r="E303" s="49">
        <v>0</v>
      </c>
      <c r="F303" s="49">
        <v>0</v>
      </c>
      <c r="G303" s="49">
        <v>0</v>
      </c>
      <c r="H303" s="49">
        <v>0</v>
      </c>
      <c r="I303" s="78">
        <f>(100*B303)/N303</f>
        <v>0</v>
      </c>
      <c r="J303" s="110" t="e">
        <f>((C303+F303)*100)/B303</f>
        <v>#DIV/0!</v>
      </c>
      <c r="K303" s="110" t="e">
        <f>((D303+G303)*100)/B303</f>
        <v>#DIV/0!</v>
      </c>
      <c r="L303" s="110" t="e">
        <f>((E303+H303)*100)/B303</f>
        <v>#DIV/0!</v>
      </c>
      <c r="M303" s="111">
        <f>N303-B302</f>
        <v>29.4352297268518</v>
      </c>
      <c r="N303" s="107">
        <f>O303+P303+Q303+R303+S303+T303</f>
        <v>56</v>
      </c>
      <c r="O303" s="49">
        <v>26</v>
      </c>
      <c r="P303" s="49">
        <v>26</v>
      </c>
      <c r="Q303" s="49">
        <v>4</v>
      </c>
      <c r="R303" s="49">
        <v>0</v>
      </c>
      <c r="S303" s="49">
        <v>0</v>
      </c>
      <c r="T303" s="49">
        <v>0</v>
      </c>
      <c r="U303" s="49">
        <v>12</v>
      </c>
      <c r="V303" s="110">
        <f>((O303+R303)*100)/N303</f>
        <v>46.4285714285714</v>
      </c>
      <c r="W303" s="110">
        <f>((P303+S303)*100)/N303</f>
        <v>46.4285714285714</v>
      </c>
      <c r="X303" s="110">
        <f>((Q303+T303)*100)/N303</f>
        <v>7.14285714285714</v>
      </c>
    </row>
    <row r="304" spans="1:24" s="168" customFormat="1" ht="22.500000" customHeight="1">
      <c r="A304" s="34">
        <v>302</v>
      </c>
      <c r="B304" s="107">
        <f>C304+D304+E304+F304+G304+H304</f>
        <v>0</v>
      </c>
      <c r="C304" s="49">
        <v>0</v>
      </c>
      <c r="D304" s="49">
        <v>0</v>
      </c>
      <c r="E304" s="49">
        <v>0</v>
      </c>
      <c r="F304" s="49">
        <v>0</v>
      </c>
      <c r="G304" s="49">
        <v>0</v>
      </c>
      <c r="H304" s="49">
        <v>0</v>
      </c>
      <c r="I304" s="78">
        <f>(100*B304)/N304</f>
        <v>0</v>
      </c>
      <c r="J304" s="110" t="e">
        <f>((C304+F304)*100)/B304</f>
        <v>#DIV/0!</v>
      </c>
      <c r="K304" s="110" t="e">
        <f>((D304+G304)*100)/B304</f>
        <v>#DIV/0!</v>
      </c>
      <c r="L304" s="110" t="e">
        <f>((E304+H304)*100)/B304</f>
        <v>#DIV/0!</v>
      </c>
      <c r="M304" s="111">
        <f>N304-B303</f>
        <v>108.259081092593</v>
      </c>
      <c r="N304" s="107">
        <f>O304+P304+Q304+R304+S304+T304</f>
        <v>108.259081092593</v>
      </c>
      <c r="O304" s="49">
        <v>24</v>
      </c>
      <c r="P304" s="49">
        <v>26</v>
      </c>
      <c r="Q304" s="49">
        <v>4</v>
      </c>
      <c r="R304" s="49">
        <v>19.21675788696</v>
      </c>
      <c r="S304" s="49">
        <v>32.7815281601083</v>
      </c>
      <c r="T304" s="49">
        <v>2.26079504552471</v>
      </c>
      <c r="U304" s="49">
        <v>16</v>
      </c>
      <c r="V304" s="110">
        <f>((O304+R304)*100)/N304</f>
        <v>39.9197531059746</v>
      </c>
      <c r="W304" s="110">
        <f>((P304+S304)*100)/N304</f>
        <v>54.297087659402</v>
      </c>
      <c r="X304" s="110">
        <f>((Q304+T304)*100)/N304</f>
        <v>5.78315923462338</v>
      </c>
    </row>
    <row r="305" spans="1:24" s="168" customFormat="1" ht="22.500000" customHeight="1">
      <c r="A305" s="34">
        <v>303</v>
      </c>
      <c r="B305" s="107">
        <f>C305+D305+E305+F305+G305+H305</f>
        <v>16.1735777048612</v>
      </c>
      <c r="C305" s="49">
        <v>2</v>
      </c>
      <c r="D305" s="49">
        <v>3</v>
      </c>
      <c r="E305" s="49">
        <v>1</v>
      </c>
      <c r="F305" s="49">
        <v>3.39119256828707</v>
      </c>
      <c r="G305" s="49">
        <v>4.52159009104942</v>
      </c>
      <c r="H305" s="49">
        <v>2.26079504552471</v>
      </c>
      <c r="I305" s="78">
        <f>(100*B305)/N305</f>
        <v>7.73391891548943</v>
      </c>
      <c r="J305" s="110">
        <f>((C305+F305)*100)/B305</f>
        <v>33.3333333333334</v>
      </c>
      <c r="K305" s="110">
        <f>((D305+G305)*100)/B305</f>
        <v>46.5054190748946</v>
      </c>
      <c r="L305" s="110">
        <f>((E305+H305)*100)/B305</f>
        <v>20.1612475917721</v>
      </c>
      <c r="M305" s="111">
        <f>N305-B304</f>
        <v>209.125255663968</v>
      </c>
      <c r="N305" s="107">
        <f>O305+P305+Q305+R305+S305+T305</f>
        <v>209.125255663968</v>
      </c>
      <c r="O305" s="49">
        <v>22</v>
      </c>
      <c r="P305" s="49">
        <v>26</v>
      </c>
      <c r="Q305" s="49">
        <v>4</v>
      </c>
      <c r="R305" s="49">
        <v>61.0414662291672</v>
      </c>
      <c r="S305" s="49">
        <v>85.9102117299391</v>
      </c>
      <c r="T305" s="49">
        <v>10.1735777048612</v>
      </c>
      <c r="U305" s="49">
        <v>23</v>
      </c>
      <c r="V305" s="110">
        <f>((O305+R305)*100)/N305</f>
        <v>39.708961007848</v>
      </c>
      <c r="W305" s="110">
        <f>((P305+S305)*100)/N305</f>
        <v>53.5134847173896</v>
      </c>
      <c r="X305" s="110">
        <f>((Q305+T305)*100)/N305</f>
        <v>6.77755427476248</v>
      </c>
    </row>
    <row r="306" spans="1:24" s="168" customFormat="1" ht="22.500000" customHeight="1">
      <c r="A306" s="34">
        <v>304</v>
      </c>
      <c r="B306" s="107">
        <f>C306+D306+E306+F306+G306+H306</f>
        <v>64.9551058649695</v>
      </c>
      <c r="C306" s="49">
        <v>14</v>
      </c>
      <c r="D306" s="49">
        <v>7</v>
      </c>
      <c r="E306" s="49">
        <v>1</v>
      </c>
      <c r="F306" s="49">
        <v>24.8687455007718</v>
      </c>
      <c r="G306" s="49">
        <v>18.0863603641977</v>
      </c>
      <c r="H306" s="49">
        <v>0</v>
      </c>
      <c r="I306" s="78">
        <f>(100*B306)/N306</f>
        <v>15.2496219702427</v>
      </c>
      <c r="J306" s="110">
        <f>((C306+F306)*100)/B306</f>
        <v>59.8393998180424</v>
      </c>
      <c r="K306" s="110">
        <f>((D306+G306)*100)/B306</f>
        <v>38.6210753260074</v>
      </c>
      <c r="L306" s="110">
        <f>((E306+H306)*100)/B306</f>
        <v>1.53952485595024</v>
      </c>
      <c r="M306" s="111">
        <f>N306-B305</f>
        <v>409.772101418984</v>
      </c>
      <c r="N306" s="107">
        <f>O306+P306+Q306+R306+S306+T306</f>
        <v>425.945679123845</v>
      </c>
      <c r="O306" s="49">
        <v>53</v>
      </c>
      <c r="P306" s="49">
        <v>35</v>
      </c>
      <c r="Q306" s="49">
        <v>9</v>
      </c>
      <c r="R306" s="49">
        <v>155.994858141205</v>
      </c>
      <c r="S306" s="49">
        <v>144.690882913581</v>
      </c>
      <c r="T306" s="49">
        <v>28.2599380690589</v>
      </c>
      <c r="U306" s="49">
        <v>26</v>
      </c>
      <c r="V306" s="110">
        <f>((O306+R306)*100)/N306</f>
        <v>49.0660824570635</v>
      </c>
      <c r="W306" s="110">
        <f>((P306+S306)*100)/N306</f>
        <v>42.1863377703933</v>
      </c>
      <c r="X306" s="110">
        <f>((Q306+T306)*100)/N306</f>
        <v>8.74757977254313</v>
      </c>
    </row>
    <row r="307" spans="1:24" s="168" customFormat="1" ht="22.500000" customHeight="1">
      <c r="A307" s="34">
        <v>305</v>
      </c>
      <c r="B307" s="107">
        <f>C307+D307+E307+F307+G307+H307</f>
        <v>8.26079504552471</v>
      </c>
      <c r="C307" s="49">
        <v>6</v>
      </c>
      <c r="D307" s="49">
        <v>0</v>
      </c>
      <c r="E307" s="49">
        <v>0</v>
      </c>
      <c r="F307" s="49">
        <v>2.26079504552471</v>
      </c>
      <c r="G307" s="49">
        <v>0</v>
      </c>
      <c r="H307" s="49">
        <v>0</v>
      </c>
      <c r="I307" s="78">
        <f>(100*B307)/N307</f>
        <v>6.33333771347782</v>
      </c>
      <c r="J307" s="110">
        <f>((C307+F307)*100)/B307</f>
        <v>100</v>
      </c>
      <c r="K307" s="110">
        <f>((D307+G307)*100)/B307</f>
        <v>0</v>
      </c>
      <c r="L307" s="110">
        <f>((E307+H307)*100)/B307</f>
        <v>0</v>
      </c>
      <c r="M307" s="111">
        <f>N307-B306</f>
        <v>65.4784099089505</v>
      </c>
      <c r="N307" s="107">
        <f>O307+P307+Q307+R307+S307+T307</f>
        <v>130.43351577392</v>
      </c>
      <c r="O307" s="49">
        <v>47</v>
      </c>
      <c r="P307" s="49">
        <v>36</v>
      </c>
      <c r="Q307" s="49">
        <v>9</v>
      </c>
      <c r="R307" s="49">
        <v>15.8255653186729</v>
      </c>
      <c r="S307" s="49">
        <v>19.21675788696</v>
      </c>
      <c r="T307" s="49">
        <v>3.39119256828707</v>
      </c>
      <c r="U307" s="49">
        <v>17</v>
      </c>
      <c r="V307" s="110">
        <f>((O307+R307)*100)/N307</f>
        <v>48.1667345589061</v>
      </c>
      <c r="W307" s="110">
        <f>((P307+S307)*100)/N307</f>
        <v>42.3332588708772</v>
      </c>
      <c r="X307" s="110">
        <f>((Q307+T307)*100)/N307</f>
        <v>9.50000657021673</v>
      </c>
    </row>
    <row r="308" spans="1:24" s="168" customFormat="1" ht="22.500000" customHeight="1">
      <c r="A308" s="34">
        <v>306</v>
      </c>
      <c r="B308" s="107">
        <f>C308+D308+E308+F308+G308+H308</f>
        <v>8.39119256828707</v>
      </c>
      <c r="C308" s="49">
        <v>3</v>
      </c>
      <c r="D308" s="49">
        <v>0</v>
      </c>
      <c r="E308" s="49">
        <v>2</v>
      </c>
      <c r="F308" s="49">
        <v>3.39119256828707</v>
      </c>
      <c r="G308" s="49">
        <v>0</v>
      </c>
      <c r="H308" s="49">
        <v>0</v>
      </c>
      <c r="I308" s="78">
        <f>(100*B308)/N308</f>
        <v>4.93228693759986</v>
      </c>
      <c r="J308" s="110">
        <f>((C308+F308)*100)/B308</f>
        <v>76.1654856121569</v>
      </c>
      <c r="K308" s="110">
        <f>((D308+G308)*100)/B308</f>
        <v>0</v>
      </c>
      <c r="L308" s="110">
        <f>((E308+H308)*100)/B308</f>
        <v>23.8345143878431</v>
      </c>
      <c r="M308" s="111">
        <f>N308-B307</f>
        <v>161.86703154784</v>
      </c>
      <c r="N308" s="107">
        <f>O308+P308+Q308+R308+S308+T308</f>
        <v>170.127826593365</v>
      </c>
      <c r="O308" s="49">
        <v>48</v>
      </c>
      <c r="P308" s="49">
        <v>36</v>
      </c>
      <c r="Q308" s="49">
        <v>7</v>
      </c>
      <c r="R308" s="49">
        <v>31.6511306373459</v>
      </c>
      <c r="S308" s="49">
        <v>39.5639132966824</v>
      </c>
      <c r="T308" s="49">
        <v>7.91278265933649</v>
      </c>
      <c r="U308" s="49">
        <v>25</v>
      </c>
      <c r="V308" s="110">
        <f>((O308+R308)*100)/N308</f>
        <v>46.8184025107933</v>
      </c>
      <c r="W308" s="110">
        <f>((P308+S308)*100)/N308</f>
        <v>44.4159634609883</v>
      </c>
      <c r="X308" s="110">
        <f>((Q308+T308)*100)/N308</f>
        <v>8.76563402821847</v>
      </c>
    </row>
    <row r="309" spans="1:24" s="168" customFormat="1" ht="22.500000" customHeight="1">
      <c r="A309" s="34">
        <v>307</v>
      </c>
      <c r="B309" s="107">
        <f>C309+D309+E309+F309+G309+H309</f>
        <v>29.6951677959106</v>
      </c>
      <c r="C309" s="49">
        <v>7</v>
      </c>
      <c r="D309" s="49">
        <v>2</v>
      </c>
      <c r="E309" s="49">
        <v>6</v>
      </c>
      <c r="F309" s="49">
        <v>7.91278265933649</v>
      </c>
      <c r="G309" s="49">
        <v>0</v>
      </c>
      <c r="H309" s="49">
        <v>6.78238513657414</v>
      </c>
      <c r="I309" s="78">
        <f>(100*B309)/N309</f>
        <v>7.25753464015138</v>
      </c>
      <c r="J309" s="110">
        <f>((C309+F309)*100)/B309</f>
        <v>50.219560171639</v>
      </c>
      <c r="K309" s="110">
        <f>((D309+G309)*100)/B309</f>
        <v>6.73510253838479</v>
      </c>
      <c r="L309" s="110">
        <f>((E309+H309)*100)/B309</f>
        <v>43.0453372899763</v>
      </c>
      <c r="M309" s="111">
        <f>N309-B308</f>
        <v>400.772101418984</v>
      </c>
      <c r="N309" s="107">
        <f>O309+P309+Q309+R309+S309+T309</f>
        <v>409.163293987271</v>
      </c>
      <c r="O309" s="49">
        <v>47</v>
      </c>
      <c r="P309" s="49">
        <v>33</v>
      </c>
      <c r="Q309" s="49">
        <v>7</v>
      </c>
      <c r="R309" s="49">
        <v>184.254796210264</v>
      </c>
      <c r="S309" s="49">
        <v>114.170149798998</v>
      </c>
      <c r="T309" s="49">
        <v>23.7383479780094</v>
      </c>
      <c r="U309" s="49">
        <v>25</v>
      </c>
      <c r="V309" s="110">
        <f>((O309+R309)*100)/N309</f>
        <v>56.5189496732955</v>
      </c>
      <c r="W309" s="110">
        <f>((P309+S309)*100)/N309</f>
        <v>35.9685611983504</v>
      </c>
      <c r="X309" s="110">
        <f>((Q309+T309)*100)/N309</f>
        <v>7.51248912835413</v>
      </c>
    </row>
    <row r="310" spans="1:24" s="168" customFormat="1" ht="22.500000" customHeight="1">
      <c r="A310" s="34">
        <v>308</v>
      </c>
      <c r="B310" s="107">
        <f>C310+D310+E310+F310+G310+H310</f>
        <v>7.13039752276235</v>
      </c>
      <c r="C310" s="49">
        <v>6</v>
      </c>
      <c r="D310" s="49">
        <v>0</v>
      </c>
      <c r="E310" s="49">
        <v>0</v>
      </c>
      <c r="F310" s="49">
        <v>1.13039752276235</v>
      </c>
      <c r="G310" s="49">
        <v>0</v>
      </c>
      <c r="H310" s="49">
        <v>0</v>
      </c>
      <c r="I310" s="78">
        <f>(100*B310)/N310</f>
        <v>6.93445983074744</v>
      </c>
      <c r="J310" s="110">
        <f>((C310+F310)*100)/B310</f>
        <v>100</v>
      </c>
      <c r="K310" s="110">
        <f>((D310+G310)*100)/B310</f>
        <v>0</v>
      </c>
      <c r="L310" s="110">
        <f>((E310+H310)*100)/B310</f>
        <v>0</v>
      </c>
      <c r="M310" s="111">
        <f>N310-B309</f>
        <v>73.1303975227624</v>
      </c>
      <c r="N310" s="107">
        <f>O310+P310+Q310+R310+S310+T310</f>
        <v>102.825565318673</v>
      </c>
      <c r="O310" s="49">
        <v>46</v>
      </c>
      <c r="P310" s="49">
        <v>33</v>
      </c>
      <c r="Q310" s="49">
        <v>8</v>
      </c>
      <c r="R310" s="49">
        <v>4.52159009104942</v>
      </c>
      <c r="S310" s="49">
        <v>9.04318018209885</v>
      </c>
      <c r="T310" s="49">
        <v>2.26079504552471</v>
      </c>
      <c r="U310" s="49">
        <v>11</v>
      </c>
      <c r="V310" s="110">
        <f>((O310+R310)*100)/N310</f>
        <v>49.1332966995852</v>
      </c>
      <c r="W310" s="110">
        <f>((P310+S310)*100)/N310</f>
        <v>40.8878667983009</v>
      </c>
      <c r="X310" s="110">
        <f>((Q310+T310)*100)/N310</f>
        <v>9.9788365021139</v>
      </c>
    </row>
    <row r="311" spans="1:24" s="168" customFormat="1" ht="22.500000" customHeight="1">
      <c r="A311" s="34">
        <v>309</v>
      </c>
      <c r="B311" s="107">
        <f>C311+D311+E311+F311+G311+H311</f>
        <v>24.9127826593365</v>
      </c>
      <c r="C311" s="49">
        <v>14</v>
      </c>
      <c r="D311" s="49">
        <v>1</v>
      </c>
      <c r="E311" s="49">
        <v>2</v>
      </c>
      <c r="F311" s="49">
        <v>4.52159009104942</v>
      </c>
      <c r="G311" s="49">
        <v>1.13039752276235</v>
      </c>
      <c r="H311" s="49">
        <v>2.26079504552471</v>
      </c>
      <c r="I311" s="78">
        <f>(100*B311)/N311</f>
        <v>15.3332229676756</v>
      </c>
      <c r="J311" s="110">
        <f>((C311+F311)*100)/B311</f>
        <v>74.3457298380442</v>
      </c>
      <c r="K311" s="110">
        <f>((D311+G311)*100)/B311</f>
        <v>8.55142338731859</v>
      </c>
      <c r="L311" s="110">
        <f>((E311+H311)*100)/B311</f>
        <v>17.1028467746372</v>
      </c>
      <c r="M311" s="111">
        <f>N311-B310</f>
        <v>155.345441456791</v>
      </c>
      <c r="N311" s="107">
        <f>O311+P311+Q311+R311+S311+T311</f>
        <v>162.475838979553</v>
      </c>
      <c r="O311" s="49">
        <v>49</v>
      </c>
      <c r="P311" s="49">
        <v>32</v>
      </c>
      <c r="Q311" s="49">
        <v>8</v>
      </c>
      <c r="R311" s="49">
        <v>25.9991430235342</v>
      </c>
      <c r="S311" s="49">
        <v>45.2159009104942</v>
      </c>
      <c r="T311" s="49">
        <v>2.26079504552471</v>
      </c>
      <c r="U311" s="49">
        <v>17</v>
      </c>
      <c r="V311" s="110">
        <f>((O311+R311)*100)/N311</f>
        <v>46.1601820274167</v>
      </c>
      <c r="W311" s="110">
        <f>((P311+S311)*100)/N311</f>
        <v>47.5245435847305</v>
      </c>
      <c r="X311" s="110">
        <f>((Q311+T311)*100)/N311</f>
        <v>6.31527438785282</v>
      </c>
    </row>
    <row r="312" spans="1:24" s="168" customFormat="1" ht="22.500000" customHeight="1">
      <c r="A312" s="34">
        <v>310</v>
      </c>
      <c r="B312" s="107">
        <f>C312+D312+E312+F312+G312+H312</f>
        <v>9.13039752276235</v>
      </c>
      <c r="C312" s="49">
        <v>8</v>
      </c>
      <c r="D312" s="49">
        <v>0</v>
      </c>
      <c r="E312" s="49">
        <v>0</v>
      </c>
      <c r="F312" s="49">
        <v>1.13039752276235</v>
      </c>
      <c r="G312" s="49">
        <v>0</v>
      </c>
      <c r="H312" s="49">
        <v>0</v>
      </c>
      <c r="I312" s="78">
        <f>(100*B312)/N312</f>
        <v>4.61139171562088</v>
      </c>
      <c r="J312" s="110">
        <f>((C312+F312)*100)/B312</f>
        <v>100</v>
      </c>
      <c r="K312" s="110">
        <f>((D312+G312)*100)/B312</f>
        <v>0</v>
      </c>
      <c r="L312" s="110">
        <f>((E312+H312)*100)/B312</f>
        <v>0</v>
      </c>
      <c r="M312" s="111">
        <f>N312-B311</f>
        <v>173.0837894348</v>
      </c>
      <c r="N312" s="107">
        <f>O312+P312+Q312+R312+S312+T312</f>
        <v>197.996572094137</v>
      </c>
      <c r="O312" s="49">
        <v>54</v>
      </c>
      <c r="P312" s="49">
        <v>32</v>
      </c>
      <c r="Q312" s="49">
        <v>8</v>
      </c>
      <c r="R312" s="49">
        <v>57.6502736608802</v>
      </c>
      <c r="S312" s="49">
        <v>38.4335157739201</v>
      </c>
      <c r="T312" s="49">
        <v>7.91278265933649</v>
      </c>
      <c r="U312" s="49">
        <v>18</v>
      </c>
      <c r="V312" s="110">
        <f>((O312+R312)*100)/N312</f>
        <v>56.3900033621776</v>
      </c>
      <c r="W312" s="110">
        <f>((P312+S312)*100)/N312</f>
        <v>35.5730985789152</v>
      </c>
      <c r="X312" s="110">
        <f>((Q312+T312)*100)/N312</f>
        <v>8.03689805890721</v>
      </c>
    </row>
    <row r="313" spans="1:24" s="168" customFormat="1" ht="22.500000" customHeight="1">
      <c r="A313" s="34">
        <v>311</v>
      </c>
      <c r="B313" s="107">
        <f>C313+D313+E313+F313+G313+H313</f>
        <v>4.13039752276235</v>
      </c>
      <c r="C313" s="49">
        <v>3</v>
      </c>
      <c r="D313" s="49">
        <v>0</v>
      </c>
      <c r="E313" s="49">
        <v>0</v>
      </c>
      <c r="F313" s="49">
        <v>1.13039752276235</v>
      </c>
      <c r="G313" s="49">
        <v>0</v>
      </c>
      <c r="H313" s="49">
        <v>0</v>
      </c>
      <c r="I313" s="78">
        <f>(100*B313)/N313</f>
        <v>1.65363244007338</v>
      </c>
      <c r="J313" s="110">
        <f>((C313+F313)*100)/B313</f>
        <v>100</v>
      </c>
      <c r="K313" s="110">
        <f>((D313+G313)*100)/B313</f>
        <v>0</v>
      </c>
      <c r="L313" s="110">
        <f>((E313+H313)*100)/B313</f>
        <v>0</v>
      </c>
      <c r="M313" s="111">
        <f>N313-B312</f>
        <v>240.646845755017</v>
      </c>
      <c r="N313" s="107">
        <f>O313+P313+Q313+R313+S313+T313</f>
        <v>249.777243277779</v>
      </c>
      <c r="O313" s="49">
        <v>47</v>
      </c>
      <c r="P313" s="49">
        <v>32</v>
      </c>
      <c r="Q313" s="49">
        <v>8</v>
      </c>
      <c r="R313" s="49">
        <v>80.2582241161273</v>
      </c>
      <c r="S313" s="49">
        <v>63.3022612746919</v>
      </c>
      <c r="T313" s="49">
        <v>19.21675788696</v>
      </c>
      <c r="U313" s="49">
        <v>17</v>
      </c>
      <c r="V313" s="110">
        <f>((O313+R313)*100)/N313</f>
        <v>50.9486862958938</v>
      </c>
      <c r="W313" s="110">
        <f>((P313+S313)*100)/N313</f>
        <v>38.1549015531033</v>
      </c>
      <c r="X313" s="110">
        <f>((Q313+T313)*100)/N313</f>
        <v>10.8964121510029</v>
      </c>
    </row>
    <row r="314" spans="1:24" s="168" customFormat="1" ht="22.500000" customHeight="1">
      <c r="A314" s="34">
        <v>312</v>
      </c>
      <c r="B314" s="107">
        <f>C314+D314+E314+F314+G314+H314</f>
        <v>15.6519876138118</v>
      </c>
      <c r="C314" s="49">
        <v>10</v>
      </c>
      <c r="D314" s="49">
        <v>0</v>
      </c>
      <c r="E314" s="49">
        <v>0</v>
      </c>
      <c r="F314" s="49">
        <v>5.65198761381178</v>
      </c>
      <c r="G314" s="49">
        <v>0</v>
      </c>
      <c r="H314" s="49">
        <v>0</v>
      </c>
      <c r="I314" s="78">
        <f>(100*B314)/N314</f>
        <v>8.64973430363785</v>
      </c>
      <c r="J314" s="110">
        <f>((C314+F314)*100)/B314</f>
        <v>100</v>
      </c>
      <c r="K314" s="110">
        <f>((D314+G314)*100)/B314</f>
        <v>0</v>
      </c>
      <c r="L314" s="110">
        <f>((E314+H314)*100)/B314</f>
        <v>0</v>
      </c>
      <c r="M314" s="111">
        <f>N314-B313</f>
        <v>176.822994389276</v>
      </c>
      <c r="N314" s="107">
        <f>O314+P314+Q314+R314+S314+T314</f>
        <v>180.953391912038</v>
      </c>
      <c r="O314" s="49">
        <v>45</v>
      </c>
      <c r="P314" s="49">
        <v>32</v>
      </c>
      <c r="Q314" s="49">
        <v>9</v>
      </c>
      <c r="R314" s="49">
        <v>48.6070934787813</v>
      </c>
      <c r="S314" s="49">
        <v>37.3031182511577</v>
      </c>
      <c r="T314" s="49">
        <v>9.04318018209885</v>
      </c>
      <c r="U314" s="49">
        <v>15</v>
      </c>
      <c r="V314" s="110">
        <f>((O314+R314)*100)/N314</f>
        <v>51.7299468607276</v>
      </c>
      <c r="W314" s="110">
        <f>((P314+S314)*100)/N314</f>
        <v>38.298877693791</v>
      </c>
      <c r="X314" s="110">
        <f>((Q314+T314)*100)/N314</f>
        <v>9.9711754454814</v>
      </c>
    </row>
    <row r="315" spans="1:24" s="168" customFormat="1" ht="22.500000" customHeight="1">
      <c r="A315" s="34">
        <v>313</v>
      </c>
      <c r="B315" s="107">
        <f>C315+D315+E315+F315+G315+H315</f>
        <v>10.2607950455247</v>
      </c>
      <c r="C315" s="49">
        <v>4</v>
      </c>
      <c r="D315" s="49">
        <v>3</v>
      </c>
      <c r="E315" s="49">
        <v>1</v>
      </c>
      <c r="F315" s="49">
        <v>1.13039752276235</v>
      </c>
      <c r="G315" s="49">
        <v>0</v>
      </c>
      <c r="H315" s="49">
        <v>1.13039752276235</v>
      </c>
      <c r="I315" s="78">
        <f>(100*B315)/N315</f>
        <v>5.02882155612172</v>
      </c>
      <c r="J315" s="110">
        <f>((C315+F315)*100)/B315</f>
        <v>50</v>
      </c>
      <c r="K315" s="110">
        <f>((D315+G315)*100)/B315</f>
        <v>29.2375004733036</v>
      </c>
      <c r="L315" s="110">
        <f>((E315+H315)*100)/B315</f>
        <v>20.7624995266964</v>
      </c>
      <c r="M315" s="111">
        <f>N315-B314</f>
        <v>188.387764662424</v>
      </c>
      <c r="N315" s="107">
        <f>O315+P315+Q315+R315+S315+T315</f>
        <v>204.039752276236</v>
      </c>
      <c r="O315" s="49">
        <v>51</v>
      </c>
      <c r="P315" s="49">
        <v>32</v>
      </c>
      <c r="Q315" s="49">
        <v>8</v>
      </c>
      <c r="R315" s="49">
        <v>48.6070934787813</v>
      </c>
      <c r="S315" s="49">
        <v>45.2159009104942</v>
      </c>
      <c r="T315" s="49">
        <v>19.21675788696</v>
      </c>
      <c r="U315" s="49">
        <v>19</v>
      </c>
      <c r="V315" s="110">
        <f>((O315+R315)*100)/N315</f>
        <v>48.8174938302856</v>
      </c>
      <c r="W315" s="110">
        <f>((P315+S315)*100)/N315</f>
        <v>37.8435574681334</v>
      </c>
      <c r="X315" s="110">
        <f>((Q315+T315)*100)/N315</f>
        <v>13.338948701581</v>
      </c>
    </row>
    <row r="316" spans="1:24" s="168" customFormat="1" ht="22.500000" customHeight="1">
      <c r="A316" s="34">
        <v>314</v>
      </c>
      <c r="B316" s="107">
        <f>C316+D316+E316+F316+G316+H316</f>
        <v>27.0863603641976</v>
      </c>
      <c r="C316" s="49">
        <v>1</v>
      </c>
      <c r="D316" s="49">
        <v>5</v>
      </c>
      <c r="E316" s="49">
        <v>3</v>
      </c>
      <c r="F316" s="49">
        <v>0</v>
      </c>
      <c r="G316" s="49">
        <v>13.5647702731482</v>
      </c>
      <c r="H316" s="49">
        <v>4.52159009104942</v>
      </c>
      <c r="I316" s="78">
        <f>(100*B316)/N316</f>
        <v>9.41229428596588</v>
      </c>
      <c r="J316" s="110">
        <f>((C316+F316)*100)/B316</f>
        <v>3.69189505918922</v>
      </c>
      <c r="K316" s="110">
        <f>((D316+G316)*100)/B316</f>
        <v>68.5391836464188</v>
      </c>
      <c r="L316" s="110">
        <f>((E316+H316)*100)/B316</f>
        <v>27.768921294392</v>
      </c>
      <c r="M316" s="111">
        <f>N316-B315</f>
        <v>277.515591255789</v>
      </c>
      <c r="N316" s="107">
        <f>O316+P316+Q316+R316+S316+T316</f>
        <v>287.776386301313</v>
      </c>
      <c r="O316" s="49">
        <v>55</v>
      </c>
      <c r="P316" s="49">
        <v>31</v>
      </c>
      <c r="Q316" s="49">
        <v>13</v>
      </c>
      <c r="R316" s="49">
        <v>94.9533919120379</v>
      </c>
      <c r="S316" s="49">
        <v>76.8670315478402</v>
      </c>
      <c r="T316" s="49">
        <v>16.9559628414353</v>
      </c>
      <c r="U316" s="49">
        <v>18</v>
      </c>
      <c r="V316" s="110">
        <f>((O316+R316)*100)/N316</f>
        <v>52.1076082159954</v>
      </c>
      <c r="W316" s="110">
        <f>((P316+S316)*100)/N316</f>
        <v>37.4829335145307</v>
      </c>
      <c r="X316" s="110">
        <f>((Q316+T316)*100)/N316</f>
        <v>10.4094582694739</v>
      </c>
    </row>
    <row r="317" spans="1:24" s="168" customFormat="1" ht="22.500000" customHeight="1">
      <c r="A317" s="34">
        <v>315</v>
      </c>
      <c r="B317" s="107">
        <f>C317+D317+E317+F317+G317+H317</f>
        <v>28.6951677959106</v>
      </c>
      <c r="C317" s="49">
        <v>13</v>
      </c>
      <c r="D317" s="49">
        <v>0</v>
      </c>
      <c r="E317" s="49">
        <v>1</v>
      </c>
      <c r="F317" s="49">
        <v>14.6951677959106</v>
      </c>
      <c r="G317" s="49">
        <v>0</v>
      </c>
      <c r="H317" s="49">
        <v>0</v>
      </c>
      <c r="I317" s="78">
        <f>(100*B317)/N317</f>
        <v>12.2882403812696</v>
      </c>
      <c r="J317" s="110">
        <f>((C317+F317)*100)/B317</f>
        <v>96.5150926904755</v>
      </c>
      <c r="K317" s="110">
        <f>((D317+G317)*100)/B317</f>
        <v>0</v>
      </c>
      <c r="L317" s="110">
        <f>((E317+H317)*100)/B317</f>
        <v>3.48490730952447</v>
      </c>
      <c r="M317" s="111">
        <f>N317-B316</f>
        <v>206.430944844523</v>
      </c>
      <c r="N317" s="107">
        <f>O317+P317+Q317+R317+S317+T317</f>
        <v>233.51730520872</v>
      </c>
      <c r="O317" s="49">
        <v>53</v>
      </c>
      <c r="P317" s="49">
        <v>32</v>
      </c>
      <c r="Q317" s="49">
        <v>14</v>
      </c>
      <c r="R317" s="49">
        <v>81.3886216388896</v>
      </c>
      <c r="S317" s="49">
        <v>36.1727207283954</v>
      </c>
      <c r="T317" s="49">
        <v>16.9559628414353</v>
      </c>
      <c r="U317" s="49">
        <v>17</v>
      </c>
      <c r="V317" s="110">
        <f>((O317+R317)*100)/N317</f>
        <v>57.549748408912</v>
      </c>
      <c r="W317" s="110">
        <f>((P317+S317)*100)/N317</f>
        <v>29.1938623852574</v>
      </c>
      <c r="X317" s="110">
        <f>((Q317+T317)*100)/N317</f>
        <v>13.2563892058306</v>
      </c>
    </row>
    <row r="318" spans="1:24" s="168" customFormat="1" ht="22.500000" customHeight="1">
      <c r="A318" s="34">
        <v>316</v>
      </c>
      <c r="B318" s="107">
        <f>C318+D318+E318+F318+G318+H318</f>
        <v>46.3903355918213</v>
      </c>
      <c r="C318" s="49">
        <v>16</v>
      </c>
      <c r="D318" s="49">
        <v>0</v>
      </c>
      <c r="E318" s="49">
        <v>1</v>
      </c>
      <c r="F318" s="49">
        <v>25.9991430235342</v>
      </c>
      <c r="G318" s="49">
        <v>0</v>
      </c>
      <c r="H318" s="49">
        <v>3.39119256828707</v>
      </c>
      <c r="I318" s="78">
        <f>(100*B318)/N318</f>
        <v>16.3474967725342</v>
      </c>
      <c r="J318" s="110">
        <f>((C318+F318)*100)/B318</f>
        <v>90.534251342943</v>
      </c>
      <c r="K318" s="110">
        <f>((D318+G318)*100)/B318</f>
        <v>0</v>
      </c>
      <c r="L318" s="110">
        <f>((E318+H318)*100)/B318</f>
        <v>9.46574865705703</v>
      </c>
      <c r="M318" s="111">
        <f>N318-B317</f>
        <v>255.081218505403</v>
      </c>
      <c r="N318" s="107">
        <f>O318+P318+Q318+R318+S318+T318</f>
        <v>283.776386301314</v>
      </c>
      <c r="O318" s="49">
        <v>49</v>
      </c>
      <c r="P318" s="49">
        <v>33</v>
      </c>
      <c r="Q318" s="49">
        <v>13</v>
      </c>
      <c r="R318" s="49">
        <v>93.8229943892756</v>
      </c>
      <c r="S318" s="49">
        <v>64.4326587974543</v>
      </c>
      <c r="T318" s="49">
        <v>30.5207331145836</v>
      </c>
      <c r="U318" s="49">
        <v>17</v>
      </c>
      <c r="V318" s="110">
        <f>((O318+R318)*100)/N318</f>
        <v>50.3294147377105</v>
      </c>
      <c r="W318" s="110">
        <f>((P318+S318)*100)/N318</f>
        <v>34.3343081034235</v>
      </c>
      <c r="X318" s="110">
        <f>((Q318+T318)*100)/N318</f>
        <v>15.336277158866</v>
      </c>
    </row>
    <row r="319" spans="1:24" s="168" customFormat="1" ht="22.500000" customHeight="1">
      <c r="A319" s="34">
        <v>317</v>
      </c>
      <c r="B319" s="107">
        <f>C319+D319+E319+F319+G319+H319</f>
        <v>10.6519876138118</v>
      </c>
      <c r="C319" s="49">
        <v>5</v>
      </c>
      <c r="D319" s="49">
        <v>0</v>
      </c>
      <c r="E319" s="49">
        <v>0</v>
      </c>
      <c r="F319" s="49">
        <v>3.39119256828707</v>
      </c>
      <c r="G319" s="49">
        <v>0</v>
      </c>
      <c r="H319" s="49">
        <v>2.26079504552471</v>
      </c>
      <c r="I319" s="78">
        <f>(100*B319)/N319</f>
        <v>8.04327178929238</v>
      </c>
      <c r="J319" s="110">
        <f>((C319+F319)*100)/B319</f>
        <v>78.7758385806488</v>
      </c>
      <c r="K319" s="110">
        <f>((D319+G319)*100)/B319</f>
        <v>0</v>
      </c>
      <c r="L319" s="110">
        <f>((E319+H319)*100)/B319</f>
        <v>21.2241614193512</v>
      </c>
      <c r="M319" s="111">
        <f>N319-B318</f>
        <v>86.0431801820987</v>
      </c>
      <c r="N319" s="107">
        <f>O319+P319+Q319+R319+S319+T319</f>
        <v>132.43351577392</v>
      </c>
      <c r="O319" s="49">
        <v>47</v>
      </c>
      <c r="P319" s="49">
        <v>35</v>
      </c>
      <c r="Q319" s="49">
        <v>12</v>
      </c>
      <c r="R319" s="49">
        <v>13.5647702731482</v>
      </c>
      <c r="S319" s="49">
        <v>16.9559628414353</v>
      </c>
      <c r="T319" s="49">
        <v>7.91278265933649</v>
      </c>
      <c r="U319" s="49">
        <v>15</v>
      </c>
      <c r="V319" s="110">
        <f>((O319+R319)*100)/N319</f>
        <v>45.7322075301086</v>
      </c>
      <c r="W319" s="110">
        <f>((P319+S319)*100)/N319</f>
        <v>39.2317326454811</v>
      </c>
      <c r="X319" s="110">
        <f>((Q319+T319)*100)/N319</f>
        <v>15.0360598244103</v>
      </c>
    </row>
    <row r="320" spans="1:24" s="168" customFormat="1" ht="22.500000" customHeight="1">
      <c r="A320" s="34">
        <v>318</v>
      </c>
      <c r="B320" s="107">
        <f>C320+D320+E320+F320+G320+H320</f>
        <v>37.9991430235341</v>
      </c>
      <c r="C320" s="49">
        <v>6</v>
      </c>
      <c r="D320" s="49">
        <v>4</v>
      </c>
      <c r="E320" s="49">
        <v>2</v>
      </c>
      <c r="F320" s="49">
        <v>9.04318018209885</v>
      </c>
      <c r="G320" s="49">
        <v>13.5647702731482</v>
      </c>
      <c r="H320" s="49">
        <v>3.39119256828707</v>
      </c>
      <c r="I320" s="78">
        <f>(100*B320)/N320</f>
        <v>7.52284453955041</v>
      </c>
      <c r="J320" s="110">
        <f>((C320+F320)*100)/B320</f>
        <v>39.5882090624573</v>
      </c>
      <c r="K320" s="110">
        <f>((D320+G320)*100)/B320</f>
        <v>46.2241221131481</v>
      </c>
      <c r="L320" s="110">
        <f>((E320+H320)*100)/B320</f>
        <v>14.1876688243946</v>
      </c>
      <c r="M320" s="111">
        <f>N320-B319</f>
        <v>494.464698285496</v>
      </c>
      <c r="N320" s="107">
        <f>O320+P320+Q320+R320+S320+T320</f>
        <v>505.116685899308</v>
      </c>
      <c r="O320" s="49">
        <v>44</v>
      </c>
      <c r="P320" s="49">
        <v>32</v>
      </c>
      <c r="Q320" s="49">
        <v>12</v>
      </c>
      <c r="R320" s="49">
        <v>186.515591255788</v>
      </c>
      <c r="S320" s="49">
        <v>160.516448232254</v>
      </c>
      <c r="T320" s="49">
        <v>70.0846464112661</v>
      </c>
      <c r="U320" s="49">
        <v>19</v>
      </c>
      <c r="V320" s="110">
        <f>((O320+R320)*100)/N320</f>
        <v>45.6361070007772</v>
      </c>
      <c r="W320" s="110">
        <f>((P320+S320)*100)/N320</f>
        <v>38.1132624612268</v>
      </c>
      <c r="X320" s="110">
        <f>((Q320+T320)*100)/N320</f>
        <v>16.250630537996</v>
      </c>
    </row>
    <row r="321" spans="1:24" s="168" customFormat="1" ht="22.500000" customHeight="1">
      <c r="A321" s="34">
        <v>319</v>
      </c>
      <c r="B321" s="107">
        <f>C321+D321+E321+F321+G321+H321</f>
        <v>14.6519876138118</v>
      </c>
      <c r="C321" s="49">
        <v>8</v>
      </c>
      <c r="D321" s="49">
        <v>0</v>
      </c>
      <c r="E321" s="49">
        <v>1</v>
      </c>
      <c r="F321" s="49">
        <v>4.52159009104942</v>
      </c>
      <c r="G321" s="49">
        <v>0</v>
      </c>
      <c r="H321" s="49">
        <v>1.13039752276235</v>
      </c>
      <c r="I321" s="78">
        <f>(100*B321)/N321</f>
        <v>11.1774278887829</v>
      </c>
      <c r="J321" s="110">
        <f>((C321+F321)*100)/B321</f>
        <v>85.4600100756697</v>
      </c>
      <c r="K321" s="110">
        <f>((D321+G321)*100)/B321</f>
        <v>0</v>
      </c>
      <c r="L321" s="110">
        <f>((E321+H321)*100)/B321</f>
        <v>14.5399899243303</v>
      </c>
      <c r="M321" s="111">
        <f>N321-B320</f>
        <v>93.0863603641977</v>
      </c>
      <c r="N321" s="107">
        <f>O321+P321+Q321+R321+S321+T321</f>
        <v>131.085503387732</v>
      </c>
      <c r="O321" s="49">
        <v>45</v>
      </c>
      <c r="P321" s="49">
        <v>31</v>
      </c>
      <c r="Q321" s="49">
        <v>11</v>
      </c>
      <c r="R321" s="49">
        <v>10.1735777048612</v>
      </c>
      <c r="S321" s="49">
        <v>27.1295405462965</v>
      </c>
      <c r="T321" s="49">
        <v>6.78238513657414</v>
      </c>
      <c r="U321" s="49">
        <v>18</v>
      </c>
      <c r="V321" s="110">
        <f>((O321+R321)*100)/N321</f>
        <v>42.0897630012266</v>
      </c>
      <c r="W321" s="110">
        <f>((P321+S321)*100)/N321</f>
        <v>44.3447513600019</v>
      </c>
      <c r="X321" s="110">
        <f>((Q321+T321)*100)/N321</f>
        <v>13.5654856387715</v>
      </c>
    </row>
    <row r="322" spans="1:24" s="168" customFormat="1" ht="22.500000" customHeight="1">
      <c r="A322" s="34">
        <v>320</v>
      </c>
      <c r="B322" s="107">
        <f>C322+D322+E322+F322+G322+H322</f>
        <v>11.1303975227624</v>
      </c>
      <c r="C322" s="49">
        <v>10</v>
      </c>
      <c r="D322" s="49">
        <v>0</v>
      </c>
      <c r="E322" s="49">
        <v>0</v>
      </c>
      <c r="F322" s="49">
        <v>1.13039752276235</v>
      </c>
      <c r="G322" s="49">
        <v>0</v>
      </c>
      <c r="H322" s="49">
        <v>0</v>
      </c>
      <c r="I322" s="78">
        <f>(100*B322)/N322</f>
        <v>7.63272400767819</v>
      </c>
      <c r="J322" s="110">
        <f>((C322+F322)*100)/B322</f>
        <v>100</v>
      </c>
      <c r="K322" s="110">
        <f>((D322+G322)*100)/B322</f>
        <v>0</v>
      </c>
      <c r="L322" s="110">
        <f>((E322+H322)*100)/B322</f>
        <v>0</v>
      </c>
      <c r="M322" s="111">
        <f>N322-B321</f>
        <v>131.172720728395</v>
      </c>
      <c r="N322" s="107">
        <f>O322+P322+Q322+R322+S322+T322</f>
        <v>145.824708342207</v>
      </c>
      <c r="O322" s="49">
        <v>52</v>
      </c>
      <c r="P322" s="49">
        <v>37</v>
      </c>
      <c r="Q322" s="49">
        <v>15</v>
      </c>
      <c r="R322" s="49">
        <v>10.1735777048612</v>
      </c>
      <c r="S322" s="49">
        <v>25.9991430235342</v>
      </c>
      <c r="T322" s="49">
        <v>5.65198761381178</v>
      </c>
      <c r="U322" s="49">
        <v>14</v>
      </c>
      <c r="V322" s="110">
        <f>((O322+R322)*100)/N322</f>
        <v>42.635832028519</v>
      </c>
      <c r="W322" s="110">
        <f>((P322+S322)*100)/N322</f>
        <v>43.2019674441549</v>
      </c>
      <c r="X322" s="110">
        <f>((Q322+T322)*100)/N322</f>
        <v>14.1622005273261</v>
      </c>
    </row>
    <row r="323" spans="1:24" s="168" customFormat="1" ht="22.500000" customHeight="1">
      <c r="A323" s="34">
        <v>321</v>
      </c>
      <c r="B323" s="107">
        <f>C323+D323+E323+F323+G323+H323</f>
        <v>25.4343727503859</v>
      </c>
      <c r="C323" s="49">
        <v>9</v>
      </c>
      <c r="D323" s="49">
        <v>0</v>
      </c>
      <c r="E323" s="49">
        <v>4</v>
      </c>
      <c r="F323" s="49">
        <v>12.4343727503859</v>
      </c>
      <c r="G323" s="49">
        <v>0</v>
      </c>
      <c r="H323" s="49">
        <v>0</v>
      </c>
      <c r="I323" s="78">
        <f>(100*B323)/N323</f>
        <v>11.0921967282577</v>
      </c>
      <c r="J323" s="110">
        <f>((C323+F323)*100)/B323</f>
        <v>84.2732508512941</v>
      </c>
      <c r="K323" s="110">
        <f>((D323+G323)*100)/B323</f>
        <v>0</v>
      </c>
      <c r="L323" s="110">
        <f>((E323+H323)*100)/B323</f>
        <v>15.7267491487059</v>
      </c>
      <c r="M323" s="111">
        <f>N323-B322</f>
        <v>218.169292822532</v>
      </c>
      <c r="N323" s="107">
        <f>O323+P323+Q323+R323+S323+T323</f>
        <v>229.299690345295</v>
      </c>
      <c r="O323" s="49">
        <v>43</v>
      </c>
      <c r="P323" s="49">
        <v>34</v>
      </c>
      <c r="Q323" s="49">
        <v>11</v>
      </c>
      <c r="R323" s="49">
        <v>39.5639132966824</v>
      </c>
      <c r="S323" s="49">
        <v>67.8238513657414</v>
      </c>
      <c r="T323" s="49">
        <v>33.9119256828707</v>
      </c>
      <c r="U323" s="49">
        <v>17</v>
      </c>
      <c r="V323" s="110">
        <f>((O323+R323)*100)/N323</f>
        <v>36.0069885713113</v>
      </c>
      <c r="W323" s="110">
        <f>((P323+S323)*100)/N323</f>
        <v>44.4064495736599</v>
      </c>
      <c r="X323" s="110">
        <f>((Q323+T323)*100)/N323</f>
        <v>19.5865618550288</v>
      </c>
    </row>
    <row r="324" spans="1:24" s="168" customFormat="1" ht="22.500000" customHeight="1">
      <c r="A324" s="34">
        <v>322</v>
      </c>
      <c r="B324" s="107">
        <f>C324+D324+E324+F324+G324+H324</f>
        <v>26.5647702731482</v>
      </c>
      <c r="C324" s="49">
        <v>12</v>
      </c>
      <c r="D324" s="49">
        <v>1</v>
      </c>
      <c r="E324" s="49">
        <v>0</v>
      </c>
      <c r="F324" s="49">
        <v>13.5647702731482</v>
      </c>
      <c r="G324" s="49">
        <v>0</v>
      </c>
      <c r="H324" s="49">
        <v>0</v>
      </c>
      <c r="I324" s="78">
        <f>(100*B324)/N324</f>
        <v>12.0799198492482</v>
      </c>
      <c r="J324" s="110">
        <f>((C324+F324)*100)/B324</f>
        <v>96.2356158561973</v>
      </c>
      <c r="K324" s="110">
        <f>((D324+G324)*100)/B324</f>
        <v>3.76438414380269</v>
      </c>
      <c r="L324" s="110">
        <f>((E324+H324)*100)/B324</f>
        <v>0</v>
      </c>
      <c r="M324" s="111">
        <f>N324-B323</f>
        <v>194.474125026622</v>
      </c>
      <c r="N324" s="107">
        <f>O324+P324+Q324+R324+S324+T324</f>
        <v>219.908497777007</v>
      </c>
      <c r="O324" s="49">
        <v>37</v>
      </c>
      <c r="P324" s="49">
        <v>34</v>
      </c>
      <c r="Q324" s="49">
        <v>11</v>
      </c>
      <c r="R324" s="49">
        <v>48.6070934787813</v>
      </c>
      <c r="S324" s="49">
        <v>59.9110687064049</v>
      </c>
      <c r="T324" s="49">
        <v>29.3903355918212</v>
      </c>
      <c r="U324" s="49">
        <v>18</v>
      </c>
      <c r="V324" s="110">
        <f>((O324+R324)*100)/N324</f>
        <v>38.9285063306599</v>
      </c>
      <c r="W324" s="110">
        <f>((P324+S324)*100)/N324</f>
        <v>42.7046110794832</v>
      </c>
      <c r="X324" s="110">
        <f>((Q324+T324)*100)/N324</f>
        <v>18.366882589857</v>
      </c>
    </row>
    <row r="325" spans="1:24" s="168" customFormat="1" ht="22.500000" customHeight="1">
      <c r="A325" s="34">
        <v>323</v>
      </c>
      <c r="B325" s="107">
        <f>C325+D325+E325+F325+G325+H325</f>
        <v>7</v>
      </c>
      <c r="C325" s="49">
        <v>7</v>
      </c>
      <c r="D325" s="49">
        <v>0</v>
      </c>
      <c r="E325" s="49">
        <v>0</v>
      </c>
      <c r="F325" s="49">
        <v>0</v>
      </c>
      <c r="G325" s="49">
        <v>0</v>
      </c>
      <c r="H325" s="49">
        <v>0</v>
      </c>
      <c r="I325" s="78">
        <f>(100*B325)/N325</f>
        <v>6.15214096100899</v>
      </c>
      <c r="J325" s="110">
        <f>((C325+F325)*100)/B325</f>
        <v>100</v>
      </c>
      <c r="K325" s="110">
        <f>((D325+G325)*100)/B325</f>
        <v>0</v>
      </c>
      <c r="L325" s="110">
        <f>((E325+H325)*100)/B325</f>
        <v>0</v>
      </c>
      <c r="M325" s="111">
        <f>N325-B324</f>
        <v>87.2167578869601</v>
      </c>
      <c r="N325" s="107">
        <f>O325+P325+Q325+R325+S325+T325</f>
        <v>113.781528160108</v>
      </c>
      <c r="O325" s="49">
        <v>37</v>
      </c>
      <c r="P325" s="49">
        <v>32</v>
      </c>
      <c r="Q325" s="49">
        <v>12</v>
      </c>
      <c r="R325" s="49">
        <v>7.91278265933649</v>
      </c>
      <c r="S325" s="49">
        <v>14.6951677959106</v>
      </c>
      <c r="T325" s="49">
        <v>10.1735777048612</v>
      </c>
      <c r="U325" s="49">
        <v>17</v>
      </c>
      <c r="V325" s="110">
        <f>((O325+R325)*100)/N325</f>
        <v>39.4728242673426</v>
      </c>
      <c r="W325" s="110">
        <f>((P325+S325)*100)/N325</f>
        <v>41.0393220683442</v>
      </c>
      <c r="X325" s="110">
        <f>((Q325+T325)*100)/N325</f>
        <v>19.4878536643132</v>
      </c>
    </row>
    <row r="326" spans="1:24" s="168" customFormat="1" ht="22.500000" customHeight="1">
      <c r="A326" s="34">
        <v>324</v>
      </c>
      <c r="B326" s="107">
        <f>C326+D326+E326+F326+G326+H326</f>
        <v>10.1303975227624</v>
      </c>
      <c r="C326" s="49">
        <v>3</v>
      </c>
      <c r="D326" s="49">
        <v>3</v>
      </c>
      <c r="E326" s="49">
        <v>3</v>
      </c>
      <c r="F326" s="49">
        <v>1.13039752276235</v>
      </c>
      <c r="G326" s="49">
        <v>0</v>
      </c>
      <c r="H326" s="49">
        <v>0</v>
      </c>
      <c r="I326" s="78">
        <f>(100*B326)/N326</f>
        <v>6.53217307914398</v>
      </c>
      <c r="J326" s="110">
        <f>((C326+F326)*100)/B326</f>
        <v>40.7723143487865</v>
      </c>
      <c r="K326" s="110">
        <f>((D326+G326)*100)/B326</f>
        <v>29.6138428256067</v>
      </c>
      <c r="L326" s="110">
        <f>((E326+H326)*100)/B326</f>
        <v>29.6138428256067</v>
      </c>
      <c r="M326" s="111">
        <f>N326-B325</f>
        <v>148.084646411266</v>
      </c>
      <c r="N326" s="107">
        <f>O326+P326+Q326+R326+S326+T326</f>
        <v>155.084646411266</v>
      </c>
      <c r="O326" s="49">
        <v>40</v>
      </c>
      <c r="P326" s="49">
        <v>33</v>
      </c>
      <c r="Q326" s="49">
        <v>12</v>
      </c>
      <c r="R326" s="49">
        <v>38.4335157739201</v>
      </c>
      <c r="S326" s="49">
        <v>25.9991430235342</v>
      </c>
      <c r="T326" s="49">
        <v>5.65198761381178</v>
      </c>
      <c r="U326" s="49">
        <v>15</v>
      </c>
      <c r="V326" s="110">
        <f>((O326+R326)*100)/N326</f>
        <v>50.5746491280147</v>
      </c>
      <c r="W326" s="110">
        <f>((P326+S326)*100)/N326</f>
        <v>38.0431876325626</v>
      </c>
      <c r="X326" s="110">
        <f>((Q326+T326)*100)/N326</f>
        <v>11.3821632394227</v>
      </c>
    </row>
    <row r="327" spans="1:24" s="168" customFormat="1" ht="22.500000" customHeight="1">
      <c r="A327" s="34">
        <v>325</v>
      </c>
      <c r="B327" s="107">
        <f>C327+D327+E327+F327+G327+H327</f>
        <v>8.13039752276235</v>
      </c>
      <c r="C327" s="49">
        <v>6</v>
      </c>
      <c r="D327" s="49">
        <v>0</v>
      </c>
      <c r="E327" s="49">
        <v>1</v>
      </c>
      <c r="F327" s="49">
        <v>1.13039752276235</v>
      </c>
      <c r="G327" s="49">
        <v>0</v>
      </c>
      <c r="H327" s="49">
        <v>0</v>
      </c>
      <c r="I327" s="78">
        <f>(100*B327)/N327</f>
        <v>5.97830881482467</v>
      </c>
      <c r="J327" s="110">
        <f>((C327+F327)*100)/B327</f>
        <v>87.7004783935799</v>
      </c>
      <c r="K327" s="110">
        <f>((D327+G327)*100)/B327</f>
        <v>0</v>
      </c>
      <c r="L327" s="110">
        <f>((E327+H327)*100)/B327</f>
        <v>12.2995216064201</v>
      </c>
      <c r="M327" s="111">
        <f>N327-B326</f>
        <v>125.867888524306</v>
      </c>
      <c r="N327" s="107">
        <f>O327+P327+Q327+R327+S327+T327</f>
        <v>135.998286047068</v>
      </c>
      <c r="O327" s="49">
        <v>38</v>
      </c>
      <c r="P327" s="49">
        <v>34</v>
      </c>
      <c r="Q327" s="49">
        <v>12</v>
      </c>
      <c r="R327" s="49">
        <v>12.4343727503859</v>
      </c>
      <c r="S327" s="49">
        <v>22.6079504552471</v>
      </c>
      <c r="T327" s="49">
        <v>16.9559628414353</v>
      </c>
      <c r="U327" s="49">
        <v>12</v>
      </c>
      <c r="V327" s="110">
        <f>((O327+R327)*100)/N327</f>
        <v>37.0845649723342</v>
      </c>
      <c r="W327" s="110">
        <f>((P327+S327)*100)/N327</f>
        <v>41.6240175524384</v>
      </c>
      <c r="X327" s="110">
        <f>((Q327+T327)*100)/N327</f>
        <v>21.2914174752274</v>
      </c>
    </row>
    <row r="328" spans="1:24" s="168" customFormat="1" ht="22.500000" customHeight="1">
      <c r="A328" s="34">
        <v>326</v>
      </c>
      <c r="B328" s="107">
        <f>C328+D328+E328+F328+G328+H328</f>
        <v>13.6519876138118</v>
      </c>
      <c r="C328" s="49">
        <v>7</v>
      </c>
      <c r="D328" s="49">
        <v>1</v>
      </c>
      <c r="E328" s="49">
        <v>0</v>
      </c>
      <c r="F328" s="49">
        <v>5.65198761381178</v>
      </c>
      <c r="G328" s="49">
        <v>0</v>
      </c>
      <c r="H328" s="49">
        <v>0</v>
      </c>
      <c r="I328" s="78">
        <f>(100*B328)/N328</f>
        <v>4.86674824479299</v>
      </c>
      <c r="J328" s="110">
        <f>((C328+F328)*100)/B328</f>
        <v>92.6750592786336</v>
      </c>
      <c r="K328" s="110">
        <f>((D328+G328)*100)/B328</f>
        <v>7.32494072136643</v>
      </c>
      <c r="L328" s="110">
        <f>((E328+H328)*100)/B328</f>
        <v>0</v>
      </c>
      <c r="M328" s="111">
        <f>N328-B327</f>
        <v>272.385193733026</v>
      </c>
      <c r="N328" s="107">
        <f>O328+P328+Q328+R328+S328+T328</f>
        <v>280.515591255789</v>
      </c>
      <c r="O328" s="49">
        <v>47</v>
      </c>
      <c r="P328" s="49">
        <v>34</v>
      </c>
      <c r="Q328" s="49">
        <v>13</v>
      </c>
      <c r="R328" s="49">
        <v>71.2150439340284</v>
      </c>
      <c r="S328" s="49">
        <v>67.8238513657414</v>
      </c>
      <c r="T328" s="49">
        <v>47.4766959560189</v>
      </c>
      <c r="U328" s="49">
        <v>17</v>
      </c>
      <c r="V328" s="110">
        <f>((O328+R328)*100)/N328</f>
        <v>42.1420582737712</v>
      </c>
      <c r="W328" s="110">
        <f>((P328+S328)*100)/N328</f>
        <v>36.2988206501838</v>
      </c>
      <c r="X328" s="110">
        <f>((Q328+T328)*100)/N328</f>
        <v>21.559121076045</v>
      </c>
    </row>
    <row r="329" spans="1:24" s="168" customFormat="1" ht="22.500000" customHeight="1">
      <c r="A329" s="34">
        <v>327</v>
      </c>
      <c r="B329" s="107">
        <f>C329+D329+E329+F329+G329+H329</f>
        <v>35.21675788696</v>
      </c>
      <c r="C329" s="49">
        <v>9</v>
      </c>
      <c r="D329" s="49">
        <v>1</v>
      </c>
      <c r="E329" s="49">
        <v>6</v>
      </c>
      <c r="F329" s="49">
        <v>16.9559628414353</v>
      </c>
      <c r="G329" s="49">
        <v>2.26079504552471</v>
      </c>
      <c r="H329" s="49">
        <v>0</v>
      </c>
      <c r="I329" s="78">
        <f>(100*B329)/N329</f>
        <v>11.0219806990039</v>
      </c>
      <c r="J329" s="110">
        <f>((C329+F329)*100)/B329</f>
        <v>73.7034423348954</v>
      </c>
      <c r="K329" s="110">
        <f>((D329+G329)*100)/B329</f>
        <v>9.25921419567163</v>
      </c>
      <c r="L329" s="110">
        <f>((E329+H329)*100)/B329</f>
        <v>17.037343469433</v>
      </c>
      <c r="M329" s="111">
        <f>N329-B328</f>
        <v>305.861889689045</v>
      </c>
      <c r="N329" s="107">
        <f>O329+P329+Q329+R329+S329+T329</f>
        <v>319.513877302857</v>
      </c>
      <c r="O329" s="49">
        <v>41</v>
      </c>
      <c r="P329" s="49">
        <v>32</v>
      </c>
      <c r="Q329" s="49">
        <v>8</v>
      </c>
      <c r="R329" s="49">
        <v>88.1710067754638</v>
      </c>
      <c r="S329" s="49">
        <v>88.1710067754638</v>
      </c>
      <c r="T329" s="49">
        <v>62.1718637519296</v>
      </c>
      <c r="U329" s="49">
        <v>14</v>
      </c>
      <c r="V329" s="110">
        <f>((O329+R329)*100)/N329</f>
        <v>40.4273541624693</v>
      </c>
      <c r="W329" s="110">
        <f>((P329+S329)*100)/N329</f>
        <v>37.6105750992335</v>
      </c>
      <c r="X329" s="110">
        <f>((Q329+T329)*100)/N329</f>
        <v>21.9620707382972</v>
      </c>
    </row>
    <row r="330" spans="1:24" s="168" customFormat="1" ht="22.500000" customHeight="1">
      <c r="A330" s="34">
        <v>328</v>
      </c>
      <c r="B330" s="107">
        <f>C330+D330+E330+F330+G330+H330</f>
        <v>15.6519876138118</v>
      </c>
      <c r="C330" s="49">
        <v>10</v>
      </c>
      <c r="D330" s="49">
        <v>0</v>
      </c>
      <c r="E330" s="49">
        <v>0</v>
      </c>
      <c r="F330" s="49">
        <v>2.26079504552471</v>
      </c>
      <c r="G330" s="49">
        <v>0</v>
      </c>
      <c r="H330" s="49">
        <v>3.39119256828707</v>
      </c>
      <c r="I330" s="78">
        <f>(100*B330)/N330</f>
        <v>10.8271006522867</v>
      </c>
      <c r="J330" s="110">
        <f>((C330+F330)*100)/B330</f>
        <v>78.3337895993824</v>
      </c>
      <c r="K330" s="110">
        <f>((D330+G330)*100)/B330</f>
        <v>0</v>
      </c>
      <c r="L330" s="110">
        <f>((E330+H330)*100)/B330</f>
        <v>21.6662104006176</v>
      </c>
      <c r="M330" s="111">
        <f>N330-B329</f>
        <v>109.346298433257</v>
      </c>
      <c r="N330" s="107">
        <f>O330+P330+Q330+R330+S330+T330</f>
        <v>144.563056320217</v>
      </c>
      <c r="O330" s="49">
        <v>42</v>
      </c>
      <c r="P330" s="49">
        <v>32</v>
      </c>
      <c r="Q330" s="49">
        <v>5</v>
      </c>
      <c r="R330" s="49">
        <v>3.39119256828707</v>
      </c>
      <c r="S330" s="49">
        <v>57.6502736608802</v>
      </c>
      <c r="T330" s="49">
        <v>4.52159009104942</v>
      </c>
      <c r="U330" s="49">
        <v>14</v>
      </c>
      <c r="V330" s="110">
        <f>((O330+R330)*100)/N330</f>
        <v>31.3988882939377</v>
      </c>
      <c r="W330" s="110">
        <f>((P330+S330)*100)/N330</f>
        <v>62.0146501761134</v>
      </c>
      <c r="X330" s="110">
        <f>((Q330+T330)*100)/N330</f>
        <v>6.58646152994889</v>
      </c>
    </row>
    <row r="331" spans="1:24" s="168" customFormat="1" ht="22.500000" customHeight="1">
      <c r="A331" s="34">
        <v>329</v>
      </c>
      <c r="B331" s="107">
        <f>C331+D331+E331+F331+G331+H331</f>
        <v>22.825565318673</v>
      </c>
      <c r="C331" s="49">
        <v>7</v>
      </c>
      <c r="D331" s="49">
        <v>0</v>
      </c>
      <c r="E331" s="49">
        <v>0</v>
      </c>
      <c r="F331" s="49">
        <v>14.6951677959106</v>
      </c>
      <c r="G331" s="49">
        <v>0</v>
      </c>
      <c r="H331" s="49">
        <v>1.13039752276235</v>
      </c>
      <c r="I331" s="78">
        <f>(100*B331)/N331</f>
        <v>8.78808130070064</v>
      </c>
      <c r="J331" s="110">
        <f>((C331+F331)*100)/B331</f>
        <v>95.0476691070709</v>
      </c>
      <c r="K331" s="110">
        <f>((D331+G331)*100)/B331</f>
        <v>0</v>
      </c>
      <c r="L331" s="110">
        <f>((E331+H331)*100)/B331</f>
        <v>4.9523308929291</v>
      </c>
      <c r="M331" s="111">
        <f>N331-B330</f>
        <v>244.081218505403</v>
      </c>
      <c r="N331" s="107">
        <f>O331+P331+Q331+R331+S331+T331</f>
        <v>259.733206119215</v>
      </c>
      <c r="O331" s="49">
        <v>41</v>
      </c>
      <c r="P331" s="49">
        <v>33</v>
      </c>
      <c r="Q331" s="49">
        <v>6</v>
      </c>
      <c r="R331" s="49">
        <v>90.4318018209885</v>
      </c>
      <c r="S331" s="49">
        <v>75.7366340250779</v>
      </c>
      <c r="T331" s="49">
        <v>13.5647702731482</v>
      </c>
      <c r="U331" s="49">
        <v>18</v>
      </c>
      <c r="V331" s="110">
        <f>((O331+R331)*100)/N331</f>
        <v>50.6026178880889</v>
      </c>
      <c r="W331" s="110">
        <f>((P331+S331)*100)/N331</f>
        <v>41.8647409970249</v>
      </c>
      <c r="X331" s="110">
        <f>((Q331+T331)*100)/N331</f>
        <v>7.53264111488625</v>
      </c>
    </row>
    <row r="332" spans="1:24" s="168" customFormat="1" ht="22.500000" customHeight="1">
      <c r="A332" s="34">
        <v>330</v>
      </c>
      <c r="B332" s="107">
        <f>C332+D332+E332+F332+G332+H332</f>
        <v>33.825565318673</v>
      </c>
      <c r="C332" s="49">
        <v>15</v>
      </c>
      <c r="D332" s="49">
        <v>2</v>
      </c>
      <c r="E332" s="49">
        <v>1</v>
      </c>
      <c r="F332" s="49">
        <v>10.1735777048612</v>
      </c>
      <c r="G332" s="49">
        <v>4.52159009104942</v>
      </c>
      <c r="H332" s="49">
        <v>1.13039752276235</v>
      </c>
      <c r="I332" s="78">
        <f>(100*B332)/N332</f>
        <v>13.1976172786741</v>
      </c>
      <c r="J332" s="110">
        <f>((C332+F332)*100)/B332</f>
        <v>74.4217501398697</v>
      </c>
      <c r="K332" s="110">
        <f>((D332+G332)*100)/B332</f>
        <v>19.2800623717862</v>
      </c>
      <c r="L332" s="110">
        <f>((E332+H332)*100)/B332</f>
        <v>6.29818748834418</v>
      </c>
      <c r="M332" s="111">
        <f>N332-B331</f>
        <v>233.474982003087</v>
      </c>
      <c r="N332" s="107">
        <f>O332+P332+Q332+R332+S332+T332</f>
        <v>256.30054732176</v>
      </c>
      <c r="O332" s="49">
        <v>101</v>
      </c>
      <c r="P332" s="49">
        <v>34</v>
      </c>
      <c r="Q332" s="49">
        <v>6</v>
      </c>
      <c r="R332" s="49">
        <v>54.2590810925931</v>
      </c>
      <c r="S332" s="49">
        <v>56.5198761381178</v>
      </c>
      <c r="T332" s="49">
        <v>4.52159009104942</v>
      </c>
      <c r="U332" s="49">
        <v>15</v>
      </c>
      <c r="V332" s="110">
        <f>((O332+R332)*100)/N332</f>
        <v>60.5769604142439</v>
      </c>
      <c r="W332" s="110">
        <f>((P332+S332)*100)/N332</f>
        <v>35.3178629870341</v>
      </c>
      <c r="X332" s="110">
        <f>((Q332+T332)*100)/N332</f>
        <v>4.10517659872204</v>
      </c>
    </row>
    <row r="333" spans="1:24" s="168" customFormat="1" ht="22.500000" customHeight="1">
      <c r="A333" s="34">
        <v>331</v>
      </c>
      <c r="B333" s="107">
        <f>C333+D333+E333+F333+G333+H333</f>
        <v>25.1735777048612</v>
      </c>
      <c r="C333" s="49">
        <v>10</v>
      </c>
      <c r="D333" s="49">
        <v>2</v>
      </c>
      <c r="E333" s="49">
        <v>3</v>
      </c>
      <c r="F333" s="49">
        <v>4.52159009104942</v>
      </c>
      <c r="G333" s="49">
        <v>2.26079504552471</v>
      </c>
      <c r="H333" s="49">
        <v>3.39119256828707</v>
      </c>
      <c r="I333" s="78">
        <f>(100*B333)/N333</f>
        <v>3.99067423284376</v>
      </c>
      <c r="J333" s="110">
        <f>((C333+F333)*100)/B333</f>
        <v>57.6858413265795</v>
      </c>
      <c r="K333" s="110">
        <f>((D333+G333)*100)/B333</f>
        <v>16.9256634693682</v>
      </c>
      <c r="L333" s="110">
        <f>((E333+H333)*100)/B333</f>
        <v>25.3884952040523</v>
      </c>
      <c r="M333" s="111">
        <f>N333-B332</f>
        <v>596.984574423615</v>
      </c>
      <c r="N333" s="107">
        <f>O333+P333+Q333+R333+S333+T333</f>
        <v>630.810139742288</v>
      </c>
      <c r="O333" s="49">
        <v>100</v>
      </c>
      <c r="P333" s="49">
        <v>37</v>
      </c>
      <c r="Q333" s="49">
        <v>10</v>
      </c>
      <c r="R333" s="49">
        <v>371.900784988815</v>
      </c>
      <c r="S333" s="49">
        <v>83.6494166844144</v>
      </c>
      <c r="T333" s="49">
        <v>28.2599380690589</v>
      </c>
      <c r="U333" s="49">
        <v>19</v>
      </c>
      <c r="V333" s="110">
        <f>((O333+R333)*100)/N333</f>
        <v>74.8086873146341</v>
      </c>
      <c r="W333" s="110">
        <f>((P333+S333)*100)/N333</f>
        <v>19.1261061107395</v>
      </c>
      <c r="X333" s="110">
        <f>((Q333+T333)*100)/N333</f>
        <v>6.06520657462635</v>
      </c>
    </row>
    <row r="334" spans="1:24" s="168" customFormat="1" ht="22.500000" customHeight="1">
      <c r="A334" s="34">
        <v>332</v>
      </c>
      <c r="B334" s="107">
        <f>C334+D334+E334+F334+G334+H334</f>
        <v>37.3471554097224</v>
      </c>
      <c r="C334" s="49">
        <v>14</v>
      </c>
      <c r="D334" s="49">
        <v>0</v>
      </c>
      <c r="E334" s="49">
        <v>3</v>
      </c>
      <c r="F334" s="49">
        <v>19.21675788696</v>
      </c>
      <c r="G334" s="49">
        <v>0</v>
      </c>
      <c r="H334" s="49">
        <v>1.13039752276235</v>
      </c>
      <c r="I334" s="78">
        <f>(100*B334)/N334</f>
        <v>9.31773751441928</v>
      </c>
      <c r="J334" s="110">
        <f>((C334+F334)*100)/B334</f>
        <v>88.9405298008664</v>
      </c>
      <c r="K334" s="110">
        <f>((D334+G334)*100)/B334</f>
        <v>0</v>
      </c>
      <c r="L334" s="110">
        <f>((E334+H334)*100)/B334</f>
        <v>11.0594701991336</v>
      </c>
      <c r="M334" s="111">
        <f>N334-B333</f>
        <v>375.644274825619</v>
      </c>
      <c r="N334" s="107">
        <f>O334+P334+Q334+R334+S334+T334</f>
        <v>400.817852530481</v>
      </c>
      <c r="O334" s="49">
        <v>97</v>
      </c>
      <c r="P334" s="49">
        <v>45</v>
      </c>
      <c r="Q334" s="49">
        <v>9</v>
      </c>
      <c r="R334" s="49">
        <v>140.169292822532</v>
      </c>
      <c r="S334" s="49">
        <v>85.9102117299391</v>
      </c>
      <c r="T334" s="49">
        <v>23.7383479780094</v>
      </c>
      <c r="U334" s="49">
        <v>19</v>
      </c>
      <c r="V334" s="110">
        <f>((O334+R334)*100)/N334</f>
        <v>59.1713396310101</v>
      </c>
      <c r="W334" s="110">
        <f>((P334+S334)*100)/N334</f>
        <v>32.6607736914573</v>
      </c>
      <c r="X334" s="110">
        <f>((Q334+T334)*100)/N334</f>
        <v>8.16788667753261</v>
      </c>
    </row>
    <row r="335" spans="1:24" s="168" customFormat="1" ht="22.500000" customHeight="1">
      <c r="A335" s="34">
        <v>333</v>
      </c>
      <c r="B335" s="107">
        <f>C335+D335+E335+F335+G335+H335</f>
        <v>16.6519876138118</v>
      </c>
      <c r="C335" s="49">
        <v>10</v>
      </c>
      <c r="D335" s="49">
        <v>1</v>
      </c>
      <c r="E335" s="49">
        <v>0</v>
      </c>
      <c r="F335" s="49">
        <v>4.52159009104942</v>
      </c>
      <c r="G335" s="49">
        <v>1.13039752276235</v>
      </c>
      <c r="H335" s="49">
        <v>0</v>
      </c>
      <c r="I335" s="78">
        <f>(100*B335)/N335</f>
        <v>5.30326761157448</v>
      </c>
      <c r="J335" s="110">
        <f>((C335+F335)*100)/B335</f>
        <v>87.2063469408582</v>
      </c>
      <c r="K335" s="110">
        <f>((D335+G335)*100)/B335</f>
        <v>12.7936530591418</v>
      </c>
      <c r="L335" s="110">
        <f>((E335+H335)*100)/B335</f>
        <v>0</v>
      </c>
      <c r="M335" s="111">
        <f>N335-B334</f>
        <v>276.647702731483</v>
      </c>
      <c r="N335" s="107">
        <f>O335+P335+Q335+R335+S335+T335</f>
        <v>313.994858141205</v>
      </c>
      <c r="O335" s="49">
        <v>103</v>
      </c>
      <c r="P335" s="49">
        <v>45</v>
      </c>
      <c r="Q335" s="49">
        <v>10</v>
      </c>
      <c r="R335" s="49">
        <v>105.126969616899</v>
      </c>
      <c r="S335" s="49">
        <v>40.6943108194448</v>
      </c>
      <c r="T335" s="49">
        <v>10.1735777048612</v>
      </c>
      <c r="U335" s="49">
        <v>18</v>
      </c>
      <c r="V335" s="110">
        <f>((O335+R335)*100)/N335</f>
        <v>66.2835598165443</v>
      </c>
      <c r="W335" s="110">
        <f>((P335+S335)*100)/N335</f>
        <v>27.2916286995081</v>
      </c>
      <c r="X335" s="110">
        <f>((Q335+T335)*100)/N335</f>
        <v>6.42481148394763</v>
      </c>
    </row>
    <row r="336" spans="1:24" s="168" customFormat="1" ht="22.500000" customHeight="1">
      <c r="A336" s="34">
        <v>334</v>
      </c>
      <c r="B336" s="107">
        <f>C336+D336+E336+F336+G336+H336</f>
        <v>3</v>
      </c>
      <c r="C336" s="49">
        <v>3</v>
      </c>
      <c r="D336" s="49">
        <v>0</v>
      </c>
      <c r="E336" s="49">
        <v>0</v>
      </c>
      <c r="F336" s="49">
        <v>0</v>
      </c>
      <c r="G336" s="49">
        <v>0</v>
      </c>
      <c r="H336" s="49">
        <v>0</v>
      </c>
      <c r="I336" s="78">
        <f>(100*B336)/N336</f>
        <v>1.71089174100948</v>
      </c>
      <c r="J336" s="110">
        <f>((C336+F336)*100)/B336</f>
        <v>100</v>
      </c>
      <c r="K336" s="110">
        <f>((D336+G336)*100)/B336</f>
        <v>0</v>
      </c>
      <c r="L336" s="110">
        <f>((E336+H336)*100)/B336</f>
        <v>0</v>
      </c>
      <c r="M336" s="111">
        <f>N336-B335</f>
        <v>158.695167795911</v>
      </c>
      <c r="N336" s="107">
        <f>O336+P336+Q336+R336+S336+T336</f>
        <v>175.347155409722</v>
      </c>
      <c r="O336" s="49">
        <v>101</v>
      </c>
      <c r="P336" s="49">
        <v>44</v>
      </c>
      <c r="Q336" s="49">
        <v>10</v>
      </c>
      <c r="R336" s="49">
        <v>6.78238513657414</v>
      </c>
      <c r="S336" s="49">
        <v>12.4343727503859</v>
      </c>
      <c r="T336" s="49">
        <v>1.13039752276235</v>
      </c>
      <c r="U336" s="49">
        <v>14</v>
      </c>
      <c r="V336" s="110">
        <f>((O336+R336)*100)/N336</f>
        <v>61.4679975188226</v>
      </c>
      <c r="W336" s="110">
        <f>((P336+S336)*100)/N336</f>
        <v>32.1843674158953</v>
      </c>
      <c r="X336" s="110">
        <f>((Q336+T336)*100)/N336</f>
        <v>6.34763506528216</v>
      </c>
    </row>
    <row r="337" spans="1:24" s="168" customFormat="1" ht="22.500000" customHeight="1">
      <c r="A337" s="34">
        <v>335</v>
      </c>
      <c r="B337" s="107">
        <f>C337+D337+E337+F337+G337+H337</f>
        <v>42.9991430235342</v>
      </c>
      <c r="C337" s="49">
        <v>14</v>
      </c>
      <c r="D337" s="49">
        <v>1</v>
      </c>
      <c r="E337" s="49">
        <v>2</v>
      </c>
      <c r="F337" s="49">
        <v>20.3471554097224</v>
      </c>
      <c r="G337" s="49">
        <v>3.39119256828707</v>
      </c>
      <c r="H337" s="49">
        <v>2.26079504552471</v>
      </c>
      <c r="I337" s="78">
        <f>(100*B337)/N337</f>
        <v>16.0421794206945</v>
      </c>
      <c r="J337" s="110">
        <f>((C337+F337)*100)/B337</f>
        <v>79.8786975613063</v>
      </c>
      <c r="K337" s="110">
        <f>((D337+G337)*100)/B337</f>
        <v>10.212279267714</v>
      </c>
      <c r="L337" s="110">
        <f>((E337+H337)*100)/B337</f>
        <v>9.90902317097972</v>
      </c>
      <c r="M337" s="111">
        <f>N337-B336</f>
        <v>265.038038323304</v>
      </c>
      <c r="N337" s="107">
        <f>O337+P337+Q337+R337+S337+T337</f>
        <v>268.038038323304</v>
      </c>
      <c r="O337" s="49">
        <v>76</v>
      </c>
      <c r="P337" s="49">
        <v>22</v>
      </c>
      <c r="Q337" s="49">
        <v>5</v>
      </c>
      <c r="R337" s="49">
        <v>51.9982860470684</v>
      </c>
      <c r="S337" s="49">
        <v>96.0837894348003</v>
      </c>
      <c r="T337" s="49">
        <v>16.9559628414353</v>
      </c>
      <c r="U337" s="49">
        <v>21</v>
      </c>
      <c r="V337" s="110">
        <f>((O337+R337)*100)/N337</f>
        <v>47.7537766086314</v>
      </c>
      <c r="W337" s="110">
        <f>((P337+S337)*100)/N337</f>
        <v>44.0548625760233</v>
      </c>
      <c r="X337" s="110">
        <f>((Q337+T337)*100)/N337</f>
        <v>8.19136081534529</v>
      </c>
    </row>
    <row r="338" spans="1:24" s="168" customFormat="1" ht="22.500000" customHeight="1">
      <c r="A338" s="34">
        <v>336</v>
      </c>
      <c r="B338" s="107">
        <f>C338+D338+E338+F338+G338+H338</f>
        <v>10.6519876138118</v>
      </c>
      <c r="C338" s="49">
        <v>4</v>
      </c>
      <c r="D338" s="49">
        <v>0</v>
      </c>
      <c r="E338" s="49">
        <v>1</v>
      </c>
      <c r="F338" s="49">
        <v>4.52159009104942</v>
      </c>
      <c r="G338" s="49">
        <v>0</v>
      </c>
      <c r="H338" s="49">
        <v>1.13039752276235</v>
      </c>
      <c r="I338" s="78">
        <f>(100*B338)/N338</f>
        <v>2.00165181419041</v>
      </c>
      <c r="J338" s="110">
        <f>((C338+F338)*100)/B338</f>
        <v>80</v>
      </c>
      <c r="K338" s="110">
        <f>((D338+G338)*100)/B338</f>
        <v>0</v>
      </c>
      <c r="L338" s="110">
        <f>((E338+H338)*100)/B338</f>
        <v>20</v>
      </c>
      <c r="M338" s="111">
        <f>N338-B337</f>
        <v>489.160723057874</v>
      </c>
      <c r="N338" s="107">
        <f>O338+P338+Q338+R338+S338+T338</f>
        <v>532.159866081408</v>
      </c>
      <c r="O338" s="49">
        <v>80</v>
      </c>
      <c r="P338" s="49">
        <v>22</v>
      </c>
      <c r="Q338" s="49">
        <v>4</v>
      </c>
      <c r="R338" s="49">
        <v>353.814424624617</v>
      </c>
      <c r="S338" s="49">
        <v>56.5198761381178</v>
      </c>
      <c r="T338" s="49">
        <v>15.8255653186729</v>
      </c>
      <c r="U338" s="49">
        <v>20</v>
      </c>
      <c r="V338" s="110">
        <f>((O338+R338)*100)/N338</f>
        <v>81.5195681363641</v>
      </c>
      <c r="W338" s="110">
        <f>((P338+S338)*100)/N338</f>
        <v>14.7549413517979</v>
      </c>
      <c r="X338" s="110">
        <f>((Q338+T338)*100)/N338</f>
        <v>3.72549051183805</v>
      </c>
    </row>
    <row r="339" spans="1:24" s="168" customFormat="1" ht="22.500000" customHeight="1">
      <c r="A339" s="34">
        <v>337</v>
      </c>
      <c r="B339" s="107">
        <f>C339+D339+E339+F339+G339+H339</f>
        <v>62.5639132966824</v>
      </c>
      <c r="C339" s="49">
        <v>15</v>
      </c>
      <c r="D339" s="49">
        <v>5</v>
      </c>
      <c r="E339" s="49">
        <v>3</v>
      </c>
      <c r="F339" s="49">
        <v>39.5639132966824</v>
      </c>
      <c r="G339" s="49">
        <v>0</v>
      </c>
      <c r="H339" s="49">
        <v>0</v>
      </c>
      <c r="I339" s="78">
        <f>(100*B339)/N339</f>
        <v>21.2555777196776</v>
      </c>
      <c r="J339" s="110">
        <f>((C339+F339)*100)/B339</f>
        <v>87.2130760714033</v>
      </c>
      <c r="K339" s="110">
        <f>((D339+G339)*100)/B339</f>
        <v>7.99182745537296</v>
      </c>
      <c r="L339" s="110">
        <f>((E339+H339)*100)/B339</f>
        <v>4.79509647322378</v>
      </c>
      <c r="M339" s="111">
        <f>N339-B338</f>
        <v>283.689168960649</v>
      </c>
      <c r="N339" s="107">
        <f>O339+P339+Q339+R339+S339+T339</f>
        <v>294.341156574461</v>
      </c>
      <c r="O339" s="49">
        <v>72</v>
      </c>
      <c r="P339" s="49">
        <v>18</v>
      </c>
      <c r="Q339" s="49">
        <v>2</v>
      </c>
      <c r="R339" s="49">
        <v>119.822137412809</v>
      </c>
      <c r="S339" s="49">
        <v>74.6062365023155</v>
      </c>
      <c r="T339" s="49">
        <v>7.91278265933649</v>
      </c>
      <c r="U339" s="49">
        <v>20</v>
      </c>
      <c r="V339" s="110">
        <f>((O339+R339)*100)/N339</f>
        <v>65.1700019274344</v>
      </c>
      <c r="W339" s="110">
        <f>((P339+S339)*100)/N339</f>
        <v>31.4622112585497</v>
      </c>
      <c r="X339" s="110">
        <f>((Q339+T339)*100)/N339</f>
        <v>3.36778681401587</v>
      </c>
    </row>
    <row r="340" spans="1:24" s="168" customFormat="1" ht="22.500000" customHeight="1">
      <c r="A340" s="34">
        <v>338</v>
      </c>
      <c r="B340" s="107">
        <f>C340+D340+E340+F340+G340+H340</f>
        <v>59.9551058649696</v>
      </c>
      <c r="C340" s="49">
        <v>15</v>
      </c>
      <c r="D340" s="49">
        <v>2</v>
      </c>
      <c r="E340" s="49">
        <v>0</v>
      </c>
      <c r="F340" s="49">
        <v>33.9119256828707</v>
      </c>
      <c r="G340" s="49">
        <v>6.78238513657414</v>
      </c>
      <c r="H340" s="49">
        <v>2.26079504552471</v>
      </c>
      <c r="I340" s="78">
        <f>(100*B340)/N340</f>
        <v>15.6936672021659</v>
      </c>
      <c r="J340" s="110">
        <f>((C340+F340)*100)/B340</f>
        <v>81.5809178838409</v>
      </c>
      <c r="K340" s="110">
        <f>((D340+G340)*100)/B340</f>
        <v>14.6482689170023</v>
      </c>
      <c r="L340" s="110">
        <f>((E340+H340)*100)/B340</f>
        <v>3.77081319915681</v>
      </c>
      <c r="M340" s="111">
        <f>N340-B339</f>
        <v>319.469840144292</v>
      </c>
      <c r="N340" s="107">
        <f>O340+P340+Q340+R340+S340+T340</f>
        <v>382.033753440975</v>
      </c>
      <c r="O340" s="49">
        <v>71</v>
      </c>
      <c r="P340" s="49">
        <v>13</v>
      </c>
      <c r="Q340" s="49">
        <v>3</v>
      </c>
      <c r="R340" s="49">
        <v>238.513877302857</v>
      </c>
      <c r="S340" s="49">
        <v>47.4766959560189</v>
      </c>
      <c r="T340" s="49">
        <v>9.04318018209885</v>
      </c>
      <c r="U340" s="49">
        <v>21</v>
      </c>
      <c r="V340" s="110">
        <f>((O340+R340)*100)/N340</f>
        <v>81.0174165280078</v>
      </c>
      <c r="W340" s="110">
        <f>((P340+S340)*100)/N340</f>
        <v>15.8301970470687</v>
      </c>
      <c r="X340" s="110">
        <f>((Q340+T340)*100)/N340</f>
        <v>3.15238642492346</v>
      </c>
    </row>
    <row r="341" spans="1:24" s="168" customFormat="1" ht="22.500000" customHeight="1">
      <c r="A341" s="34">
        <v>339</v>
      </c>
      <c r="B341" s="107">
        <f>C341+D341+E341+F341+G341+H341</f>
        <v>6.13039752276235</v>
      </c>
      <c r="C341" s="49">
        <v>4</v>
      </c>
      <c r="D341" s="49">
        <v>1</v>
      </c>
      <c r="E341" s="49">
        <v>0</v>
      </c>
      <c r="F341" s="49">
        <v>1.13039752276235</v>
      </c>
      <c r="G341" s="49">
        <v>0</v>
      </c>
      <c r="H341" s="49">
        <v>0</v>
      </c>
      <c r="I341" s="78">
        <f>(100*B341)/N341</f>
        <v>4.50624289434989</v>
      </c>
      <c r="J341" s="110">
        <f>((C341+F341)*100)/B341</f>
        <v>83.6878441196192</v>
      </c>
      <c r="K341" s="110">
        <f>((D341+G341)*100)/B341</f>
        <v>16.3121558803808</v>
      </c>
      <c r="L341" s="110">
        <f>((E341+H341)*100)/B341</f>
        <v>0</v>
      </c>
      <c r="M341" s="111">
        <f>N341-B340</f>
        <v>76.0872173406634</v>
      </c>
      <c r="N341" s="107">
        <f>O341+P341+Q341+R341+S341+T341</f>
        <v>136.042323205633</v>
      </c>
      <c r="O341" s="49">
        <v>83</v>
      </c>
      <c r="P341" s="49">
        <v>14</v>
      </c>
      <c r="Q341" s="49">
        <v>4</v>
      </c>
      <c r="R341" s="49">
        <v>23.7383479780094</v>
      </c>
      <c r="S341" s="49">
        <v>9.04318018209885</v>
      </c>
      <c r="T341" s="49">
        <v>2.26079504552471</v>
      </c>
      <c r="U341" s="49">
        <v>17</v>
      </c>
      <c r="V341" s="110">
        <f>((O341+R341)*100)/N341</f>
        <v>78.4596627452991</v>
      </c>
      <c r="W341" s="110">
        <f>((P341+S341)*100)/N341</f>
        <v>16.9382436576507</v>
      </c>
      <c r="X341" s="110">
        <f>((Q341+T341)*100)/N341</f>
        <v>4.60209359705015</v>
      </c>
    </row>
    <row r="342" spans="1:24" s="168" customFormat="1" ht="22.500000" customHeight="1">
      <c r="A342" s="34">
        <v>340</v>
      </c>
      <c r="B342" s="107">
        <f>C342+D342+E342+F342+G342+H342</f>
        <v>5</v>
      </c>
      <c r="C342" s="49">
        <v>4</v>
      </c>
      <c r="D342" s="49">
        <v>0</v>
      </c>
      <c r="E342" s="49">
        <v>1</v>
      </c>
      <c r="F342" s="49">
        <v>0</v>
      </c>
      <c r="G342" s="49">
        <v>0</v>
      </c>
      <c r="H342" s="49">
        <v>0</v>
      </c>
      <c r="I342" s="78">
        <f>(100*B342)/N342</f>
        <v>4.62220082397747</v>
      </c>
      <c r="J342" s="110">
        <f>((C342+F342)*100)/B342</f>
        <v>80</v>
      </c>
      <c r="K342" s="110">
        <f>((D342+G342)*100)/B342</f>
        <v>0</v>
      </c>
      <c r="L342" s="110">
        <f>((E342+H342)*100)/B342</f>
        <v>20</v>
      </c>
      <c r="M342" s="111">
        <f>N342-B341</f>
        <v>102.043180182099</v>
      </c>
      <c r="N342" s="107">
        <f>O342+P342+Q342+R342+S342+T342</f>
        <v>108.173577704861</v>
      </c>
      <c r="O342" s="49">
        <v>80</v>
      </c>
      <c r="P342" s="49">
        <v>14</v>
      </c>
      <c r="Q342" s="49">
        <v>4</v>
      </c>
      <c r="R342" s="49">
        <v>5.65198761381178</v>
      </c>
      <c r="S342" s="49">
        <v>3.39119256828707</v>
      </c>
      <c r="T342" s="49">
        <v>1.13039752276235</v>
      </c>
      <c r="U342" s="49">
        <v>14</v>
      </c>
      <c r="V342" s="110">
        <f>((O342+R342)*100)/N342</f>
        <v>79.1801375447737</v>
      </c>
      <c r="W342" s="110">
        <f>((P342+S342)*100)/N342</f>
        <v>16.0771169238175</v>
      </c>
      <c r="X342" s="110">
        <f>((Q342+T342)*100)/N342</f>
        <v>4.74274553140882</v>
      </c>
    </row>
    <row r="343" spans="1:24" s="168" customFormat="1" ht="22.500000" customHeight="1">
      <c r="A343" s="34">
        <v>341</v>
      </c>
      <c r="B343" s="107">
        <f>C343+D343+E343+F343+G343+H343</f>
        <v>6.39119256828706</v>
      </c>
      <c r="C343" s="49">
        <v>2</v>
      </c>
      <c r="D343" s="49">
        <v>0</v>
      </c>
      <c r="E343" s="49">
        <v>1</v>
      </c>
      <c r="F343" s="49">
        <v>2.26079504552471</v>
      </c>
      <c r="G343" s="49">
        <v>0</v>
      </c>
      <c r="H343" s="49">
        <v>1.13039752276235</v>
      </c>
      <c r="I343" s="78">
        <f>(100*B343)/N343</f>
        <v>1.75084564200045</v>
      </c>
      <c r="J343" s="110">
        <f>((C343+F343)*100)/B343</f>
        <v>66.6666666666667</v>
      </c>
      <c r="K343" s="110">
        <f>((D343+G343)*100)/B343</f>
        <v>0</v>
      </c>
      <c r="L343" s="110">
        <f>((E343+H343)*100)/B343</f>
        <v>33.3333333333333</v>
      </c>
      <c r="M343" s="111">
        <f>N343-B342</f>
        <v>360.03461041744</v>
      </c>
      <c r="N343" s="107">
        <f>O343+P343+Q343+R343+S343+T343</f>
        <v>365.03461041744</v>
      </c>
      <c r="O343" s="49">
        <v>79</v>
      </c>
      <c r="P343" s="49">
        <v>14</v>
      </c>
      <c r="Q343" s="49">
        <v>3</v>
      </c>
      <c r="R343" s="49">
        <v>218.166721893134</v>
      </c>
      <c r="S343" s="49">
        <v>40.6943108194448</v>
      </c>
      <c r="T343" s="49">
        <v>10.1735777048612</v>
      </c>
      <c r="U343" s="49">
        <v>18</v>
      </c>
      <c r="V343" s="110">
        <f>((O343+R343)*100)/N343</f>
        <v>81.4078209058876</v>
      </c>
      <c r="W343" s="110">
        <f>((P343+S343)*100)/N343</f>
        <v>14.9833219258027</v>
      </c>
      <c r="X343" s="110">
        <f>((Q343+T343)*100)/N343</f>
        <v>3.60885716830971</v>
      </c>
    </row>
    <row r="344" spans="1:24" s="168" customFormat="1" ht="22.500000" customHeight="1">
      <c r="A344" s="34">
        <v>342</v>
      </c>
      <c r="B344" s="107">
        <f>C344+D344+E344+F344+G344+H344</f>
        <v>53.9119256828707</v>
      </c>
      <c r="C344" s="49">
        <v>16</v>
      </c>
      <c r="D344" s="49">
        <v>1</v>
      </c>
      <c r="E344" s="49">
        <v>3</v>
      </c>
      <c r="F344" s="49">
        <v>28.2599380690589</v>
      </c>
      <c r="G344" s="49">
        <v>1.13039752276235</v>
      </c>
      <c r="H344" s="49">
        <v>4.52159009104942</v>
      </c>
      <c r="I344" s="78">
        <f>(100*B344)/N344</f>
        <v>16.0914085013828</v>
      </c>
      <c r="J344" s="110">
        <f>((C344+F344)*100)/B344</f>
        <v>82.0967485550633</v>
      </c>
      <c r="K344" s="110">
        <f>((D344+G344)*100)/B344</f>
        <v>3.95162572246837</v>
      </c>
      <c r="L344" s="110">
        <f>((E344+H344)*100)/B344</f>
        <v>13.9516257224684</v>
      </c>
      <c r="M344" s="111">
        <f>N344-B343</f>
        <v>328.644274825619</v>
      </c>
      <c r="N344" s="107">
        <f>O344+P344+Q344+R344+S344+T344</f>
        <v>335.035467393906</v>
      </c>
      <c r="O344" s="49">
        <v>76</v>
      </c>
      <c r="P344" s="49">
        <v>14</v>
      </c>
      <c r="Q344" s="49">
        <v>2</v>
      </c>
      <c r="R344" s="49">
        <v>187.645988778551</v>
      </c>
      <c r="S344" s="49">
        <v>47.4766959560189</v>
      </c>
      <c r="T344" s="49">
        <v>7.91278265933649</v>
      </c>
      <c r="U344" s="49">
        <v>23</v>
      </c>
      <c r="V344" s="110">
        <f>((O344+R344)*100)/N344</f>
        <v>78.6919638178421</v>
      </c>
      <c r="W344" s="110">
        <f>((P344+S344)*100)/N344</f>
        <v>18.3493098310514</v>
      </c>
      <c r="X344" s="110">
        <f>((Q344+T344)*100)/N344</f>
        <v>2.95872635110655</v>
      </c>
    </row>
    <row r="345" spans="1:24" s="168" customFormat="1" ht="22.500000" customHeight="1">
      <c r="A345" s="34">
        <v>343</v>
      </c>
      <c r="B345" s="107">
        <f>C345+D345+E345+F345+G345+H345</f>
        <v>5.26079504552471</v>
      </c>
      <c r="C345" s="49">
        <v>2</v>
      </c>
      <c r="D345" s="49">
        <v>0</v>
      </c>
      <c r="E345" s="49">
        <v>1</v>
      </c>
      <c r="F345" s="49">
        <v>2.26079504552471</v>
      </c>
      <c r="G345" s="49">
        <v>0</v>
      </c>
      <c r="H345" s="49">
        <v>0</v>
      </c>
      <c r="I345" s="78">
        <f>(100*B345)/N345</f>
        <v>2.03979805685294</v>
      </c>
      <c r="J345" s="110">
        <f>((C345+F345)*100)/B345</f>
        <v>80.9914662832059</v>
      </c>
      <c r="K345" s="110">
        <f>((D345+G345)*100)/B345</f>
        <v>0</v>
      </c>
      <c r="L345" s="110">
        <f>((E345+H345)*100)/B345</f>
        <v>19.0085337167941</v>
      </c>
      <c r="M345" s="111">
        <f>N345-B344</f>
        <v>203.995715117671</v>
      </c>
      <c r="N345" s="107">
        <f>O345+P345+Q345+R345+S345+T345</f>
        <v>257.907640800541</v>
      </c>
      <c r="O345" s="49">
        <v>78</v>
      </c>
      <c r="P345" s="49">
        <v>14</v>
      </c>
      <c r="Q345" s="49">
        <v>2</v>
      </c>
      <c r="R345" s="49">
        <v>134.51730520872</v>
      </c>
      <c r="S345" s="49">
        <v>27.1295405462965</v>
      </c>
      <c r="T345" s="49">
        <v>2.26079504552471</v>
      </c>
      <c r="U345" s="49">
        <v>24</v>
      </c>
      <c r="V345" s="110">
        <f>((O345+R345)*100)/N345</f>
        <v>82.400546392914</v>
      </c>
      <c r="W345" s="110">
        <f>((P345+S345)*100)/N345</f>
        <v>15.9473912516244</v>
      </c>
      <c r="X345" s="110">
        <f>((Q345+T345)*100)/N345</f>
        <v>1.65206235546154</v>
      </c>
    </row>
    <row r="346" spans="1:24" s="168" customFormat="1" ht="22.500000" customHeight="1">
      <c r="A346" s="34">
        <v>344</v>
      </c>
      <c r="B346" s="107">
        <f>C346+D346+E346+F346+G346+H346</f>
        <v>16.7823851365741</v>
      </c>
      <c r="C346" s="49">
        <v>6</v>
      </c>
      <c r="D346" s="49">
        <v>2</v>
      </c>
      <c r="E346" s="49">
        <v>2</v>
      </c>
      <c r="F346" s="49">
        <v>5.65198761381178</v>
      </c>
      <c r="G346" s="49">
        <v>1.13039752276235</v>
      </c>
      <c r="H346" s="49">
        <v>0</v>
      </c>
      <c r="I346" s="78">
        <f>(100*B346)/N346</f>
        <v>3.8825676244331</v>
      </c>
      <c r="J346" s="110">
        <f>((C346+F346)*100)/B346</f>
        <v>69.4298666070916</v>
      </c>
      <c r="K346" s="110">
        <f>((D346+G346)*100)/B346</f>
        <v>18.6528761989869</v>
      </c>
      <c r="L346" s="110">
        <f>((E346+H346)*100)/B346</f>
        <v>11.9172571939215</v>
      </c>
      <c r="M346" s="111">
        <f>N346-B345</f>
        <v>426.988859305944</v>
      </c>
      <c r="N346" s="107">
        <f>O346+P346+Q346+R346+S346+T346</f>
        <v>432.249654351469</v>
      </c>
      <c r="O346" s="49">
        <v>73</v>
      </c>
      <c r="P346" s="49">
        <v>14</v>
      </c>
      <c r="Q346" s="49">
        <v>5</v>
      </c>
      <c r="R346" s="49">
        <v>276.947393076777</v>
      </c>
      <c r="S346" s="49">
        <v>54.2590810925931</v>
      </c>
      <c r="T346" s="49">
        <v>9.04318018209885</v>
      </c>
      <c r="U346" s="49">
        <v>20</v>
      </c>
      <c r="V346" s="110">
        <f>((O346+R346)*100)/N346</f>
        <v>80.959554172883</v>
      </c>
      <c r="W346" s="110">
        <f>((P346+S346)*100)/N346</f>
        <v>15.7915872009213</v>
      </c>
      <c r="X346" s="110">
        <f>((Q346+T346)*100)/N346</f>
        <v>3.24885862619571</v>
      </c>
    </row>
    <row r="347" spans="1:24" s="168" customFormat="1" ht="22.500000" customHeight="1">
      <c r="A347" s="34">
        <v>345</v>
      </c>
      <c r="B347" s="107">
        <f>C347+D347+E347+F347+G347+H347</f>
        <v>57.9119256828706</v>
      </c>
      <c r="C347" s="49">
        <v>10</v>
      </c>
      <c r="D347" s="49">
        <v>9</v>
      </c>
      <c r="E347" s="49">
        <v>5</v>
      </c>
      <c r="F347" s="49">
        <v>31.6511306373459</v>
      </c>
      <c r="G347" s="49">
        <v>1.13039752276235</v>
      </c>
      <c r="H347" s="49">
        <v>1.13039752276235</v>
      </c>
      <c r="I347" s="78">
        <f>(100*B347)/N347</f>
        <v>22.2520109239726</v>
      </c>
      <c r="J347" s="110">
        <f>((C347+F347)*100)/B347</f>
        <v>71.9215086464749</v>
      </c>
      <c r="K347" s="110">
        <f>((D347+G347)*100)/B347</f>
        <v>17.4927657875462</v>
      </c>
      <c r="L347" s="110">
        <f>((E347+H347)*100)/B347</f>
        <v>10.5857255659789</v>
      </c>
      <c r="M347" s="111">
        <f>N347-B346</f>
        <v>243.47241107369</v>
      </c>
      <c r="N347" s="107">
        <f>O347+P347+Q347+R347+S347+T347</f>
        <v>260.254796210264</v>
      </c>
      <c r="O347" s="49">
        <v>63</v>
      </c>
      <c r="P347" s="49">
        <v>9</v>
      </c>
      <c r="Q347" s="49">
        <v>4</v>
      </c>
      <c r="R347" s="49">
        <v>150.342870527393</v>
      </c>
      <c r="S347" s="49">
        <v>28.2599380690589</v>
      </c>
      <c r="T347" s="49">
        <v>5.65198761381178</v>
      </c>
      <c r="U347" s="49">
        <v>18</v>
      </c>
      <c r="V347" s="110">
        <f>((O347+R347)*100)/N347</f>
        <v>81.9746162737497</v>
      </c>
      <c r="W347" s="110">
        <f>((P347+S347)*100)/N347</f>
        <v>14.3167152389215</v>
      </c>
      <c r="X347" s="110">
        <f>((Q347+T347)*100)/N347</f>
        <v>3.70866848732878</v>
      </c>
    </row>
    <row r="348" spans="1:24" s="168" customFormat="1" ht="22.500000" customHeight="1">
      <c r="A348" s="34">
        <v>346</v>
      </c>
      <c r="B348" s="107">
        <f>C348+D348+E348+F348+G348+H348</f>
        <v>24.5647702731482</v>
      </c>
      <c r="C348" s="49">
        <v>10</v>
      </c>
      <c r="D348" s="49">
        <v>1</v>
      </c>
      <c r="E348" s="49">
        <v>0</v>
      </c>
      <c r="F348" s="49">
        <v>13.5647702731482</v>
      </c>
      <c r="G348" s="49">
        <v>0</v>
      </c>
      <c r="H348" s="49">
        <v>0</v>
      </c>
      <c r="I348" s="78">
        <f>(100*B348)/N348</f>
        <v>21.0035894469708</v>
      </c>
      <c r="J348" s="110">
        <f>((C348+F348)*100)/B348</f>
        <v>95.9291294448086</v>
      </c>
      <c r="K348" s="110">
        <f>((D348+G348)*100)/B348</f>
        <v>4.0708705551914</v>
      </c>
      <c r="L348" s="110">
        <f>((E348+H348)*100)/B348</f>
        <v>0</v>
      </c>
      <c r="M348" s="111">
        <f>N348-B347</f>
        <v>59.0431801820989</v>
      </c>
      <c r="N348" s="107">
        <f>O348+P348+Q348+R348+S348+T348</f>
        <v>116.955105864969</v>
      </c>
      <c r="O348" s="49">
        <v>61</v>
      </c>
      <c r="P348" s="49">
        <v>9</v>
      </c>
      <c r="Q348" s="49">
        <v>4</v>
      </c>
      <c r="R348" s="49">
        <v>21.4775529324847</v>
      </c>
      <c r="S348" s="49">
        <v>20.3471554097224</v>
      </c>
      <c r="T348" s="49">
        <v>1.13039752276235</v>
      </c>
      <c r="U348" s="49">
        <v>17</v>
      </c>
      <c r="V348" s="110">
        <f>((O348+R348)*100)/N348</f>
        <v>70.5206945199205</v>
      </c>
      <c r="W348" s="110">
        <f>((P348+S348)*100)/N348</f>
        <v>25.0926671329811</v>
      </c>
      <c r="X348" s="110">
        <f>((Q348+T348)*100)/N348</f>
        <v>4.38663834709846</v>
      </c>
    </row>
    <row r="349" spans="1:24" s="168" customFormat="1" ht="22.500000" customHeight="1">
      <c r="A349" s="34">
        <v>347</v>
      </c>
      <c r="B349" s="107">
        <f>C349+D349+E349+F349+G349+H349</f>
        <v>20.4343727503859</v>
      </c>
      <c r="C349" s="49">
        <v>6</v>
      </c>
      <c r="D349" s="49">
        <v>0</v>
      </c>
      <c r="E349" s="49">
        <v>2</v>
      </c>
      <c r="F349" s="49">
        <v>7.91278265933649</v>
      </c>
      <c r="G349" s="49">
        <v>2.26079504552471</v>
      </c>
      <c r="H349" s="49">
        <v>2.26079504552471</v>
      </c>
      <c r="I349" s="78">
        <f>(100*B349)/N349</f>
        <v>11.2791057318533</v>
      </c>
      <c r="J349" s="110">
        <f>((C349+F349)*100)/B349</f>
        <v>68.085195612739</v>
      </c>
      <c r="K349" s="110">
        <f>((D349+G349)*100)/B349</f>
        <v>11.0636870196175</v>
      </c>
      <c r="L349" s="110">
        <f>((E349+H349)*100)/B349</f>
        <v>20.8511173676434</v>
      </c>
      <c r="M349" s="111">
        <f>N349-B348</f>
        <v>156.60537952585</v>
      </c>
      <c r="N349" s="107">
        <f>O349+P349+Q349+R349+S349+T349</f>
        <v>181.170149798998</v>
      </c>
      <c r="O349" s="49">
        <v>57</v>
      </c>
      <c r="P349" s="49">
        <v>9</v>
      </c>
      <c r="Q349" s="49">
        <v>1</v>
      </c>
      <c r="R349" s="49">
        <v>76.8670315478402</v>
      </c>
      <c r="S349" s="49">
        <v>31.6511306373459</v>
      </c>
      <c r="T349" s="49">
        <v>5.65198761381178</v>
      </c>
      <c r="U349" s="49">
        <v>16</v>
      </c>
      <c r="V349" s="110">
        <f>((O349+R349)*100)/N349</f>
        <v>73.8902251261376</v>
      </c>
      <c r="W349" s="110">
        <f>((P349+S349)*100)/N349</f>
        <v>22.4380951732098</v>
      </c>
      <c r="X349" s="110">
        <f>((Q349+T349)*100)/N349</f>
        <v>3.67167970065264</v>
      </c>
    </row>
    <row r="350" spans="1:24" s="168" customFormat="1" ht="22.500000" customHeight="1">
      <c r="A350" s="34">
        <v>348</v>
      </c>
      <c r="B350" s="107">
        <f>C350+D350+E350+F350+G350+H350</f>
        <v>1</v>
      </c>
      <c r="C350" s="49">
        <v>1</v>
      </c>
      <c r="D350" s="49">
        <v>0</v>
      </c>
      <c r="E350" s="49">
        <v>0</v>
      </c>
      <c r="F350" s="49">
        <v>0</v>
      </c>
      <c r="G350" s="49">
        <v>0</v>
      </c>
      <c r="H350" s="49">
        <v>0</v>
      </c>
      <c r="I350" s="78">
        <f>(100*B350)/N350</f>
        <v>1.46496975215873</v>
      </c>
      <c r="J350" s="110">
        <f>((C350+F350)*100)/B350</f>
        <v>100</v>
      </c>
      <c r="K350" s="110">
        <f>((D350+G350)*100)/B350</f>
        <v>0</v>
      </c>
      <c r="L350" s="110">
        <f>((E350+H350)*100)/B350</f>
        <v>0</v>
      </c>
      <c r="M350" s="111">
        <f>N350-B349</f>
        <v>47.8264222951388</v>
      </c>
      <c r="N350" s="107">
        <f>O350+P350+Q350+R350+S350+T350</f>
        <v>68.2607950455247</v>
      </c>
      <c r="O350" s="49">
        <v>56</v>
      </c>
      <c r="P350" s="49">
        <v>9</v>
      </c>
      <c r="Q350" s="49">
        <v>1</v>
      </c>
      <c r="R350" s="49">
        <v>1.13039752276235</v>
      </c>
      <c r="S350" s="49">
        <v>1.13039752276235</v>
      </c>
      <c r="T350" s="49">
        <v>0</v>
      </c>
      <c r="U350" s="49">
        <v>10</v>
      </c>
      <c r="V350" s="110">
        <f>((O350+R350)*100)/N350</f>
        <v>83.6943042996507</v>
      </c>
      <c r="W350" s="110">
        <f>((P350+S350)*100)/N350</f>
        <v>14.8407259481905</v>
      </c>
      <c r="X350" s="110">
        <f>((Q350+T350)*100)/N350</f>
        <v>1.46496975215873</v>
      </c>
    </row>
    <row r="351" spans="1:24" s="168" customFormat="1" ht="22.500000" customHeight="1">
      <c r="A351" s="34">
        <v>349</v>
      </c>
      <c r="B351" s="107">
        <f>C351+D351+E351+F351+G351+H351</f>
        <v>4.13039752276235</v>
      </c>
      <c r="C351" s="49">
        <v>1</v>
      </c>
      <c r="D351" s="49">
        <v>2</v>
      </c>
      <c r="E351" s="49">
        <v>0</v>
      </c>
      <c r="F351" s="49">
        <v>1.13039752276235</v>
      </c>
      <c r="G351" s="49">
        <v>0</v>
      </c>
      <c r="H351" s="49">
        <v>0</v>
      </c>
      <c r="I351" s="78">
        <f>(100*B351)/N351</f>
        <v>0.784234500089402</v>
      </c>
      <c r="J351" s="110">
        <f>((C351+F351)*100)/B351</f>
        <v>51.5785105676117</v>
      </c>
      <c r="K351" s="110">
        <f>((D351+G351)*100)/B351</f>
        <v>48.4214894323883</v>
      </c>
      <c r="L351" s="110">
        <f>((E351+H351)*100)/B351</f>
        <v>0</v>
      </c>
      <c r="M351" s="111">
        <f>N351-B350</f>
        <v>525.67888524306</v>
      </c>
      <c r="N351" s="107">
        <f>O351+P351+Q351+R351+S351+T351</f>
        <v>526.67888524306</v>
      </c>
      <c r="O351" s="49">
        <v>10</v>
      </c>
      <c r="P351" s="49">
        <v>7</v>
      </c>
      <c r="Q351" s="49">
        <v>1</v>
      </c>
      <c r="R351" s="49">
        <v>425.029468558646</v>
      </c>
      <c r="S351" s="49">
        <v>82.519019161652</v>
      </c>
      <c r="T351" s="49">
        <v>1.13039752276235</v>
      </c>
      <c r="U351" s="49">
        <v>19</v>
      </c>
      <c r="V351" s="110">
        <f>((O351+R351)*100)/N351</f>
        <v>82.598615731079</v>
      </c>
      <c r="W351" s="110">
        <f>((P351+S351)*100)/N351</f>
        <v>16.9968877944175</v>
      </c>
      <c r="X351" s="110">
        <f>((Q351+T351)*100)/N351</f>
        <v>0.404496474503469</v>
      </c>
    </row>
    <row r="352" spans="1:24" s="168" customFormat="1" ht="22.500000" customHeight="1">
      <c r="A352" s="34">
        <v>350</v>
      </c>
      <c r="B352" s="107">
        <f>C352+D352+E352+F352+G352+H352</f>
        <v>7.52159009104942</v>
      </c>
      <c r="C352" s="49">
        <v>3</v>
      </c>
      <c r="D352" s="49">
        <v>0</v>
      </c>
      <c r="E352" s="49">
        <v>0</v>
      </c>
      <c r="F352" s="49">
        <v>4.52159009104942</v>
      </c>
      <c r="G352" s="49">
        <v>0</v>
      </c>
      <c r="H352" s="49">
        <v>0</v>
      </c>
      <c r="I352" s="78">
        <f>(100*B352)/N352</f>
        <v>16.4448223942538</v>
      </c>
      <c r="J352" s="110">
        <f>((C352+F352)*100)/B352</f>
        <v>100</v>
      </c>
      <c r="K352" s="110">
        <f>((D352+G352)*100)/B352</f>
        <v>0</v>
      </c>
      <c r="L352" s="110">
        <f>((E352+H352)*100)/B352</f>
        <v>0</v>
      </c>
      <c r="M352" s="111">
        <f>N352-B351</f>
        <v>41.6079504552471</v>
      </c>
      <c r="N352" s="107">
        <f>O352+P352+Q352+R352+S352+T352</f>
        <v>45.7383479780094</v>
      </c>
      <c r="O352" s="49">
        <v>14</v>
      </c>
      <c r="P352" s="49">
        <v>7</v>
      </c>
      <c r="Q352" s="49">
        <v>1</v>
      </c>
      <c r="R352" s="49">
        <v>10.1735777048612</v>
      </c>
      <c r="S352" s="49">
        <v>13.5647702731482</v>
      </c>
      <c r="T352" s="49">
        <v>0</v>
      </c>
      <c r="U352" s="49">
        <v>15</v>
      </c>
      <c r="V352" s="110">
        <f>((O352+R352)*100)/N352</f>
        <v>52.8518820060656</v>
      </c>
      <c r="W352" s="110">
        <f>((P352+S352)*100)/N352</f>
        <v>44.9617688051076</v>
      </c>
      <c r="X352" s="110">
        <f>((Q352+T352)*100)/N352</f>
        <v>2.18634918882683</v>
      </c>
    </row>
    <row r="353" spans="1:24" s="168" customFormat="1" ht="22.500000" customHeight="1">
      <c r="A353" s="34">
        <v>351</v>
      </c>
      <c r="B353" s="107">
        <f>C353+D353+E353+F353+G353+H353</f>
        <v>0</v>
      </c>
      <c r="C353" s="49">
        <v>0</v>
      </c>
      <c r="D353" s="49">
        <v>0</v>
      </c>
      <c r="E353" s="49">
        <v>0</v>
      </c>
      <c r="F353" s="49">
        <v>0</v>
      </c>
      <c r="G353" s="49">
        <v>0</v>
      </c>
      <c r="H353" s="49">
        <v>0</v>
      </c>
      <c r="I353" s="78">
        <f>(100*B353)/N353</f>
        <v>0</v>
      </c>
      <c r="J353" s="110" t="e">
        <f>((C353+F353)*100)/B353</f>
        <v>#DIV/0!</v>
      </c>
      <c r="K353" s="110" t="e">
        <f>((D353+G353)*100)/B353</f>
        <v>#DIV/0!</v>
      </c>
      <c r="L353" s="110" t="e">
        <f>((E353+H353)*100)/B353</f>
        <v>#DIV/0!</v>
      </c>
      <c r="M353" s="111">
        <f>N353-B352</f>
        <v>8.47840990895058</v>
      </c>
      <c r="N353" s="107">
        <f>O353+P353+Q353+R353+S353+T353</f>
        <v>16</v>
      </c>
      <c r="O353" s="49">
        <v>12</v>
      </c>
      <c r="P353" s="49">
        <v>4</v>
      </c>
      <c r="Q353" s="49">
        <v>0</v>
      </c>
      <c r="R353" s="49">
        <v>0</v>
      </c>
      <c r="S353" s="49">
        <v>0</v>
      </c>
      <c r="T353" s="49">
        <v>0</v>
      </c>
      <c r="U353" s="49">
        <v>9</v>
      </c>
      <c r="V353" s="110">
        <f>((O353+R353)*100)/N353</f>
        <v>75</v>
      </c>
      <c r="W353" s="110">
        <f>((P353+S353)*100)/N353</f>
        <v>25</v>
      </c>
      <c r="X353" s="110">
        <f>((Q353+T353)*100)/N353</f>
        <v>0</v>
      </c>
    </row>
    <row r="354" spans="1:24" s="168" customFormat="1" ht="22.500000" customHeight="1">
      <c r="A354" s="34">
        <v>352</v>
      </c>
      <c r="B354" s="107">
        <f>C354+D354+E354+F354+G354+H354</f>
        <v>0</v>
      </c>
      <c r="C354" s="49">
        <v>0</v>
      </c>
      <c r="D354" s="49">
        <v>0</v>
      </c>
      <c r="E354" s="49">
        <v>0</v>
      </c>
      <c r="F354" s="49">
        <v>0</v>
      </c>
      <c r="G354" s="49">
        <v>0</v>
      </c>
      <c r="H354" s="49">
        <v>0</v>
      </c>
      <c r="I354" s="78">
        <f>(100*B354)/N354</f>
        <v>0</v>
      </c>
      <c r="J354" s="110" t="e">
        <f>((C354+F354)*100)/B354</f>
        <v>#DIV/0!</v>
      </c>
      <c r="K354" s="110" t="e">
        <f>((D354+G354)*100)/B354</f>
        <v>#DIV/0!</v>
      </c>
      <c r="L354" s="110" t="e">
        <f>((E354+H354)*100)/B354</f>
        <v>#DIV/0!</v>
      </c>
      <c r="M354" s="111">
        <f>N354-B353</f>
        <v>14</v>
      </c>
      <c r="N354" s="107">
        <f>O354+P354+Q354+R354+S354+T354</f>
        <v>14</v>
      </c>
      <c r="O354" s="49">
        <v>10</v>
      </c>
      <c r="P354" s="49">
        <v>4</v>
      </c>
      <c r="Q354" s="49">
        <v>0</v>
      </c>
      <c r="R354" s="49">
        <v>0</v>
      </c>
      <c r="S354" s="49">
        <v>0</v>
      </c>
      <c r="T354" s="49">
        <v>0</v>
      </c>
      <c r="U354" s="49">
        <v>9</v>
      </c>
      <c r="V354" s="110">
        <f>((O354+R354)*100)/N354</f>
        <v>71.4285714285714</v>
      </c>
      <c r="W354" s="110">
        <f>((P354+S354)*100)/N354</f>
        <v>28.5714285714286</v>
      </c>
      <c r="X354" s="110">
        <f>((Q354+T354)*100)/N354</f>
        <v>0</v>
      </c>
    </row>
    <row r="355" spans="1:24" s="168" customFormat="1" ht="22.500000" customHeight="1">
      <c r="A355" s="34">
        <v>353</v>
      </c>
      <c r="B355" s="107">
        <f>C355+D355+E355+F355+G355+H355</f>
        <v>101.779814207177</v>
      </c>
      <c r="C355" s="49">
        <v>8</v>
      </c>
      <c r="D355" s="49">
        <v>1</v>
      </c>
      <c r="E355" s="49">
        <v>8</v>
      </c>
      <c r="F355" s="49">
        <v>72.3454414567908</v>
      </c>
      <c r="G355" s="49">
        <v>10.1735777048612</v>
      </c>
      <c r="H355" s="49">
        <v>2.26079504552471</v>
      </c>
      <c r="I355" s="78">
        <f>(100*B355)/N355</f>
        <v>28.4206482244152</v>
      </c>
      <c r="J355" s="110">
        <f>((C355+F355)*100)/B355</f>
        <v>78.9404481454884</v>
      </c>
      <c r="K355" s="110">
        <f>((D355+G355)*100)/B355</f>
        <v>10.97818638391</v>
      </c>
      <c r="L355" s="110">
        <f>((E355+H355)*100)/B355</f>
        <v>10.0813654706015</v>
      </c>
      <c r="M355" s="111">
        <f>N355-B354</f>
        <v>358.119256828707</v>
      </c>
      <c r="N355" s="107">
        <f>O355+P355+Q355+R355+S355+T355</f>
        <v>358.119256828707</v>
      </c>
      <c r="O355" s="49">
        <v>10</v>
      </c>
      <c r="P355" s="49">
        <v>6</v>
      </c>
      <c r="Q355" s="49">
        <v>3</v>
      </c>
      <c r="R355" s="49">
        <v>247.557057484956</v>
      </c>
      <c r="S355" s="49">
        <v>56.5198761381178</v>
      </c>
      <c r="T355" s="49">
        <v>35.042323205633</v>
      </c>
      <c r="U355" s="49">
        <v>24</v>
      </c>
      <c r="V355" s="110">
        <f>((O355+R355)*100)/N355</f>
        <v>71.9193543976746</v>
      </c>
      <c r="W355" s="110">
        <f>((P355+S355)*100)/N355</f>
        <v>17.4578370042865</v>
      </c>
      <c r="X355" s="110">
        <f>((Q355+T355)*100)/N355</f>
        <v>10.6228085980389</v>
      </c>
    </row>
    <row r="356" spans="1:24" s="168" customFormat="1" ht="22.500000" customHeight="1">
      <c r="A356" s="34">
        <v>354</v>
      </c>
      <c r="B356" s="107">
        <f>C356+D356+E356+F356+G356+H356</f>
        <v>9.26079504552471</v>
      </c>
      <c r="C356" s="49">
        <v>6</v>
      </c>
      <c r="D356" s="49">
        <v>0</v>
      </c>
      <c r="E356" s="49">
        <v>1</v>
      </c>
      <c r="F356" s="49">
        <v>2.26079504552471</v>
      </c>
      <c r="G356" s="49">
        <v>0</v>
      </c>
      <c r="H356" s="49">
        <v>0</v>
      </c>
      <c r="I356" s="78">
        <f>(100*B356)/N356</f>
        <v>41.3590969631555</v>
      </c>
      <c r="J356" s="110">
        <f>((C356+F356)*100)/B356</f>
        <v>89.2017910440287</v>
      </c>
      <c r="K356" s="110">
        <f>((D356+G356)*100)/B356</f>
        <v>0</v>
      </c>
      <c r="L356" s="110">
        <f>((E356+H356)*100)/B356</f>
        <v>10.7982089559713</v>
      </c>
      <c r="M356" s="111">
        <f>N356-B355</f>
        <v>-79.3886216388897</v>
      </c>
      <c r="N356" s="107">
        <f>O356+P356+Q356+R356+S356+T356</f>
        <v>22.3911925682871</v>
      </c>
      <c r="O356" s="49">
        <v>11</v>
      </c>
      <c r="P356" s="49">
        <v>6</v>
      </c>
      <c r="Q356" s="49">
        <v>2</v>
      </c>
      <c r="R356" s="49">
        <v>3.39119256828707</v>
      </c>
      <c r="S356" s="49">
        <v>0</v>
      </c>
      <c r="T356" s="49">
        <v>0</v>
      </c>
      <c r="U356" s="49">
        <v>10</v>
      </c>
      <c r="V356" s="110">
        <f>((O356+R356)*100)/N356</f>
        <v>64.2716663009254</v>
      </c>
      <c r="W356" s="110">
        <f>((P356+S356)*100)/N356</f>
        <v>26.796250274306</v>
      </c>
      <c r="X356" s="110">
        <f>((Q356+T356)*100)/N356</f>
        <v>8.93208342476865</v>
      </c>
    </row>
    <row r="357" spans="1:24" s="168" customFormat="1" ht="22.500000" customHeight="1">
      <c r="A357" s="34">
        <v>355</v>
      </c>
      <c r="B357" s="107">
        <f>C357+D357+E357+F357+G357+H357</f>
        <v>10.5215900910494</v>
      </c>
      <c r="C357" s="49">
        <v>5</v>
      </c>
      <c r="D357" s="49">
        <v>0</v>
      </c>
      <c r="E357" s="49">
        <v>1</v>
      </c>
      <c r="F357" s="49">
        <v>3.39119256828707</v>
      </c>
      <c r="G357" s="49">
        <v>0</v>
      </c>
      <c r="H357" s="49">
        <v>1.13039752276235</v>
      </c>
      <c r="I357" s="78">
        <f>(100*B357)/N357</f>
        <v>26.9188279313082</v>
      </c>
      <c r="J357" s="110">
        <f>((C357+F357)*100)/B357</f>
        <v>79.7521334291986</v>
      </c>
      <c r="K357" s="110">
        <f>((D357+G357)*100)/B357</f>
        <v>0</v>
      </c>
      <c r="L357" s="110">
        <f>((E357+H357)*100)/B357</f>
        <v>20.2478665708014</v>
      </c>
      <c r="M357" s="111">
        <f>N357-B356</f>
        <v>29.825565318673</v>
      </c>
      <c r="N357" s="107">
        <f>O357+P357+Q357+R357+S357+T357</f>
        <v>39.0863603641977</v>
      </c>
      <c r="O357" s="49">
        <v>14</v>
      </c>
      <c r="P357" s="49">
        <v>6</v>
      </c>
      <c r="Q357" s="49">
        <v>1</v>
      </c>
      <c r="R357" s="49">
        <v>12.4343727503859</v>
      </c>
      <c r="S357" s="49">
        <v>4.52159009104942</v>
      </c>
      <c r="T357" s="49">
        <v>1.13039752276235</v>
      </c>
      <c r="U357" s="49">
        <v>11</v>
      </c>
      <c r="V357" s="110">
        <f>((O357+R357)*100)/N357</f>
        <v>67.6306837067369</v>
      </c>
      <c r="W357" s="110">
        <f>((P357+S357)*100)/N357</f>
        <v>26.9188279313082</v>
      </c>
      <c r="X357" s="110">
        <f>((Q357+T357)*100)/N357</f>
        <v>5.45048836195491</v>
      </c>
    </row>
    <row r="358" spans="1:24" s="168" customFormat="1" ht="22.500000" customHeight="1">
      <c r="A358" s="34">
        <v>356</v>
      </c>
      <c r="B358" s="107">
        <f>C358+D358+E358+F358+G358+H358</f>
        <v>11.9127826593365</v>
      </c>
      <c r="C358" s="49">
        <v>4</v>
      </c>
      <c r="D358" s="49">
        <v>0</v>
      </c>
      <c r="E358" s="49">
        <v>0</v>
      </c>
      <c r="F358" s="49">
        <v>7.91278265933649</v>
      </c>
      <c r="G358" s="49">
        <v>0</v>
      </c>
      <c r="H358" s="49">
        <v>0</v>
      </c>
      <c r="I358" s="78">
        <f>(100*B358)/N358</f>
        <v>31.2429221245719</v>
      </c>
      <c r="J358" s="110">
        <f>((C358+F358)*100)/B358</f>
        <v>100</v>
      </c>
      <c r="K358" s="110">
        <f>((D358+G358)*100)/B358</f>
        <v>0</v>
      </c>
      <c r="L358" s="110">
        <f>((E358+H358)*100)/B358</f>
        <v>0</v>
      </c>
      <c r="M358" s="111">
        <f>N358-B357</f>
        <v>27.6079504552471</v>
      </c>
      <c r="N358" s="107">
        <f>O358+P358+Q358+R358+S358+T358</f>
        <v>38.1295405462965</v>
      </c>
      <c r="O358" s="49">
        <v>9</v>
      </c>
      <c r="P358" s="49">
        <v>2</v>
      </c>
      <c r="Q358" s="49">
        <v>0</v>
      </c>
      <c r="R358" s="49">
        <v>16.9559628414353</v>
      </c>
      <c r="S358" s="49">
        <v>7.91278265933649</v>
      </c>
      <c r="T358" s="49">
        <v>2.26079504552471</v>
      </c>
      <c r="U358" s="49">
        <v>11</v>
      </c>
      <c r="V358" s="110">
        <f>((O358+R358)*100)/N358</f>
        <v>68.0731067554298</v>
      </c>
      <c r="W358" s="110">
        <f>((P358+S358)*100)/N358</f>
        <v>25.997645178285</v>
      </c>
      <c r="X358" s="110">
        <f>((Q358+T358)*100)/N358</f>
        <v>5.92924806628518</v>
      </c>
    </row>
    <row r="359" spans="1:24" s="168" customFormat="1" ht="22.500000" customHeight="1">
      <c r="A359" s="34">
        <v>357</v>
      </c>
      <c r="B359" s="107">
        <f>C359+D359+E359+F359+G359+H359</f>
        <v>29.0863603641977</v>
      </c>
      <c r="C359" s="49">
        <v>10</v>
      </c>
      <c r="D359" s="49">
        <v>0</v>
      </c>
      <c r="E359" s="49">
        <v>1</v>
      </c>
      <c r="F359" s="49">
        <v>18.0863603641977</v>
      </c>
      <c r="G359" s="49">
        <v>0</v>
      </c>
      <c r="H359" s="49">
        <v>0</v>
      </c>
      <c r="I359" s="78">
        <f>(100*B359)/N359</f>
        <v>32.1482074023884</v>
      </c>
      <c r="J359" s="110">
        <f>((C359+F359)*100)/B359</f>
        <v>96.5619624199152</v>
      </c>
      <c r="K359" s="110">
        <f>((D359+G359)*100)/B359</f>
        <v>0</v>
      </c>
      <c r="L359" s="110">
        <f>((E359+H359)*100)/B359</f>
        <v>3.43803758008478</v>
      </c>
      <c r="M359" s="111">
        <f>N359-B358</f>
        <v>78.5630563202166</v>
      </c>
      <c r="N359" s="107">
        <f>O359+P359+Q359+R359+S359+T359</f>
        <v>90.4758389795531</v>
      </c>
      <c r="O359" s="49">
        <v>12</v>
      </c>
      <c r="P359" s="49">
        <v>5</v>
      </c>
      <c r="Q359" s="49">
        <v>0</v>
      </c>
      <c r="R359" s="49">
        <v>59.9110687064049</v>
      </c>
      <c r="S359" s="49">
        <v>13.5647702731482</v>
      </c>
      <c r="T359" s="49">
        <v>0</v>
      </c>
      <c r="U359" s="49">
        <v>14</v>
      </c>
      <c r="V359" s="110">
        <f>((O359+R359)*100)/N359</f>
        <v>79.4809636666163</v>
      </c>
      <c r="W359" s="110">
        <f>((P359+S359)*100)/N359</f>
        <v>20.5190363333837</v>
      </c>
      <c r="X359" s="110">
        <f>((Q359+T359)*100)/N359</f>
        <v>0</v>
      </c>
    </row>
    <row r="360" spans="1:24" s="168" customFormat="1" ht="22.500000" customHeight="1">
      <c r="A360" s="34">
        <v>358</v>
      </c>
      <c r="B360" s="107">
        <f>C360+D360+E360+F360+G360+H360</f>
        <v>4.13039752276235</v>
      </c>
      <c r="C360" s="49">
        <v>2</v>
      </c>
      <c r="D360" s="49">
        <v>1</v>
      </c>
      <c r="E360" s="49">
        <v>0</v>
      </c>
      <c r="F360" s="49">
        <v>1.13039752276235</v>
      </c>
      <c r="G360" s="49">
        <v>0</v>
      </c>
      <c r="H360" s="49">
        <v>0</v>
      </c>
      <c r="I360" s="78">
        <f>(100*B360)/N360</f>
        <v>20</v>
      </c>
      <c r="J360" s="110">
        <f>((C360+F360)*100)/B360</f>
        <v>75.7892552838058</v>
      </c>
      <c r="K360" s="110">
        <f>((D360+G360)*100)/B360</f>
        <v>24.2107447161942</v>
      </c>
      <c r="L360" s="110">
        <f>((E360+H360)*100)/B360</f>
        <v>0</v>
      </c>
      <c r="M360" s="111">
        <f>N360-B359</f>
        <v>-8.43437275038593</v>
      </c>
      <c r="N360" s="107">
        <f>O360+P360+Q360+R360+S360+T360</f>
        <v>20.6519876138118</v>
      </c>
      <c r="O360" s="49">
        <v>10</v>
      </c>
      <c r="P360" s="49">
        <v>5</v>
      </c>
      <c r="Q360" s="49">
        <v>0</v>
      </c>
      <c r="R360" s="49">
        <v>4.52159009104942</v>
      </c>
      <c r="S360" s="49">
        <v>1.13039752276235</v>
      </c>
      <c r="T360" s="49">
        <v>0</v>
      </c>
      <c r="U360" s="49">
        <v>10</v>
      </c>
      <c r="V360" s="110">
        <f>((O360+R360)*100)/N360</f>
        <v>70.3157021135224</v>
      </c>
      <c r="W360" s="110">
        <f>((P360+S360)*100)/N360</f>
        <v>29.6842978864776</v>
      </c>
      <c r="X360" s="110">
        <f>((Q360+T360)*100)/N360</f>
        <v>0</v>
      </c>
    </row>
    <row r="361" spans="1:24" s="168" customFormat="1" ht="22.500000" customHeight="1">
      <c r="A361" s="34">
        <v>359</v>
      </c>
      <c r="B361" s="107">
        <f>C361+D361+E361+F361+G361+H361</f>
        <v>9.78238513657414</v>
      </c>
      <c r="C361" s="49">
        <v>3</v>
      </c>
      <c r="D361" s="49">
        <v>0</v>
      </c>
      <c r="E361" s="49">
        <v>0</v>
      </c>
      <c r="F361" s="49">
        <v>6.78238513657414</v>
      </c>
      <c r="G361" s="49">
        <v>0</v>
      </c>
      <c r="H361" s="49">
        <v>0</v>
      </c>
      <c r="I361" s="78">
        <f>(100*B361)/N361</f>
        <v>22.545078306373</v>
      </c>
      <c r="J361" s="110">
        <f>((C361+F361)*100)/B361</f>
        <v>100</v>
      </c>
      <c r="K361" s="110">
        <f>((D361+G361)*100)/B361</f>
        <v>0</v>
      </c>
      <c r="L361" s="110">
        <f>((E361+H361)*100)/B361</f>
        <v>0</v>
      </c>
      <c r="M361" s="111">
        <f>N361-B360</f>
        <v>39.2599380690589</v>
      </c>
      <c r="N361" s="107">
        <f>O361+P361+Q361+R361+S361+T361</f>
        <v>43.3903355918212</v>
      </c>
      <c r="O361" s="49">
        <v>9</v>
      </c>
      <c r="P361" s="49">
        <v>5</v>
      </c>
      <c r="Q361" s="49">
        <v>0</v>
      </c>
      <c r="R361" s="49">
        <v>19.21675788696</v>
      </c>
      <c r="S361" s="49">
        <v>10.1735777048612</v>
      </c>
      <c r="T361" s="49">
        <v>0</v>
      </c>
      <c r="U361" s="49">
        <v>11</v>
      </c>
      <c r="V361" s="110">
        <f>((O361+R361)*100)/N361</f>
        <v>65.0300522042486</v>
      </c>
      <c r="W361" s="110">
        <f>((P361+S361)*100)/N361</f>
        <v>34.9699477957514</v>
      </c>
      <c r="X361" s="110">
        <f>((Q361+T361)*100)/N361</f>
        <v>0</v>
      </c>
    </row>
    <row r="362" spans="1:24" s="168" customFormat="1" ht="22.500000" customHeight="1">
      <c r="A362" s="34">
        <v>360</v>
      </c>
      <c r="B362" s="107">
        <f>C362+D362+E362+F362+G362+H362</f>
        <v>7.13039752276235</v>
      </c>
      <c r="C362" s="49">
        <v>6</v>
      </c>
      <c r="D362" s="49">
        <v>0</v>
      </c>
      <c r="E362" s="49">
        <v>0</v>
      </c>
      <c r="F362" s="49">
        <v>1.13039752276235</v>
      </c>
      <c r="G362" s="49">
        <v>0</v>
      </c>
      <c r="H362" s="49">
        <v>0</v>
      </c>
      <c r="I362" s="78">
        <f>(100*B362)/N362</f>
        <v>26.2401866997689</v>
      </c>
      <c r="J362" s="110">
        <f>((C362+F362)*100)/B362</f>
        <v>100</v>
      </c>
      <c r="K362" s="110">
        <f>((D362+G362)*100)/B362</f>
        <v>0</v>
      </c>
      <c r="L362" s="110">
        <f>((E362+H362)*100)/B362</f>
        <v>0</v>
      </c>
      <c r="M362" s="111">
        <f>N362-B361</f>
        <v>17.3911925682871</v>
      </c>
      <c r="N362" s="107">
        <f>O362+P362+Q362+R362+S362+T362</f>
        <v>27.1735777048612</v>
      </c>
      <c r="O362" s="49">
        <v>12</v>
      </c>
      <c r="P362" s="49">
        <v>5</v>
      </c>
      <c r="Q362" s="49">
        <v>0</v>
      </c>
      <c r="R362" s="49">
        <v>9.04318018209885</v>
      </c>
      <c r="S362" s="49">
        <v>1.13039752276235</v>
      </c>
      <c r="T362" s="49">
        <v>0</v>
      </c>
      <c r="U362" s="49">
        <v>9</v>
      </c>
      <c r="V362" s="110">
        <f>((O362+R362)*100)/N362</f>
        <v>77.4398587136884</v>
      </c>
      <c r="W362" s="110">
        <f>((P362+S362)*100)/N362</f>
        <v>22.5601412863116</v>
      </c>
      <c r="X362" s="110">
        <f>((Q362+T362)*100)/N362</f>
        <v>0</v>
      </c>
    </row>
    <row r="363" spans="1:24" s="168" customFormat="1" ht="22.500000" customHeight="1">
      <c r="A363" s="34">
        <v>361</v>
      </c>
      <c r="B363" s="107">
        <f>C363+D363+E363+F363+G363+H363</f>
        <v>0</v>
      </c>
      <c r="C363" s="49">
        <v>0</v>
      </c>
      <c r="D363" s="49">
        <v>0</v>
      </c>
      <c r="E363" s="49">
        <v>0</v>
      </c>
      <c r="F363" s="49">
        <v>0</v>
      </c>
      <c r="G363" s="49">
        <v>0</v>
      </c>
      <c r="H363" s="49">
        <v>0</v>
      </c>
      <c r="I363" s="78">
        <f>(100*B363)/N363</f>
        <v>0</v>
      </c>
      <c r="J363" s="110" t="e">
        <f>((C363+F363)*100)/B363</f>
        <v>#DIV/0!</v>
      </c>
      <c r="K363" s="110" t="e">
        <f>((D363+G363)*100)/B363</f>
        <v>#DIV/0!</v>
      </c>
      <c r="L363" s="110" t="e">
        <f>((E363+H363)*100)/B363</f>
        <v>#DIV/0!</v>
      </c>
      <c r="M363" s="111">
        <f>N363-B362</f>
        <v>34.7383479780095</v>
      </c>
      <c r="N363" s="107">
        <f>O363+P363+Q363+R363+S363+T363</f>
        <v>41.8687455007718</v>
      </c>
      <c r="O363" s="49">
        <v>12</v>
      </c>
      <c r="P363" s="49">
        <v>4</v>
      </c>
      <c r="Q363" s="49">
        <v>1</v>
      </c>
      <c r="R363" s="49">
        <v>18.0863603641977</v>
      </c>
      <c r="S363" s="49">
        <v>5.65198761381178</v>
      </c>
      <c r="T363" s="49">
        <v>1.13039752276235</v>
      </c>
      <c r="U363" s="49">
        <v>14</v>
      </c>
      <c r="V363" s="110">
        <f>((O363+R363)*100)/N363</f>
        <v>71.8587576588438</v>
      </c>
      <c r="W363" s="110">
        <f>((P363+S363)*100)/N363</f>
        <v>23.0529658779336</v>
      </c>
      <c r="X363" s="110">
        <f>((Q363+T363)*100)/N363</f>
        <v>5.08827646322261</v>
      </c>
    </row>
    <row r="364" spans="1:24" s="168" customFormat="1" ht="22.500000" customHeight="1">
      <c r="A364" s="34">
        <v>362</v>
      </c>
      <c r="B364" s="107">
        <f>C364+D364+E364+F364+G364+H364</f>
        <v>11.5215900910494</v>
      </c>
      <c r="C364" s="49">
        <v>6</v>
      </c>
      <c r="D364" s="49">
        <v>0</v>
      </c>
      <c r="E364" s="49">
        <v>1</v>
      </c>
      <c r="F364" s="49">
        <v>4.52159009104942</v>
      </c>
      <c r="G364" s="49">
        <v>0</v>
      </c>
      <c r="H364" s="49">
        <v>0</v>
      </c>
      <c r="I364" s="78">
        <f>(100*B364)/N364</f>
        <v>25.8791562605138</v>
      </c>
      <c r="J364" s="110">
        <f>((C364+F364)*100)/B364</f>
        <v>91.3206424452051</v>
      </c>
      <c r="K364" s="110">
        <f>((D364+G364)*100)/B364</f>
        <v>0</v>
      </c>
      <c r="L364" s="110">
        <f>((E364+H364)*100)/B364</f>
        <v>8.67935755479491</v>
      </c>
      <c r="M364" s="111">
        <f>N364-B363</f>
        <v>44.5207331145836</v>
      </c>
      <c r="N364" s="107">
        <f>O364+P364+Q364+R364+S364+T364</f>
        <v>44.5207331145836</v>
      </c>
      <c r="O364" s="49">
        <v>10</v>
      </c>
      <c r="P364" s="49">
        <v>3</v>
      </c>
      <c r="Q364" s="49">
        <v>1</v>
      </c>
      <c r="R364" s="49">
        <v>20.3471554097224</v>
      </c>
      <c r="S364" s="49">
        <v>7.91278265933649</v>
      </c>
      <c r="T364" s="49">
        <v>2.26079504552471</v>
      </c>
      <c r="U364" s="49">
        <v>11</v>
      </c>
      <c r="V364" s="110">
        <f>((O364+R364)*100)/N364</f>
        <v>68.1640963360094</v>
      </c>
      <c r="W364" s="110">
        <f>((P364+S364)*100)/N364</f>
        <v>24.5116867937689</v>
      </c>
      <c r="X364" s="110">
        <f>((Q364+T364)*100)/N364</f>
        <v>7.3242168702217</v>
      </c>
    </row>
    <row r="365" spans="1:24" s="168" customFormat="1" ht="22.500000" customHeight="1">
      <c r="A365" s="34">
        <v>363</v>
      </c>
      <c r="B365" s="107">
        <f>C365+D365+E365+F365+G365+H365</f>
        <v>9.52159009104942</v>
      </c>
      <c r="C365" s="49">
        <v>5</v>
      </c>
      <c r="D365" s="49">
        <v>0</v>
      </c>
      <c r="E365" s="49">
        <v>0</v>
      </c>
      <c r="F365" s="49">
        <v>4.52159009104942</v>
      </c>
      <c r="G365" s="49">
        <v>0</v>
      </c>
      <c r="H365" s="49">
        <v>0</v>
      </c>
      <c r="I365" s="78">
        <f>(100*B365)/N365</f>
        <v>29.5547743334638</v>
      </c>
      <c r="J365" s="110">
        <f>((C365+F365)*100)/B365</f>
        <v>100</v>
      </c>
      <c r="K365" s="110">
        <f>((D365+G365)*100)/B365</f>
        <v>0</v>
      </c>
      <c r="L365" s="110">
        <f>((E365+H365)*100)/B365</f>
        <v>0</v>
      </c>
      <c r="M365" s="111">
        <f>N365-B364</f>
        <v>20.6951677959106</v>
      </c>
      <c r="N365" s="107">
        <f>O365+P365+Q365+R365+S365+T365</f>
        <v>32.21675788696</v>
      </c>
      <c r="O365" s="49">
        <v>9</v>
      </c>
      <c r="P365" s="49">
        <v>3</v>
      </c>
      <c r="Q365" s="49">
        <v>1</v>
      </c>
      <c r="R365" s="49">
        <v>11.3039752276235</v>
      </c>
      <c r="S365" s="49">
        <v>5.65198761381178</v>
      </c>
      <c r="T365" s="49">
        <v>2.26079504552471</v>
      </c>
      <c r="U365" s="49">
        <v>10</v>
      </c>
      <c r="V365" s="110">
        <f>((O365+R365)*100)/N365</f>
        <v>63.0230245354444</v>
      </c>
      <c r="W365" s="110">
        <f>((P365+S365)*100)/N365</f>
        <v>26.855550282773</v>
      </c>
      <c r="X365" s="110">
        <f>((Q365+T365)*100)/N365</f>
        <v>10.1214251817826</v>
      </c>
    </row>
    <row r="366" spans="1:24" s="168" customFormat="1" ht="22.500000" customHeight="1">
      <c r="A366" s="34">
        <v>364</v>
      </c>
      <c r="B366" s="107">
        <f>C366+D366+E366+F366+G366+H366</f>
        <v>16.9127826593365</v>
      </c>
      <c r="C366" s="49">
        <v>9</v>
      </c>
      <c r="D366" s="49">
        <v>0</v>
      </c>
      <c r="E366" s="49">
        <v>0</v>
      </c>
      <c r="F366" s="49">
        <v>6.78238513657414</v>
      </c>
      <c r="G366" s="49">
        <v>1.13039752276235</v>
      </c>
      <c r="H366" s="49">
        <v>0</v>
      </c>
      <c r="I366" s="78">
        <f>(100*B366)/N366</f>
        <v>36.152693861246</v>
      </c>
      <c r="J366" s="110">
        <f>((C366+F366)*100)/B366</f>
        <v>93.3163126049023</v>
      </c>
      <c r="K366" s="110">
        <f>((D366+G366)*100)/B366</f>
        <v>6.68368739509774</v>
      </c>
      <c r="L366" s="110">
        <f>((E366+H366)*100)/B366</f>
        <v>0</v>
      </c>
      <c r="M366" s="111">
        <f>N366-B365</f>
        <v>37.2599380690588</v>
      </c>
      <c r="N366" s="107">
        <f>O366+P366+Q366+R366+S366+T366</f>
        <v>46.7815281601082</v>
      </c>
      <c r="O366" s="49">
        <v>11</v>
      </c>
      <c r="P366" s="49">
        <v>2</v>
      </c>
      <c r="Q366" s="49">
        <v>1</v>
      </c>
      <c r="R366" s="49">
        <v>13.5647702731482</v>
      </c>
      <c r="S366" s="49">
        <v>11.3039752276235</v>
      </c>
      <c r="T366" s="49">
        <v>7.91278265933649</v>
      </c>
      <c r="U366" s="49">
        <v>12</v>
      </c>
      <c r="V366" s="110">
        <f>((O366+R366)*100)/N366</f>
        <v>52.5095507548965</v>
      </c>
      <c r="W366" s="110">
        <f>((P366+S366)*100)/N366</f>
        <v>28.4385221066125</v>
      </c>
      <c r="X366" s="110">
        <f>((Q366+T366)*100)/N366</f>
        <v>19.0519271384911</v>
      </c>
    </row>
    <row r="367" spans="1:24" s="168" customFormat="1" ht="22.500000" customHeight="1">
      <c r="A367" s="34">
        <v>365</v>
      </c>
      <c r="B367" s="107">
        <f>C367+D367+E367+F367+G367+H367</f>
        <v>6</v>
      </c>
      <c r="C367" s="49">
        <v>6</v>
      </c>
      <c r="D367" s="49">
        <v>0</v>
      </c>
      <c r="E367" s="49">
        <v>0</v>
      </c>
      <c r="F367" s="49">
        <v>0</v>
      </c>
      <c r="G367" s="49">
        <v>0</v>
      </c>
      <c r="H367" s="49">
        <v>0</v>
      </c>
      <c r="I367" s="78">
        <f>(100*B367)/N367</f>
        <v>12.3327041353367</v>
      </c>
      <c r="J367" s="110">
        <f>((C367+F367)*100)/B367</f>
        <v>100</v>
      </c>
      <c r="K367" s="110">
        <f>((D367+G367)*100)/B367</f>
        <v>0</v>
      </c>
      <c r="L367" s="110">
        <f>((E367+H367)*100)/B367</f>
        <v>0</v>
      </c>
      <c r="M367" s="111">
        <f>N367-B366</f>
        <v>31.7383479780094</v>
      </c>
      <c r="N367" s="107">
        <f>O367+P367+Q367+R367+S367+T367</f>
        <v>48.6511306373459</v>
      </c>
      <c r="O367" s="49">
        <v>14</v>
      </c>
      <c r="P367" s="49">
        <v>2</v>
      </c>
      <c r="Q367" s="49">
        <v>1</v>
      </c>
      <c r="R367" s="49">
        <v>24.8687455007718</v>
      </c>
      <c r="S367" s="49">
        <v>5.65198761381178</v>
      </c>
      <c r="T367" s="49">
        <v>1.13039752276235</v>
      </c>
      <c r="U367" s="49">
        <v>9</v>
      </c>
      <c r="V367" s="110">
        <f>((O367+R367)*100)/N367</f>
        <v>79.8927897287861</v>
      </c>
      <c r="W367" s="110">
        <f>((P367+S367)*100)/N367</f>
        <v>15.7282832147336</v>
      </c>
      <c r="X367" s="110">
        <f>((Q367+T367)*100)/N367</f>
        <v>4.37892705648037</v>
      </c>
    </row>
    <row r="368" spans="1:24" s="168" customFormat="1" ht="22.500000" customHeight="1">
      <c r="A368" s="34">
        <v>366</v>
      </c>
      <c r="B368" s="107">
        <f>C368+D368+E368+F368+G368+H368</f>
        <v>0</v>
      </c>
      <c r="C368" s="49">
        <v>0</v>
      </c>
      <c r="D368" s="49">
        <v>0</v>
      </c>
      <c r="E368" s="49">
        <v>0</v>
      </c>
      <c r="F368" s="49">
        <v>0</v>
      </c>
      <c r="G368" s="49">
        <v>0</v>
      </c>
      <c r="H368" s="49">
        <v>0</v>
      </c>
      <c r="I368" s="78">
        <f>(100*B368)/N368</f>
        <v>0</v>
      </c>
      <c r="J368" s="110" t="e">
        <f>((C368+F368)*100)/B368</f>
        <v>#DIV/0!</v>
      </c>
      <c r="K368" s="110" t="e">
        <f>((D368+G368)*100)/B368</f>
        <v>#DIV/0!</v>
      </c>
      <c r="L368" s="110" t="e">
        <f>((E368+H368)*100)/B368</f>
        <v>#DIV/0!</v>
      </c>
      <c r="M368" s="111">
        <f>N368-B367</f>
        <v>24.6951677959106</v>
      </c>
      <c r="N368" s="107">
        <f>O368+P368+Q368+R368+S368+T368</f>
        <v>30.6951677959106</v>
      </c>
      <c r="O368" s="49">
        <v>14</v>
      </c>
      <c r="P368" s="49">
        <v>1</v>
      </c>
      <c r="Q368" s="49">
        <v>1</v>
      </c>
      <c r="R368" s="49">
        <v>12.4343727503859</v>
      </c>
      <c r="S368" s="49">
        <v>1.13039752276235</v>
      </c>
      <c r="T368" s="49">
        <v>1.13039752276235</v>
      </c>
      <c r="U368" s="49">
        <v>11</v>
      </c>
      <c r="V368" s="110">
        <f>((O368+R368)*100)/N368</f>
        <v>86.1190038971139</v>
      </c>
      <c r="W368" s="110">
        <f>((P368+S368)*100)/N368</f>
        <v>6.94049805144305</v>
      </c>
      <c r="X368" s="110">
        <f>((Q368+T368)*100)/N368</f>
        <v>6.94049805144305</v>
      </c>
    </row>
    <row r="369" spans="1:24" s="168" customFormat="1" ht="22.500000" customHeight="1">
      <c r="A369" s="34">
        <v>367</v>
      </c>
      <c r="B369" s="107">
        <f>C369+D369+E369+F369+G369+H369</f>
        <v>8.39119256828707</v>
      </c>
      <c r="C369" s="49">
        <v>5</v>
      </c>
      <c r="D369" s="49">
        <v>0</v>
      </c>
      <c r="E369" s="49">
        <v>0</v>
      </c>
      <c r="F369" s="49">
        <v>3.39119256828707</v>
      </c>
      <c r="G369" s="49">
        <v>0</v>
      </c>
      <c r="H369" s="49">
        <v>0</v>
      </c>
      <c r="I369" s="78">
        <f>(100*B369)/N369</f>
        <v>31.4333763789734</v>
      </c>
      <c r="J369" s="110">
        <f>((C369+F369)*100)/B369</f>
        <v>100</v>
      </c>
      <c r="K369" s="110">
        <f>((D369+G369)*100)/B369</f>
        <v>0</v>
      </c>
      <c r="L369" s="110">
        <f>((E369+H369)*100)/B369</f>
        <v>0</v>
      </c>
      <c r="M369" s="111">
        <f>N369-B368</f>
        <v>26.6951677959106</v>
      </c>
      <c r="N369" s="107">
        <f>O369+P369+Q369+R369+S369+T369</f>
        <v>26.6951677959106</v>
      </c>
      <c r="O369" s="49">
        <v>10</v>
      </c>
      <c r="P369" s="49">
        <v>1</v>
      </c>
      <c r="Q369" s="49">
        <v>1</v>
      </c>
      <c r="R369" s="49">
        <v>11.3039752276235</v>
      </c>
      <c r="S369" s="49">
        <v>1.13039752276235</v>
      </c>
      <c r="T369" s="49">
        <v>2.26079504552471</v>
      </c>
      <c r="U369" s="49">
        <v>10</v>
      </c>
      <c r="V369" s="110">
        <f>((O369+R369)*100)/N369</f>
        <v>79.8046125444735</v>
      </c>
      <c r="W369" s="110">
        <f>((P369+S369)*100)/N369</f>
        <v>7.98046125444736</v>
      </c>
      <c r="X369" s="110">
        <f>((Q369+T369)*100)/N369</f>
        <v>12.2149262010791</v>
      </c>
    </row>
    <row r="370" spans="1:24" s="168" customFormat="1" ht="22.500000" customHeight="1">
      <c r="A370" s="34">
        <v>368</v>
      </c>
      <c r="B370" s="107">
        <f>C370+D370+E370+F370+G370+H370</f>
        <v>20.3039752276235</v>
      </c>
      <c r="C370" s="49">
        <v>9</v>
      </c>
      <c r="D370" s="49">
        <v>0</v>
      </c>
      <c r="E370" s="49">
        <v>0</v>
      </c>
      <c r="F370" s="49">
        <v>11.3039752276235</v>
      </c>
      <c r="G370" s="49">
        <v>0</v>
      </c>
      <c r="H370" s="49">
        <v>0</v>
      </c>
      <c r="I370" s="78">
        <f>(100*B370)/N370</f>
        <v>62.0189364511057</v>
      </c>
      <c r="J370" s="110">
        <f>((C370+F370)*100)/B370</f>
        <v>100</v>
      </c>
      <c r="K370" s="110">
        <f>((D370+G370)*100)/B370</f>
        <v>0</v>
      </c>
      <c r="L370" s="110">
        <f>((E370+H370)*100)/B370</f>
        <v>0</v>
      </c>
      <c r="M370" s="111">
        <f>N370-B369</f>
        <v>24.3471554097224</v>
      </c>
      <c r="N370" s="107">
        <f>O370+P370+Q370+R370+S370+T370</f>
        <v>32.7383479780094</v>
      </c>
      <c r="O370" s="49">
        <v>5</v>
      </c>
      <c r="P370" s="49">
        <v>2</v>
      </c>
      <c r="Q370" s="49">
        <v>2</v>
      </c>
      <c r="R370" s="49">
        <v>19.21675788696</v>
      </c>
      <c r="S370" s="49">
        <v>3.39119256828707</v>
      </c>
      <c r="T370" s="49">
        <v>1.13039752276235</v>
      </c>
      <c r="U370" s="49">
        <v>11</v>
      </c>
      <c r="V370" s="110">
        <f>((O370+R370)*100)/N370</f>
        <v>73.9706166701709</v>
      </c>
      <c r="W370" s="110">
        <f>((P370+S370)*100)/N370</f>
        <v>16.4675156239049</v>
      </c>
      <c r="X370" s="110">
        <f>((Q370+T370)*100)/N370</f>
        <v>9.56186770592414</v>
      </c>
    </row>
    <row r="371" spans="1:24" s="168" customFormat="1" ht="22.500000" customHeight="1">
      <c r="A371" s="34">
        <v>369</v>
      </c>
      <c r="B371" s="107">
        <f>C371+D371+E371+F371+G371+H371</f>
        <v>8.65198761381178</v>
      </c>
      <c r="C371" s="49">
        <v>2</v>
      </c>
      <c r="D371" s="49">
        <v>0</v>
      </c>
      <c r="E371" s="49">
        <v>1</v>
      </c>
      <c r="F371" s="49">
        <v>5.65198761381178</v>
      </c>
      <c r="G371" s="49">
        <v>0</v>
      </c>
      <c r="H371" s="49">
        <v>0</v>
      </c>
      <c r="I371" s="78">
        <f>(100*B371)/N371</f>
        <v>22.7689019419552</v>
      </c>
      <c r="J371" s="110">
        <f>((C371+F371)*100)/B371</f>
        <v>88.441962186774</v>
      </c>
      <c r="K371" s="110">
        <f>((D371+G371)*100)/B371</f>
        <v>0</v>
      </c>
      <c r="L371" s="110">
        <f>((E371+H371)*100)/B371</f>
        <v>11.5580378132261</v>
      </c>
      <c r="M371" s="111">
        <f>N371-B370</f>
        <v>17.6951677959106</v>
      </c>
      <c r="N371" s="107">
        <f>O371+P371+Q371+R371+S371+T371</f>
        <v>37.9991430235341</v>
      </c>
      <c r="O371" s="49">
        <v>9</v>
      </c>
      <c r="P371" s="49">
        <v>2</v>
      </c>
      <c r="Q371" s="49">
        <v>1</v>
      </c>
      <c r="R371" s="49">
        <v>19.21675788696</v>
      </c>
      <c r="S371" s="49">
        <v>5.65198761381178</v>
      </c>
      <c r="T371" s="49">
        <v>1.13039752276235</v>
      </c>
      <c r="U371" s="49">
        <v>10</v>
      </c>
      <c r="V371" s="110">
        <f>((O371+R371)*100)/N371</f>
        <v>74.2563006473183</v>
      </c>
      <c r="W371" s="110">
        <f>((P371+S371)*100)/N371</f>
        <v>20.1372636458476</v>
      </c>
      <c r="X371" s="110">
        <f>((Q371+T371)*100)/N371</f>
        <v>5.60643570683403</v>
      </c>
    </row>
    <row r="372" spans="1:24" s="168" customFormat="1" ht="22.500000" customHeight="1">
      <c r="A372" s="34">
        <v>370</v>
      </c>
      <c r="B372" s="107">
        <f>C372+D372+E372+F372+G372+H372</f>
        <v>5.13039752276235</v>
      </c>
      <c r="C372" s="49">
        <v>4</v>
      </c>
      <c r="D372" s="49">
        <v>0</v>
      </c>
      <c r="E372" s="49">
        <v>0</v>
      </c>
      <c r="F372" s="49">
        <v>1.13039752276235</v>
      </c>
      <c r="G372" s="49">
        <v>0</v>
      </c>
      <c r="H372" s="49">
        <v>0</v>
      </c>
      <c r="I372" s="78">
        <f>(100*B372)/N372</f>
        <v>15.4452085306508</v>
      </c>
      <c r="J372" s="110">
        <f>((C372+F372)*100)/B372</f>
        <v>100</v>
      </c>
      <c r="K372" s="110">
        <f>((D372+G372)*100)/B372</f>
        <v>0</v>
      </c>
      <c r="L372" s="110">
        <f>((E372+H372)*100)/B372</f>
        <v>0</v>
      </c>
      <c r="M372" s="111">
        <f>N372-B371</f>
        <v>24.5647702731482</v>
      </c>
      <c r="N372" s="107">
        <f>O372+P372+Q372+R372+S372+T372</f>
        <v>33.21675788696</v>
      </c>
      <c r="O372" s="49">
        <v>10</v>
      </c>
      <c r="P372" s="49">
        <v>3</v>
      </c>
      <c r="Q372" s="49">
        <v>1</v>
      </c>
      <c r="R372" s="49">
        <v>13.5647702731482</v>
      </c>
      <c r="S372" s="49">
        <v>3.39119256828707</v>
      </c>
      <c r="T372" s="49">
        <v>2.26079504552471</v>
      </c>
      <c r="U372" s="49">
        <v>10</v>
      </c>
      <c r="V372" s="110">
        <f>((O372+R372)*100)/N372</f>
        <v>70.9424151307648</v>
      </c>
      <c r="W372" s="110">
        <f>((P372+S372)*100)/N372</f>
        <v>19.2408680884418</v>
      </c>
      <c r="X372" s="110">
        <f>((Q372+T372)*100)/N372</f>
        <v>9.81671678079338</v>
      </c>
    </row>
    <row r="373" spans="1:24" s="168" customFormat="1" ht="22.500000" customHeight="1">
      <c r="A373" s="34">
        <v>371</v>
      </c>
      <c r="B373" s="107">
        <f>C373+D373+E373+F373+G373+H373</f>
        <v>2</v>
      </c>
      <c r="C373" s="49">
        <v>2</v>
      </c>
      <c r="D373" s="49">
        <v>0</v>
      </c>
      <c r="E373" s="49">
        <v>0</v>
      </c>
      <c r="F373" s="49">
        <v>0</v>
      </c>
      <c r="G373" s="49">
        <v>0</v>
      </c>
      <c r="H373" s="49">
        <v>0</v>
      </c>
      <c r="I373" s="78">
        <f>(100*B373)/N373</f>
        <v>10.8747705869206</v>
      </c>
      <c r="J373" s="110">
        <f>((C373+F373)*100)/B373</f>
        <v>100</v>
      </c>
      <c r="K373" s="110">
        <f>((D373+G373)*100)/B373</f>
        <v>0</v>
      </c>
      <c r="L373" s="110">
        <f>((E373+H373)*100)/B373</f>
        <v>0</v>
      </c>
      <c r="M373" s="111">
        <f>N373-B372</f>
        <v>13.2607950455247</v>
      </c>
      <c r="N373" s="107">
        <f>O373+P373+Q373+R373+S373+T373</f>
        <v>18.3911925682871</v>
      </c>
      <c r="O373" s="49">
        <v>11</v>
      </c>
      <c r="P373" s="49">
        <v>3</v>
      </c>
      <c r="Q373" s="49">
        <v>1</v>
      </c>
      <c r="R373" s="49">
        <v>2.26079504552471</v>
      </c>
      <c r="S373" s="49">
        <v>0</v>
      </c>
      <c r="T373" s="49">
        <v>1.13039752276235</v>
      </c>
      <c r="U373" s="49">
        <v>8</v>
      </c>
      <c r="V373" s="110">
        <f>((O373+R373)*100)/N373</f>
        <v>72.104051960127</v>
      </c>
      <c r="W373" s="110">
        <f>((P373+S373)*100)/N373</f>
        <v>16.3121558803808</v>
      </c>
      <c r="X373" s="110">
        <f>((Q373+T373)*100)/N373</f>
        <v>11.5837921594922</v>
      </c>
    </row>
    <row r="374" spans="1:24" s="168" customFormat="1" ht="22.500000" customHeight="1">
      <c r="A374" s="34">
        <v>372</v>
      </c>
      <c r="B374" s="107">
        <f>C374+D374+E374+F374+G374+H374</f>
        <v>3</v>
      </c>
      <c r="C374" s="49">
        <v>3</v>
      </c>
      <c r="D374" s="49">
        <v>0</v>
      </c>
      <c r="E374" s="49">
        <v>0</v>
      </c>
      <c r="F374" s="49">
        <v>0</v>
      </c>
      <c r="G374" s="49">
        <v>0</v>
      </c>
      <c r="H374" s="49">
        <v>0</v>
      </c>
      <c r="I374" s="78">
        <f>(100*B374)/N374</f>
        <v>6.79816731119755</v>
      </c>
      <c r="J374" s="110">
        <f>((C374+F374)*100)/B374</f>
        <v>100</v>
      </c>
      <c r="K374" s="110">
        <f>((D374+G374)*100)/B374</f>
        <v>0</v>
      </c>
      <c r="L374" s="110">
        <f>((E374+H374)*100)/B374</f>
        <v>0</v>
      </c>
      <c r="M374" s="111">
        <f>N374-B373</f>
        <v>42.1295405462965</v>
      </c>
      <c r="N374" s="107">
        <f>O374+P374+Q374+R374+S374+T374</f>
        <v>44.1295405462965</v>
      </c>
      <c r="O374" s="49">
        <v>13</v>
      </c>
      <c r="P374" s="49">
        <v>3</v>
      </c>
      <c r="Q374" s="49">
        <v>1</v>
      </c>
      <c r="R374" s="49">
        <v>22.6079504552471</v>
      </c>
      <c r="S374" s="49">
        <v>2.26079504552471</v>
      </c>
      <c r="T374" s="49">
        <v>2.26079504552471</v>
      </c>
      <c r="U374" s="49">
        <v>9</v>
      </c>
      <c r="V374" s="110">
        <f>((O374+R374)*100)/N374</f>
        <v>80.689601601201</v>
      </c>
      <c r="W374" s="110">
        <f>((P374+S374)*100)/N374</f>
        <v>11.9212549697987</v>
      </c>
      <c r="X374" s="110">
        <f>((Q374+T374)*100)/N374</f>
        <v>7.38914342900034</v>
      </c>
    </row>
    <row r="375" spans="1:24" s="168" customFormat="1" ht="22.500000" customHeight="1">
      <c r="A375" s="34">
        <v>373</v>
      </c>
      <c r="B375" s="107">
        <f>C375+D375+E375+F375+G375+H375</f>
        <v>0</v>
      </c>
      <c r="C375" s="49">
        <v>0</v>
      </c>
      <c r="D375" s="49">
        <v>0</v>
      </c>
      <c r="E375" s="49">
        <v>0</v>
      </c>
      <c r="F375" s="49">
        <v>0</v>
      </c>
      <c r="G375" s="49">
        <v>0</v>
      </c>
      <c r="H375" s="49">
        <v>0</v>
      </c>
      <c r="I375" s="78">
        <f>(100*B375)/N375</f>
        <v>0</v>
      </c>
      <c r="J375" s="110" t="e">
        <f>((C375+F375)*100)/B375</f>
        <v>#DIV/0!</v>
      </c>
      <c r="K375" s="110" t="e">
        <f>((D375+G375)*100)/B375</f>
        <v>#DIV/0!</v>
      </c>
      <c r="L375" s="110" t="e">
        <f>((E375+H375)*100)/B375</f>
        <v>#DIV/0!</v>
      </c>
      <c r="M375" s="111">
        <f>N375-B374</f>
        <v>64.8247083422072</v>
      </c>
      <c r="N375" s="107">
        <f>O375+P375+Q375+R375+S375+T375</f>
        <v>67.8247083422072</v>
      </c>
      <c r="O375" s="49">
        <v>16</v>
      </c>
      <c r="P375" s="49">
        <v>6</v>
      </c>
      <c r="Q375" s="49">
        <v>4</v>
      </c>
      <c r="R375" s="49">
        <v>32.7815281601083</v>
      </c>
      <c r="S375" s="49">
        <v>4.52159009104942</v>
      </c>
      <c r="T375" s="49">
        <v>4.52159009104942</v>
      </c>
      <c r="U375" s="49">
        <v>10</v>
      </c>
      <c r="V375" s="110">
        <f>((O375+R375)*100)/N375</f>
        <v>71.9229457117351</v>
      </c>
      <c r="W375" s="110">
        <f>((P375+S375)*100)/N375</f>
        <v>15.512916086514</v>
      </c>
      <c r="X375" s="110">
        <f>((Q375+T375)*100)/N375</f>
        <v>12.564138201751</v>
      </c>
    </row>
    <row r="376" spans="1:24" s="168" customFormat="1" ht="22.500000" customHeight="1">
      <c r="A376" s="34">
        <v>374</v>
      </c>
      <c r="B376" s="107">
        <f>C376+D376+E376+F376+G376+H376</f>
        <v>11.5215900910494</v>
      </c>
      <c r="C376" s="49">
        <v>6</v>
      </c>
      <c r="D376" s="49">
        <v>0</v>
      </c>
      <c r="E376" s="49">
        <v>1</v>
      </c>
      <c r="F376" s="49">
        <v>4.52159009104942</v>
      </c>
      <c r="G376" s="49">
        <v>0</v>
      </c>
      <c r="H376" s="49">
        <v>0</v>
      </c>
      <c r="I376" s="78">
        <f>(100*B376)/N376</f>
        <v>36.3512512861218</v>
      </c>
      <c r="J376" s="110">
        <f>((C376+F376)*100)/B376</f>
        <v>91.3206424452051</v>
      </c>
      <c r="K376" s="110">
        <f>((D376+G376)*100)/B376</f>
        <v>0</v>
      </c>
      <c r="L376" s="110">
        <f>((E376+H376)*100)/B376</f>
        <v>8.67935755479491</v>
      </c>
      <c r="M376" s="111">
        <f>N376-B375</f>
        <v>31.6951677959106</v>
      </c>
      <c r="N376" s="107">
        <f>O376+P376+Q376+R376+S376+T376</f>
        <v>31.6951677959106</v>
      </c>
      <c r="O376" s="49">
        <v>9</v>
      </c>
      <c r="P376" s="49">
        <v>5</v>
      </c>
      <c r="Q376" s="49">
        <v>3</v>
      </c>
      <c r="R376" s="49">
        <v>10.1735777048612</v>
      </c>
      <c r="S376" s="49">
        <v>2.26079504552471</v>
      </c>
      <c r="T376" s="49">
        <v>2.26079504552471</v>
      </c>
      <c r="U376" s="49">
        <v>8</v>
      </c>
      <c r="V376" s="110">
        <f>((O376+R376)*100)/N376</f>
        <v>60.4936936391137</v>
      </c>
      <c r="W376" s="110">
        <f>((P376+S376)*100)/N376</f>
        <v>22.9082082552076</v>
      </c>
      <c r="X376" s="110">
        <f>((Q376+T376)*100)/N376</f>
        <v>16.5980981056786</v>
      </c>
    </row>
    <row r="377" spans="1:24" s="168" customFormat="1" ht="22.500000" customHeight="1">
      <c r="A377" s="34">
        <v>375</v>
      </c>
      <c r="B377" s="107">
        <f>C377+D377+E377+F377+G377+H377</f>
        <v>7.2607950455247</v>
      </c>
      <c r="C377" s="49">
        <v>3</v>
      </c>
      <c r="D377" s="49">
        <v>0</v>
      </c>
      <c r="E377" s="49">
        <v>2</v>
      </c>
      <c r="F377" s="49">
        <v>1.13039752276235</v>
      </c>
      <c r="G377" s="49">
        <v>0</v>
      </c>
      <c r="H377" s="49">
        <v>1.13039752276235</v>
      </c>
      <c r="I377" s="78">
        <f>(100*B377)/N377</f>
        <v>20.1206078203674</v>
      </c>
      <c r="J377" s="110">
        <f>((C377+F377)*100)/B377</f>
        <v>56.8862982203055</v>
      </c>
      <c r="K377" s="110">
        <f>((D377+G377)*100)/B377</f>
        <v>0</v>
      </c>
      <c r="L377" s="110">
        <f>((E377+H377)*100)/B377</f>
        <v>43.1137017796945</v>
      </c>
      <c r="M377" s="111">
        <f>N377-B376</f>
        <v>24.5647702731482</v>
      </c>
      <c r="N377" s="107">
        <f>O377+P377+Q377+R377+S377+T377</f>
        <v>36.0863603641976</v>
      </c>
      <c r="O377" s="49">
        <v>12</v>
      </c>
      <c r="P377" s="49">
        <v>5</v>
      </c>
      <c r="Q377" s="49">
        <v>1</v>
      </c>
      <c r="R377" s="49">
        <v>13.5647702731482</v>
      </c>
      <c r="S377" s="49">
        <v>3.39119256828707</v>
      </c>
      <c r="T377" s="49">
        <v>1.13039752276235</v>
      </c>
      <c r="U377" s="49">
        <v>8</v>
      </c>
      <c r="V377" s="110">
        <f>((O377+R377)*100)/N377</f>
        <v>70.8433048252541</v>
      </c>
      <c r="W377" s="110">
        <f>((P377+S377)*100)/N377</f>
        <v>23.2530864393081</v>
      </c>
      <c r="X377" s="110">
        <f>((Q377+T377)*100)/N377</f>
        <v>5.90360873543784</v>
      </c>
    </row>
    <row r="378" spans="1:24" s="168" customFormat="1" ht="22.500000" customHeight="1">
      <c r="A378" s="34">
        <v>376</v>
      </c>
      <c r="B378" s="107">
        <f>C378+D378+E378+F378+G378+H378</f>
        <v>0</v>
      </c>
      <c r="C378" s="49">
        <v>0</v>
      </c>
      <c r="D378" s="49">
        <v>0</v>
      </c>
      <c r="E378" s="49">
        <v>0</v>
      </c>
      <c r="F378" s="49">
        <v>0</v>
      </c>
      <c r="G378" s="49">
        <v>0</v>
      </c>
      <c r="H378" s="49">
        <v>0</v>
      </c>
      <c r="I378" s="78">
        <f>(100*B378)/N378</f>
        <v>0</v>
      </c>
      <c r="J378" s="110" t="e">
        <f>((C378+F378)*100)/B378</f>
        <v>#DIV/0!</v>
      </c>
      <c r="K378" s="110" t="e">
        <f>((D378+G378)*100)/B378</f>
        <v>#DIV/0!</v>
      </c>
      <c r="L378" s="110" t="e">
        <f>((E378+H378)*100)/B378</f>
        <v>#DIV/0!</v>
      </c>
      <c r="M378" s="111">
        <f>N378-B377</f>
        <v>16.3911925682871</v>
      </c>
      <c r="N378" s="107">
        <f>O378+P378+Q378+R378+S378+T378</f>
        <v>23.6519876138118</v>
      </c>
      <c r="O378" s="49">
        <v>12</v>
      </c>
      <c r="P378" s="49">
        <v>5</v>
      </c>
      <c r="Q378" s="49">
        <v>1</v>
      </c>
      <c r="R378" s="49">
        <v>5.65198761381178</v>
      </c>
      <c r="S378" s="49">
        <v>0</v>
      </c>
      <c r="T378" s="49">
        <v>0</v>
      </c>
      <c r="U378" s="49">
        <v>7</v>
      </c>
      <c r="V378" s="110">
        <f>((O378+R378)*100)/N378</f>
        <v>74.6321531282375</v>
      </c>
      <c r="W378" s="110">
        <f>((P378+S378)*100)/N378</f>
        <v>21.1398723931354</v>
      </c>
      <c r="X378" s="110">
        <f>((Q378+T378)*100)/N378</f>
        <v>4.22797447862708</v>
      </c>
    </row>
    <row r="379" spans="1:24" s="168" customFormat="1" ht="22.500000" customHeight="1">
      <c r="A379" s="34">
        <v>377</v>
      </c>
      <c r="B379" s="107">
        <f>C379+D379+E379+F379+G379+H379</f>
        <v>8.39119256828707</v>
      </c>
      <c r="C379" s="49">
        <v>5</v>
      </c>
      <c r="D379" s="49">
        <v>0</v>
      </c>
      <c r="E379" s="49">
        <v>0</v>
      </c>
      <c r="F379" s="49">
        <v>3.39119256828707</v>
      </c>
      <c r="G379" s="49">
        <v>0</v>
      </c>
      <c r="H379" s="49">
        <v>0</v>
      </c>
      <c r="I379" s="78">
        <f>(100*B379)/N379</f>
        <v>37.8432054582127</v>
      </c>
      <c r="J379" s="110">
        <f>((C379+F379)*100)/B379</f>
        <v>100</v>
      </c>
      <c r="K379" s="110">
        <f>((D379+G379)*100)/B379</f>
        <v>0</v>
      </c>
      <c r="L379" s="110">
        <f>((E379+H379)*100)/B379</f>
        <v>0</v>
      </c>
      <c r="M379" s="111">
        <f>N379-B378</f>
        <v>22.1735777048612</v>
      </c>
      <c r="N379" s="107">
        <f>O379+P379+Q379+R379+S379+T379</f>
        <v>22.1735777048612</v>
      </c>
      <c r="O379" s="49">
        <v>6</v>
      </c>
      <c r="P379" s="49">
        <v>5</v>
      </c>
      <c r="Q379" s="49">
        <v>1</v>
      </c>
      <c r="R379" s="49">
        <v>7.91278265933649</v>
      </c>
      <c r="S379" s="49">
        <v>2.26079504552471</v>
      </c>
      <c r="T379" s="49">
        <v>0</v>
      </c>
      <c r="U379" s="49">
        <v>9</v>
      </c>
      <c r="V379" s="110">
        <f>((O379+R379)*100)/N379</f>
        <v>62.7448706948466</v>
      </c>
      <c r="W379" s="110">
        <f>((P379+S379)*100)/N379</f>
        <v>32.7452571802741</v>
      </c>
      <c r="X379" s="110">
        <f>((Q379+T379)*100)/N379</f>
        <v>4.50987212487936</v>
      </c>
    </row>
    <row r="380" spans="1:24" s="168" customFormat="1" ht="22.500000" customHeight="1">
      <c r="A380" s="34">
        <v>378</v>
      </c>
      <c r="B380" s="107">
        <f>C380+D380+E380+F380+G380+H380</f>
        <v>14.6519876138118</v>
      </c>
      <c r="C380" s="49">
        <v>8</v>
      </c>
      <c r="D380" s="49">
        <v>1</v>
      </c>
      <c r="E380" s="49">
        <v>0</v>
      </c>
      <c r="F380" s="49">
        <v>3.39119256828707</v>
      </c>
      <c r="G380" s="49">
        <v>2.26079504552471</v>
      </c>
      <c r="H380" s="49">
        <v>0</v>
      </c>
      <c r="I380" s="78">
        <f>(100*B380)/N380</f>
        <v>69.1993947269849</v>
      </c>
      <c r="J380" s="110">
        <f>((C380+F380)*100)/B380</f>
        <v>77.7450327459266</v>
      </c>
      <c r="K380" s="110">
        <f>((D380+G380)*100)/B380</f>
        <v>22.2549672540735</v>
      </c>
      <c r="L380" s="110">
        <f>((E380+H380)*100)/B380</f>
        <v>0</v>
      </c>
      <c r="M380" s="111">
        <f>N380-B379</f>
        <v>12.7823851365741</v>
      </c>
      <c r="N380" s="107">
        <f>O380+P380+Q380+R380+S380+T380</f>
        <v>21.1735777048612</v>
      </c>
      <c r="O380" s="49">
        <v>7</v>
      </c>
      <c r="P380" s="49">
        <v>3</v>
      </c>
      <c r="Q380" s="49">
        <v>1</v>
      </c>
      <c r="R380" s="49">
        <v>9.04318018209885</v>
      </c>
      <c r="S380" s="49">
        <v>1.13039752276235</v>
      </c>
      <c r="T380" s="49">
        <v>0</v>
      </c>
      <c r="U380" s="49">
        <v>9</v>
      </c>
      <c r="V380" s="110">
        <f>((O380+R380)*100)/N380</f>
        <v>75.7698127625145</v>
      </c>
      <c r="W380" s="110">
        <f>((P380+S380)*100)/N380</f>
        <v>19.5073198319907</v>
      </c>
      <c r="X380" s="110">
        <f>((Q380+T380)*100)/N380</f>
        <v>4.72286740549478</v>
      </c>
    </row>
    <row r="381" spans="1:24" s="168" customFormat="1" ht="22.500000" customHeight="1">
      <c r="A381" s="34">
        <v>379</v>
      </c>
      <c r="B381" s="107">
        <f>C381+D381+E381+F381+G381+H381</f>
        <v>5.13039752276235</v>
      </c>
      <c r="C381" s="49">
        <v>1</v>
      </c>
      <c r="D381" s="49">
        <v>2</v>
      </c>
      <c r="E381" s="49">
        <v>1</v>
      </c>
      <c r="F381" s="49">
        <v>1.13039752276235</v>
      </c>
      <c r="G381" s="49">
        <v>0</v>
      </c>
      <c r="H381" s="49">
        <v>0</v>
      </c>
      <c r="I381" s="78">
        <f>(100*B381)/N381</f>
        <v>14.303253295134</v>
      </c>
      <c r="J381" s="110">
        <f>((C381+F381)*100)/B381</f>
        <v>41.5249990533927</v>
      </c>
      <c r="K381" s="110">
        <f>((D381+G381)*100)/B381</f>
        <v>38.9833339644048</v>
      </c>
      <c r="L381" s="110">
        <f>((E381+H381)*100)/B381</f>
        <v>19.4916669822024</v>
      </c>
      <c r="M381" s="111">
        <f>N381-B380</f>
        <v>21.21675788696</v>
      </c>
      <c r="N381" s="107">
        <f>O381+P381+Q381+R381+S381+T381</f>
        <v>35.8687455007718</v>
      </c>
      <c r="O381" s="49">
        <v>9</v>
      </c>
      <c r="P381" s="49">
        <v>2</v>
      </c>
      <c r="Q381" s="49">
        <v>0</v>
      </c>
      <c r="R381" s="49">
        <v>21.4775529324847</v>
      </c>
      <c r="S381" s="49">
        <v>3.39119256828707</v>
      </c>
      <c r="T381" s="49">
        <v>0</v>
      </c>
      <c r="U381" s="49">
        <v>9</v>
      </c>
      <c r="V381" s="110">
        <f>((O381+R381)*100)/N381</f>
        <v>84.9696651136821</v>
      </c>
      <c r="W381" s="110">
        <f>((P381+S381)*100)/N381</f>
        <v>15.0303348863179</v>
      </c>
      <c r="X381" s="110">
        <f>((Q381+T381)*100)/N381</f>
        <v>0</v>
      </c>
    </row>
    <row r="382" spans="1:24" s="168" customFormat="1" ht="22.500000" customHeight="1">
      <c r="A382" s="34">
        <v>380</v>
      </c>
      <c r="B382" s="107">
        <f>C382+D382+E382+F382+G382+H382</f>
        <v>4.13039752276235</v>
      </c>
      <c r="C382" s="49">
        <v>3</v>
      </c>
      <c r="D382" s="49">
        <v>0</v>
      </c>
      <c r="E382" s="49">
        <v>0</v>
      </c>
      <c r="F382" s="49">
        <v>1.13039752276235</v>
      </c>
      <c r="G382" s="49">
        <v>0</v>
      </c>
      <c r="H382" s="49">
        <v>0</v>
      </c>
      <c r="I382" s="78">
        <f>(100*B382)/N382</f>
        <v>26.610659723221</v>
      </c>
      <c r="J382" s="110">
        <f>((C382+F382)*100)/B382</f>
        <v>100</v>
      </c>
      <c r="K382" s="110">
        <f>((D382+G382)*100)/B382</f>
        <v>0</v>
      </c>
      <c r="L382" s="110">
        <f>((E382+H382)*100)/B382</f>
        <v>0</v>
      </c>
      <c r="M382" s="111">
        <f>N382-B381</f>
        <v>10.3911925682871</v>
      </c>
      <c r="N382" s="107">
        <f>O382+P382+Q382+R382+S382+T382</f>
        <v>15.5215900910494</v>
      </c>
      <c r="O382" s="49">
        <v>9</v>
      </c>
      <c r="P382" s="49">
        <v>2</v>
      </c>
      <c r="Q382" s="49">
        <v>0</v>
      </c>
      <c r="R382" s="49">
        <v>4.52159009104942</v>
      </c>
      <c r="S382" s="49">
        <v>0</v>
      </c>
      <c r="T382" s="49">
        <v>0</v>
      </c>
      <c r="U382" s="49">
        <v>7</v>
      </c>
      <c r="V382" s="110">
        <f>((O382+R382)*100)/N382</f>
        <v>87.1147222142317</v>
      </c>
      <c r="W382" s="110">
        <f>((P382+S382)*100)/N382</f>
        <v>12.8852777857683</v>
      </c>
      <c r="X382" s="110">
        <f>((Q382+T382)*100)/N382</f>
        <v>0</v>
      </c>
    </row>
    <row r="383" spans="1:24" s="168" customFormat="1" ht="22.500000" customHeight="1">
      <c r="A383" s="34">
        <v>381</v>
      </c>
      <c r="B383" s="107">
        <f>C383+D383+E383+F383+G383+H383</f>
        <v>0</v>
      </c>
      <c r="C383" s="49">
        <v>0</v>
      </c>
      <c r="D383" s="49">
        <v>0</v>
      </c>
      <c r="E383" s="49">
        <v>0</v>
      </c>
      <c r="F383" s="49">
        <v>0</v>
      </c>
      <c r="G383" s="49">
        <v>0</v>
      </c>
      <c r="H383" s="49">
        <v>0</v>
      </c>
      <c r="I383" s="78">
        <f>(100*B383)/N383</f>
        <v>0</v>
      </c>
      <c r="J383" s="110" t="e">
        <f>((C383+F383)*100)/B383</f>
        <v>#DIV/0!</v>
      </c>
      <c r="K383" s="110" t="e">
        <f>((D383+G383)*100)/B383</f>
        <v>#DIV/0!</v>
      </c>
      <c r="L383" s="110" t="e">
        <f>((E383+H383)*100)/B383</f>
        <v>#DIV/0!</v>
      </c>
      <c r="M383" s="111">
        <f>N383-B382</f>
        <v>26.9559628414353</v>
      </c>
      <c r="N383" s="107">
        <f>O383+P383+Q383+R383+S383+T383</f>
        <v>31.0863603641976</v>
      </c>
      <c r="O383" s="49">
        <v>10</v>
      </c>
      <c r="P383" s="49">
        <v>3</v>
      </c>
      <c r="Q383" s="49">
        <v>0</v>
      </c>
      <c r="R383" s="49">
        <v>13.5647702731482</v>
      </c>
      <c r="S383" s="49">
        <v>4.52159009104942</v>
      </c>
      <c r="T383" s="49">
        <v>0</v>
      </c>
      <c r="U383" s="49">
        <v>9</v>
      </c>
      <c r="V383" s="110">
        <f>((O383+R383)*100)/N383</f>
        <v>75.8042112266314</v>
      </c>
      <c r="W383" s="110">
        <f>((P383+S383)*100)/N383</f>
        <v>24.1957887733686</v>
      </c>
      <c r="X383" s="110">
        <f>((Q383+T383)*100)/N383</f>
        <v>0</v>
      </c>
    </row>
    <row r="384" spans="1:24" s="168" customFormat="1" ht="22.500000" customHeight="1">
      <c r="A384" s="34">
        <v>382</v>
      </c>
      <c r="B384" s="107">
        <f>C384+D384+E384+F384+G384+H384</f>
        <v>4.26079504552471</v>
      </c>
      <c r="C384" s="49">
        <v>2</v>
      </c>
      <c r="D384" s="49">
        <v>0</v>
      </c>
      <c r="E384" s="49">
        <v>0</v>
      </c>
      <c r="F384" s="49">
        <v>2.26079504552471</v>
      </c>
      <c r="G384" s="49">
        <v>0</v>
      </c>
      <c r="H384" s="49">
        <v>0</v>
      </c>
      <c r="I384" s="78">
        <f>(100*B384)/N384</f>
        <v>13.5922860936952</v>
      </c>
      <c r="J384" s="110">
        <f>((C384+F384)*100)/B384</f>
        <v>100</v>
      </c>
      <c r="K384" s="110">
        <f>((D384+G384)*100)/B384</f>
        <v>0</v>
      </c>
      <c r="L384" s="110">
        <f>((E384+H384)*100)/B384</f>
        <v>0</v>
      </c>
      <c r="M384" s="111">
        <f>N384-B383</f>
        <v>31.3471554097223</v>
      </c>
      <c r="N384" s="107">
        <f>O384+P384+Q384+R384+S384+T384</f>
        <v>31.3471554097223</v>
      </c>
      <c r="O384" s="49">
        <v>8</v>
      </c>
      <c r="P384" s="49">
        <v>3</v>
      </c>
      <c r="Q384" s="49">
        <v>0</v>
      </c>
      <c r="R384" s="49">
        <v>15.8255653186729</v>
      </c>
      <c r="S384" s="49">
        <v>4.52159009104942</v>
      </c>
      <c r="T384" s="49">
        <v>0</v>
      </c>
      <c r="U384" s="49">
        <v>9</v>
      </c>
      <c r="V384" s="110">
        <f>((O384+R384)*100)/N384</f>
        <v>76.0055099330748</v>
      </c>
      <c r="W384" s="110">
        <f>((P384+S384)*100)/N384</f>
        <v>23.9944900669252</v>
      </c>
      <c r="X384" s="110">
        <f>((Q384+T384)*100)/N384</f>
        <v>0</v>
      </c>
    </row>
    <row r="385" spans="1:24" s="168" customFormat="1" ht="22.500000" customHeight="1">
      <c r="A385" s="34">
        <v>383</v>
      </c>
      <c r="B385" s="107">
        <f>C385+D385+E385+F385+G385+H385</f>
        <v>3.13039752276235</v>
      </c>
      <c r="C385" s="49">
        <v>2</v>
      </c>
      <c r="D385" s="49">
        <v>0</v>
      </c>
      <c r="E385" s="49">
        <v>0</v>
      </c>
      <c r="F385" s="49">
        <v>1.13039752276235</v>
      </c>
      <c r="G385" s="49">
        <v>0</v>
      </c>
      <c r="H385" s="49">
        <v>0</v>
      </c>
      <c r="I385" s="78">
        <f>(100*B385)/N385</f>
        <v>19.0980461593679</v>
      </c>
      <c r="J385" s="110">
        <f>((C385+F385)*100)/B385</f>
        <v>100</v>
      </c>
      <c r="K385" s="110">
        <f>((D385+G385)*100)/B385</f>
        <v>0</v>
      </c>
      <c r="L385" s="110">
        <f>((E385+H385)*100)/B385</f>
        <v>0</v>
      </c>
      <c r="M385" s="111">
        <f>N385-B384</f>
        <v>12.1303975227624</v>
      </c>
      <c r="N385" s="107">
        <f>O385+P385+Q385+R385+S385+T385</f>
        <v>16.3911925682871</v>
      </c>
      <c r="O385" s="49">
        <v>9</v>
      </c>
      <c r="P385" s="49">
        <v>4</v>
      </c>
      <c r="Q385" s="49">
        <v>0</v>
      </c>
      <c r="R385" s="49">
        <v>3.39119256828707</v>
      </c>
      <c r="S385" s="49">
        <v>0</v>
      </c>
      <c r="T385" s="49">
        <v>0</v>
      </c>
      <c r="U385" s="49">
        <v>6</v>
      </c>
      <c r="V385" s="110">
        <f>((O385+R385)*100)/N385</f>
        <v>75.5966505589165</v>
      </c>
      <c r="W385" s="110">
        <f>((P385+S385)*100)/N385</f>
        <v>24.4033494410835</v>
      </c>
      <c r="X385" s="110">
        <f>((Q385+T385)*100)/N385</f>
        <v>0</v>
      </c>
    </row>
    <row r="386" spans="1:24" s="168" customFormat="1" ht="22.500000" customHeight="1">
      <c r="A386" s="34">
        <v>384</v>
      </c>
      <c r="B386" s="107">
        <f>C386+D386+E386+F386+G386+H386</f>
        <v>5.39119256828707</v>
      </c>
      <c r="C386" s="49">
        <v>2</v>
      </c>
      <c r="D386" s="49">
        <v>0</v>
      </c>
      <c r="E386" s="49">
        <v>0</v>
      </c>
      <c r="F386" s="49">
        <v>3.39119256828707</v>
      </c>
      <c r="G386" s="49">
        <v>0</v>
      </c>
      <c r="H386" s="49">
        <v>0</v>
      </c>
      <c r="I386" s="78">
        <f>(100*B386)/N386</f>
        <v>20.8754097026058</v>
      </c>
      <c r="J386" s="110">
        <f>((C386+F386)*100)/B386</f>
        <v>100</v>
      </c>
      <c r="K386" s="110">
        <f>((D386+G386)*100)/B386</f>
        <v>0</v>
      </c>
      <c r="L386" s="110">
        <f>((E386+H386)*100)/B386</f>
        <v>0</v>
      </c>
      <c r="M386" s="111">
        <f>N386-B385</f>
        <v>22.6951677959106</v>
      </c>
      <c r="N386" s="107">
        <f>O386+P386+Q386+R386+S386+T386</f>
        <v>25.825565318673</v>
      </c>
      <c r="O386" s="49">
        <v>6</v>
      </c>
      <c r="P386" s="49">
        <v>4</v>
      </c>
      <c r="Q386" s="49">
        <v>0</v>
      </c>
      <c r="R386" s="49">
        <v>10.1735777048612</v>
      </c>
      <c r="S386" s="49">
        <v>5.65198761381178</v>
      </c>
      <c r="T386" s="49">
        <v>0</v>
      </c>
      <c r="U386" s="49">
        <v>9</v>
      </c>
      <c r="V386" s="110">
        <f>((O386+R386)*100)/N386</f>
        <v>62.6262291078175</v>
      </c>
      <c r="W386" s="110">
        <f>((P386+S386)*100)/N386</f>
        <v>37.3737708921825</v>
      </c>
      <c r="X386" s="110">
        <f>((Q386+T386)*100)/N386</f>
        <v>0</v>
      </c>
    </row>
    <row r="387" spans="1:24" s="168" customFormat="1" ht="22.500000" customHeight="1">
      <c r="A387" s="34">
        <v>385</v>
      </c>
      <c r="B387" s="107">
        <f>C387+D387+E387+F387+G387+H387</f>
        <v>4.13039752276235</v>
      </c>
      <c r="C387" s="49">
        <v>2</v>
      </c>
      <c r="D387" s="49">
        <v>1</v>
      </c>
      <c r="E387" s="49">
        <v>0</v>
      </c>
      <c r="F387" s="49">
        <v>1.13039752276235</v>
      </c>
      <c r="G387" s="49">
        <v>0</v>
      </c>
      <c r="H387" s="49">
        <v>0</v>
      </c>
      <c r="I387" s="78">
        <f>(100*B387)/N387</f>
        <v>12.195307094171</v>
      </c>
      <c r="J387" s="110">
        <f>((C387+F387)*100)/B387</f>
        <v>75.7892552838058</v>
      </c>
      <c r="K387" s="110">
        <f>((D387+G387)*100)/B387</f>
        <v>24.2107447161942</v>
      </c>
      <c r="L387" s="110">
        <f>((E387+H387)*100)/B387</f>
        <v>0</v>
      </c>
      <c r="M387" s="111">
        <f>N387-B386</f>
        <v>28.4775529324847</v>
      </c>
      <c r="N387" s="107">
        <f>O387+P387+Q387+R387+S387+T387</f>
        <v>33.8687455007718</v>
      </c>
      <c r="O387" s="49">
        <v>7</v>
      </c>
      <c r="P387" s="49">
        <v>2</v>
      </c>
      <c r="Q387" s="49">
        <v>0</v>
      </c>
      <c r="R387" s="49">
        <v>16.9559628414353</v>
      </c>
      <c r="S387" s="49">
        <v>7.91278265933649</v>
      </c>
      <c r="T387" s="49">
        <v>0</v>
      </c>
      <c r="U387" s="49">
        <v>8</v>
      </c>
      <c r="V387" s="110">
        <f>((O387+R387)*100)/N387</f>
        <v>70.7317690313903</v>
      </c>
      <c r="W387" s="110">
        <f>((P387+S387)*100)/N387</f>
        <v>29.2682309686097</v>
      </c>
      <c r="X387" s="110">
        <f>((Q387+T387)*100)/N387</f>
        <v>0</v>
      </c>
    </row>
    <row r="388" spans="1:24" s="168" customFormat="1" ht="22.500000" customHeight="1">
      <c r="A388" s="34">
        <v>386</v>
      </c>
      <c r="B388" s="107">
        <f>C388+D388+E388+F388+G388+H388</f>
        <v>7.26079504552471</v>
      </c>
      <c r="C388" s="49">
        <v>5</v>
      </c>
      <c r="D388" s="49">
        <v>0</v>
      </c>
      <c r="E388" s="49">
        <v>0</v>
      </c>
      <c r="F388" s="49">
        <v>2.26079504552471</v>
      </c>
      <c r="G388" s="49">
        <v>0</v>
      </c>
      <c r="H388" s="49">
        <v>0</v>
      </c>
      <c r="I388" s="78">
        <f>(100*B388)/N388</f>
        <v>22.537323808314</v>
      </c>
      <c r="J388" s="110">
        <f>((C388+F388)*100)/B388</f>
        <v>100</v>
      </c>
      <c r="K388" s="110">
        <f>((D388+G388)*100)/B388</f>
        <v>0</v>
      </c>
      <c r="L388" s="110">
        <f>((E388+H388)*100)/B388</f>
        <v>0</v>
      </c>
      <c r="M388" s="111">
        <f>N388-B387</f>
        <v>28.0863603641977</v>
      </c>
      <c r="N388" s="107">
        <f>O388+P388+Q388+R388+S388+T388</f>
        <v>32.21675788696</v>
      </c>
      <c r="O388" s="49">
        <v>11</v>
      </c>
      <c r="P388" s="49">
        <v>2</v>
      </c>
      <c r="Q388" s="49">
        <v>0</v>
      </c>
      <c r="R388" s="49">
        <v>16.9559628414353</v>
      </c>
      <c r="S388" s="49">
        <v>2.26079504552471</v>
      </c>
      <c r="T388" s="49">
        <v>0</v>
      </c>
      <c r="U388" s="49">
        <v>8</v>
      </c>
      <c r="V388" s="110">
        <f>((O388+R388)*100)/N388</f>
        <v>86.7746001615846</v>
      </c>
      <c r="W388" s="110">
        <f>((P388+S388)*100)/N388</f>
        <v>13.2253998384155</v>
      </c>
      <c r="X388" s="110">
        <f>((Q388+T388)*100)/N388</f>
        <v>0</v>
      </c>
    </row>
    <row r="389" spans="1:24" s="168" customFormat="1" ht="22.500000" customHeight="1">
      <c r="A389" s="34">
        <v>387</v>
      </c>
      <c r="B389" s="107">
        <f>C389+D389+E389+F389+G389+H389</f>
        <v>5.26079504552471</v>
      </c>
      <c r="C389" s="49">
        <v>2</v>
      </c>
      <c r="D389" s="49">
        <v>1</v>
      </c>
      <c r="E389" s="49">
        <v>0</v>
      </c>
      <c r="F389" s="49">
        <v>2.26079504552471</v>
      </c>
      <c r="G389" s="49">
        <v>0</v>
      </c>
      <c r="H389" s="49">
        <v>0</v>
      </c>
      <c r="I389" s="78">
        <f>(100*B389)/N389</f>
        <v>27.6256118737458</v>
      </c>
      <c r="J389" s="110">
        <f>((C389+F389)*100)/B389</f>
        <v>80.9914662832059</v>
      </c>
      <c r="K389" s="110">
        <f>((D389+G389)*100)/B389</f>
        <v>19.0085337167941</v>
      </c>
      <c r="L389" s="110">
        <f>((E389+H389)*100)/B389</f>
        <v>0</v>
      </c>
      <c r="M389" s="111">
        <f>N389-B388</f>
        <v>11.7823851365741</v>
      </c>
      <c r="N389" s="107">
        <f>O389+P389+Q389+R389+S389+T389</f>
        <v>19.0431801820989</v>
      </c>
      <c r="O389" s="49">
        <v>9</v>
      </c>
      <c r="P389" s="49">
        <v>1</v>
      </c>
      <c r="Q389" s="49">
        <v>0</v>
      </c>
      <c r="R389" s="49">
        <v>6.78238513657414</v>
      </c>
      <c r="S389" s="49">
        <v>2.26079504552471</v>
      </c>
      <c r="T389" s="49">
        <v>0</v>
      </c>
      <c r="U389" s="49">
        <v>8</v>
      </c>
      <c r="V389" s="110">
        <f>((O389+R389)*100)/N389</f>
        <v>82.8768356212375</v>
      </c>
      <c r="W389" s="110">
        <f>((P389+S389)*100)/N389</f>
        <v>17.1231643787625</v>
      </c>
      <c r="X389" s="110">
        <f>((Q389+T389)*100)/N389</f>
        <v>0</v>
      </c>
    </row>
    <row r="390" spans="1:24" s="168" customFormat="1" ht="22.500000" customHeight="1">
      <c r="A390" s="34">
        <v>388</v>
      </c>
      <c r="B390" s="107">
        <f>C390+D390+E390+F390+G390+H390</f>
        <v>35.2599380690589</v>
      </c>
      <c r="C390" s="49">
        <v>6</v>
      </c>
      <c r="D390" s="49">
        <v>0</v>
      </c>
      <c r="E390" s="49">
        <v>1</v>
      </c>
      <c r="F390" s="49">
        <v>25.9991430235342</v>
      </c>
      <c r="G390" s="49">
        <v>1.13039752276235</v>
      </c>
      <c r="H390" s="49">
        <v>1.13039752276235</v>
      </c>
      <c r="I390" s="78">
        <f>(100*B390)/N390</f>
        <v>44.4385177291634</v>
      </c>
      <c r="J390" s="110">
        <f>((C390+F390)*100)/B390</f>
        <v>90.7521248643766</v>
      </c>
      <c r="K390" s="110">
        <f>((D390+G390)*100)/B390</f>
        <v>3.2058976409669</v>
      </c>
      <c r="L390" s="110">
        <f>((E390+H390)*100)/B390</f>
        <v>6.04197749465648</v>
      </c>
      <c r="M390" s="111">
        <f>N390-B389</f>
        <v>74.0846464112661</v>
      </c>
      <c r="N390" s="107">
        <f>O390+P390+Q390+R390+S390+T390</f>
        <v>79.3454414567908</v>
      </c>
      <c r="O390" s="49">
        <v>6</v>
      </c>
      <c r="P390" s="49">
        <v>1</v>
      </c>
      <c r="Q390" s="49">
        <v>0</v>
      </c>
      <c r="R390" s="49">
        <v>68.9542488885037</v>
      </c>
      <c r="S390" s="49">
        <v>3.39119256828707</v>
      </c>
      <c r="T390" s="49">
        <v>0</v>
      </c>
      <c r="U390" s="49">
        <v>9</v>
      </c>
      <c r="V390" s="110">
        <f>((O390+R390)*100)/N390</f>
        <v>94.4657279767252</v>
      </c>
      <c r="W390" s="110">
        <f>((P390+S390)*100)/N390</f>
        <v>5.53427202327482</v>
      </c>
      <c r="X390" s="110">
        <f>((Q390+T390)*100)/N390</f>
        <v>0</v>
      </c>
    </row>
    <row r="391" spans="1:24" s="168" customFormat="1" ht="22.500000" customHeight="1">
      <c r="A391" s="34">
        <v>389</v>
      </c>
      <c r="B391" s="107">
        <f>C391+D391+E391+F391+G391+H391</f>
        <v>2</v>
      </c>
      <c r="C391" s="49">
        <v>2</v>
      </c>
      <c r="D391" s="49">
        <v>0</v>
      </c>
      <c r="E391" s="49">
        <v>0</v>
      </c>
      <c r="F391" s="49">
        <v>0</v>
      </c>
      <c r="G391" s="49">
        <v>0</v>
      </c>
      <c r="H391" s="49">
        <v>0</v>
      </c>
      <c r="I391" s="78">
        <f>(100*B391)/N391</f>
        <v>16.1404964774627</v>
      </c>
      <c r="J391" s="110">
        <f>((C391+F391)*100)/B391</f>
        <v>100</v>
      </c>
      <c r="K391" s="110">
        <f>((D391+G391)*100)/B391</f>
        <v>0</v>
      </c>
      <c r="L391" s="110">
        <f>((E391+H391)*100)/B391</f>
        <v>0</v>
      </c>
      <c r="M391" s="111">
        <f>N391-B390</f>
        <v>-22.8687455007718</v>
      </c>
      <c r="N391" s="107">
        <f>O391+P391+Q391+R391+S391+T391</f>
        <v>12.3911925682871</v>
      </c>
      <c r="O391" s="49">
        <v>8</v>
      </c>
      <c r="P391" s="49">
        <v>1</v>
      </c>
      <c r="Q391" s="49">
        <v>0</v>
      </c>
      <c r="R391" s="49">
        <v>3.39119256828707</v>
      </c>
      <c r="S391" s="49">
        <v>0</v>
      </c>
      <c r="T391" s="49">
        <v>0</v>
      </c>
      <c r="U391" s="49">
        <v>8</v>
      </c>
      <c r="V391" s="110">
        <f>((O391+R391)*100)/N391</f>
        <v>91.9297517612686</v>
      </c>
      <c r="W391" s="110">
        <f>((P391+S391)*100)/N391</f>
        <v>8.07024823873137</v>
      </c>
      <c r="X391" s="110">
        <f>((Q391+T391)*100)/N391</f>
        <v>0</v>
      </c>
    </row>
    <row r="392" spans="1:24" s="168" customFormat="1" ht="22.500000" customHeight="1">
      <c r="A392" s="34">
        <v>390</v>
      </c>
      <c r="B392" s="107">
        <f>C392+D392+E392+F392+G392+H392</f>
        <v>7.26079504552471</v>
      </c>
      <c r="C392" s="49">
        <v>1</v>
      </c>
      <c r="D392" s="49">
        <v>4</v>
      </c>
      <c r="E392" s="49">
        <v>0</v>
      </c>
      <c r="F392" s="49">
        <v>2.26079504552471</v>
      </c>
      <c r="G392" s="49">
        <v>0</v>
      </c>
      <c r="H392" s="49">
        <v>0</v>
      </c>
      <c r="I392" s="78">
        <f>(100*B392)/N392</f>
        <v>26.5504581253207</v>
      </c>
      <c r="J392" s="110">
        <f>((C392+F392)*100)/B392</f>
        <v>44.9096142375558</v>
      </c>
      <c r="K392" s="110">
        <f>((D392+G392)*100)/B392</f>
        <v>55.0903857624442</v>
      </c>
      <c r="L392" s="110">
        <f>((E392+H392)*100)/B392</f>
        <v>0</v>
      </c>
      <c r="M392" s="111">
        <f>N392-B391</f>
        <v>25.3471554097224</v>
      </c>
      <c r="N392" s="107">
        <f>O392+P392+Q392+R392+S392+T392</f>
        <v>27.3471554097224</v>
      </c>
      <c r="O392" s="49">
        <v>7</v>
      </c>
      <c r="P392" s="49">
        <v>0</v>
      </c>
      <c r="Q392" s="49">
        <v>0</v>
      </c>
      <c r="R392" s="49">
        <v>19.21675788696</v>
      </c>
      <c r="S392" s="49">
        <v>1.13039752276235</v>
      </c>
      <c r="T392" s="49">
        <v>0</v>
      </c>
      <c r="U392" s="49">
        <v>8</v>
      </c>
      <c r="V392" s="110">
        <f>((O392+R392)*100)/N392</f>
        <v>95.8664895641743</v>
      </c>
      <c r="W392" s="110">
        <f>((P392+S392)*100)/N392</f>
        <v>4.13351043582572</v>
      </c>
      <c r="X392" s="110">
        <f>((Q392+T392)*100)/N392</f>
        <v>0</v>
      </c>
    </row>
    <row r="393" spans="1:24" s="168" customFormat="1" ht="22.500000" customHeight="1">
      <c r="A393" s="34">
        <v>391</v>
      </c>
      <c r="B393" s="107">
        <f>C393+D393+E393+F393+G393+H393</f>
        <v>9.52159009104942</v>
      </c>
      <c r="C393" s="49">
        <v>5</v>
      </c>
      <c r="D393" s="49">
        <v>0</v>
      </c>
      <c r="E393" s="49">
        <v>0</v>
      </c>
      <c r="F393" s="49">
        <v>4.52159009104942</v>
      </c>
      <c r="G393" s="49">
        <v>0</v>
      </c>
      <c r="H393" s="49">
        <v>0</v>
      </c>
      <c r="I393" s="78">
        <f>(100*B393)/N393</f>
        <v>113.471238010131</v>
      </c>
      <c r="J393" s="110">
        <f>((C393+F393)*100)/B393</f>
        <v>100</v>
      </c>
      <c r="K393" s="110">
        <f>((D393+G393)*100)/B393</f>
        <v>0</v>
      </c>
      <c r="L393" s="110">
        <f>((E393+H393)*100)/B393</f>
        <v>0</v>
      </c>
      <c r="M393" s="111">
        <f>N393-B392</f>
        <v>1.13039752276236</v>
      </c>
      <c r="N393" s="107">
        <f>O393+P393+Q393+R393+S393+T393</f>
        <v>8.39119256828707</v>
      </c>
      <c r="O393" s="49">
        <v>5</v>
      </c>
      <c r="P393" s="49">
        <v>0</v>
      </c>
      <c r="Q393" s="49">
        <v>0</v>
      </c>
      <c r="R393" s="49">
        <v>3.39119256828707</v>
      </c>
      <c r="S393" s="49">
        <v>0</v>
      </c>
      <c r="T393" s="49">
        <v>0</v>
      </c>
      <c r="U393" s="49">
        <v>8</v>
      </c>
      <c r="V393" s="110">
        <f>((O393+R393)*100)/N393</f>
        <v>100</v>
      </c>
      <c r="W393" s="110">
        <f>((P393+S393)*100)/N393</f>
        <v>0</v>
      </c>
      <c r="X393" s="110">
        <f>((Q393+T393)*100)/N393</f>
        <v>0</v>
      </c>
    </row>
    <row r="394" spans="1:24" s="168" customFormat="1" ht="22.500000" customHeight="1">
      <c r="A394" s="34">
        <v>392</v>
      </c>
      <c r="B394" s="107">
        <f>C394+D394+E394+F394+G394+H394</f>
        <v>5.26079504552471</v>
      </c>
      <c r="C394" s="49">
        <v>3</v>
      </c>
      <c r="D394" s="49">
        <v>0</v>
      </c>
      <c r="E394" s="49">
        <v>0</v>
      </c>
      <c r="F394" s="49">
        <v>2.26079504552471</v>
      </c>
      <c r="G394" s="49">
        <v>0</v>
      </c>
      <c r="H394" s="49">
        <v>0</v>
      </c>
      <c r="I394" s="78">
        <f>(100*B394)/N394</f>
        <v>22.2019742203836</v>
      </c>
      <c r="J394" s="110">
        <f>((C394+F394)*100)/B394</f>
        <v>100</v>
      </c>
      <c r="K394" s="110">
        <f>((D394+G394)*100)/B394</f>
        <v>0</v>
      </c>
      <c r="L394" s="110">
        <f>((E394+H394)*100)/B394</f>
        <v>0</v>
      </c>
      <c r="M394" s="111">
        <f>N394-B393</f>
        <v>14.1735777048612</v>
      </c>
      <c r="N394" s="107">
        <f>O394+P394+Q394+R394+S394+T394</f>
        <v>23.6951677959106</v>
      </c>
      <c r="O394" s="49">
        <v>9</v>
      </c>
      <c r="P394" s="49">
        <v>0</v>
      </c>
      <c r="Q394" s="49">
        <v>0</v>
      </c>
      <c r="R394" s="49">
        <v>14.6951677959106</v>
      </c>
      <c r="S394" s="49">
        <v>0</v>
      </c>
      <c r="T394" s="49">
        <v>0</v>
      </c>
      <c r="U394" s="49">
        <v>9</v>
      </c>
      <c r="V394" s="110">
        <f>((O394+R394)*100)/N394</f>
        <v>100</v>
      </c>
      <c r="W394" s="110">
        <f>((P394+S394)*100)/N394</f>
        <v>0</v>
      </c>
      <c r="X394" s="110">
        <f>((Q394+T394)*100)/N394</f>
        <v>0</v>
      </c>
    </row>
    <row r="395" spans="1:24" s="168" customFormat="1" ht="22.500000" customHeight="1">
      <c r="A395" s="34">
        <v>393</v>
      </c>
      <c r="B395" s="107">
        <f>C395+D395+E395+F395+G395+H395</f>
        <v>11.6519876138118</v>
      </c>
      <c r="C395" s="49">
        <v>6</v>
      </c>
      <c r="D395" s="49">
        <v>0</v>
      </c>
      <c r="E395" s="49">
        <v>0</v>
      </c>
      <c r="F395" s="49">
        <v>5.65198761381178</v>
      </c>
      <c r="G395" s="49">
        <v>0</v>
      </c>
      <c r="H395" s="49">
        <v>0</v>
      </c>
      <c r="I395" s="78">
        <f>(100*B395)/N395</f>
        <v>82.9725707618907</v>
      </c>
      <c r="J395" s="110">
        <f>((C395+F395)*100)/B395</f>
        <v>100</v>
      </c>
      <c r="K395" s="110">
        <f>((D395+G395)*100)/B395</f>
        <v>0</v>
      </c>
      <c r="L395" s="110">
        <f>((E395+H395)*100)/B395</f>
        <v>0</v>
      </c>
      <c r="M395" s="111">
        <f>N395-B394</f>
        <v>8.78238513657414</v>
      </c>
      <c r="N395" s="107">
        <f>O395+P395+Q395+R395+S395+T395</f>
        <v>14.0431801820989</v>
      </c>
      <c r="O395" s="49">
        <v>5</v>
      </c>
      <c r="P395" s="49">
        <v>0</v>
      </c>
      <c r="Q395" s="49">
        <v>0</v>
      </c>
      <c r="R395" s="49">
        <v>9.04318018209885</v>
      </c>
      <c r="S395" s="49">
        <v>0</v>
      </c>
      <c r="T395" s="49">
        <v>0</v>
      </c>
      <c r="U395" s="49">
        <v>8</v>
      </c>
      <c r="V395" s="110">
        <f>((O395+R395)*100)/N395</f>
        <v>100</v>
      </c>
      <c r="W395" s="110">
        <f>((P395+S395)*100)/N395</f>
        <v>0</v>
      </c>
      <c r="X395" s="110">
        <f>((Q395+T395)*100)/N395</f>
        <v>0</v>
      </c>
    </row>
    <row r="396" spans="1:24" s="168" customFormat="1" ht="22.500000" customHeight="1">
      <c r="A396" s="34">
        <v>394</v>
      </c>
      <c r="B396" s="107">
        <f>C396+D396+E396+F396+G396+H396</f>
        <v>5.26079504552471</v>
      </c>
      <c r="C396" s="49">
        <v>2</v>
      </c>
      <c r="D396" s="49">
        <v>0</v>
      </c>
      <c r="E396" s="49">
        <v>1</v>
      </c>
      <c r="F396" s="49">
        <v>2.26079504552471</v>
      </c>
      <c r="G396" s="49">
        <v>0</v>
      </c>
      <c r="H396" s="49">
        <v>0</v>
      </c>
      <c r="I396" s="78">
        <f>(100*B396)/N396</f>
        <v>82.3131988172073</v>
      </c>
      <c r="J396" s="110">
        <f>((C396+F396)*100)/B396</f>
        <v>80.9914662832059</v>
      </c>
      <c r="K396" s="110">
        <f>((D396+G396)*100)/B396</f>
        <v>0</v>
      </c>
      <c r="L396" s="110">
        <f>((E396+H396)*100)/B396</f>
        <v>19.0085337167941</v>
      </c>
      <c r="M396" s="111">
        <f>N396-B395</f>
        <v>-5.26079504552471</v>
      </c>
      <c r="N396" s="107">
        <f>O396+P396+Q396+R396+S396+T396</f>
        <v>6.39119256828707</v>
      </c>
      <c r="O396" s="49">
        <v>3</v>
      </c>
      <c r="P396" s="49">
        <v>0</v>
      </c>
      <c r="Q396" s="49">
        <v>0</v>
      </c>
      <c r="R396" s="49">
        <v>3.39119256828707</v>
      </c>
      <c r="S396" s="49">
        <v>0</v>
      </c>
      <c r="T396" s="49">
        <v>0</v>
      </c>
      <c r="U396" s="49">
        <v>10</v>
      </c>
      <c r="V396" s="110">
        <f>((O396+R396)*100)/N396</f>
        <v>100</v>
      </c>
      <c r="W396" s="110">
        <f>((P396+S396)*100)/N396</f>
        <v>0</v>
      </c>
      <c r="X396" s="110">
        <f>((Q396+T396)*100)/N396</f>
        <v>0</v>
      </c>
    </row>
    <row r="397" spans="1:24" s="168" customFormat="1" ht="22.500000" customHeight="1">
      <c r="A397" s="34">
        <v>395</v>
      </c>
      <c r="B397" s="107">
        <f>C397+D397+E397+F397+G397+H397</f>
        <v>5.26079504552471</v>
      </c>
      <c r="C397" s="49">
        <v>3</v>
      </c>
      <c r="D397" s="49">
        <v>0</v>
      </c>
      <c r="E397" s="49">
        <v>0</v>
      </c>
      <c r="F397" s="49">
        <v>2.26079504552471</v>
      </c>
      <c r="G397" s="49">
        <v>0</v>
      </c>
      <c r="H397" s="49">
        <v>0</v>
      </c>
      <c r="I397" s="78">
        <f>(100*B397)/N397</f>
        <v>31.1054375349674</v>
      </c>
      <c r="J397" s="110">
        <f>((C397+F397)*100)/B397</f>
        <v>100</v>
      </c>
      <c r="K397" s="110">
        <f>((D397+G397)*100)/B397</f>
        <v>0</v>
      </c>
      <c r="L397" s="110">
        <f>((E397+H397)*100)/B397</f>
        <v>0</v>
      </c>
      <c r="M397" s="111">
        <f>N397-B396</f>
        <v>11.6519876138118</v>
      </c>
      <c r="N397" s="107">
        <f>O397+P397+Q397+R397+S397+T397</f>
        <v>16.9127826593365</v>
      </c>
      <c r="O397" s="49">
        <v>9</v>
      </c>
      <c r="P397" s="49">
        <v>0</v>
      </c>
      <c r="Q397" s="49">
        <v>0</v>
      </c>
      <c r="R397" s="49">
        <v>7.91278265933649</v>
      </c>
      <c r="S397" s="49">
        <v>0</v>
      </c>
      <c r="T397" s="49">
        <v>0</v>
      </c>
      <c r="U397" s="49">
        <v>10</v>
      </c>
      <c r="V397" s="110">
        <f>((O397+R397)*100)/N397</f>
        <v>100</v>
      </c>
      <c r="W397" s="110">
        <f>((P397+S397)*100)/N397</f>
        <v>0</v>
      </c>
      <c r="X397" s="110">
        <f>((Q397+T397)*100)/N397</f>
        <v>0</v>
      </c>
    </row>
    <row r="398" spans="1:24" s="168" customFormat="1" ht="22.500000" customHeight="1">
      <c r="A398" s="34">
        <v>396</v>
      </c>
      <c r="B398" s="107">
        <f>C398+D398+E398+F398+G398+H398</f>
        <v>9.65198761381178</v>
      </c>
      <c r="C398" s="49">
        <v>3</v>
      </c>
      <c r="D398" s="49">
        <v>0</v>
      </c>
      <c r="E398" s="49">
        <v>1</v>
      </c>
      <c r="F398" s="49">
        <v>5.65198761381178</v>
      </c>
      <c r="G398" s="49">
        <v>0</v>
      </c>
      <c r="H398" s="49">
        <v>0</v>
      </c>
      <c r="I398" s="78">
        <f>(100*B398)/N398</f>
        <v>14.7313886758044</v>
      </c>
      <c r="J398" s="110">
        <f>((C398+F398)*100)/B398</f>
        <v>89.6394396676492</v>
      </c>
      <c r="K398" s="110">
        <f>((D398+G398)*100)/B398</f>
        <v>0</v>
      </c>
      <c r="L398" s="110">
        <f>((E398+H398)*100)/B398</f>
        <v>10.3605603323508</v>
      </c>
      <c r="M398" s="111">
        <f>N398-B397</f>
        <v>60.2590810925931</v>
      </c>
      <c r="N398" s="107">
        <f>O398+P398+Q398+R398+S398+T398</f>
        <v>65.5198761381178</v>
      </c>
      <c r="O398" s="49">
        <v>9</v>
      </c>
      <c r="P398" s="49">
        <v>0</v>
      </c>
      <c r="Q398" s="49">
        <v>0</v>
      </c>
      <c r="R398" s="49">
        <v>56.5198761381178</v>
      </c>
      <c r="S398" s="49">
        <v>0</v>
      </c>
      <c r="T398" s="49">
        <v>0</v>
      </c>
      <c r="U398" s="49">
        <v>9</v>
      </c>
      <c r="V398" s="110">
        <f>((O398+R398)*100)/N398</f>
        <v>100</v>
      </c>
      <c r="W398" s="110">
        <f>((P398+S398)*100)/N398</f>
        <v>0</v>
      </c>
      <c r="X398" s="110">
        <f>((Q398+T398)*100)/N398</f>
        <v>0</v>
      </c>
    </row>
    <row r="399" spans="1:24" s="168" customFormat="1" ht="22.500000" customHeight="1">
      <c r="A399" s="34">
        <v>397</v>
      </c>
      <c r="B399" s="107">
        <f>C399+D399+E399+F399+G399+H399</f>
        <v>1</v>
      </c>
      <c r="C399" s="49">
        <v>1</v>
      </c>
      <c r="D399" s="49">
        <v>0</v>
      </c>
      <c r="E399" s="49">
        <v>0</v>
      </c>
      <c r="F399" s="49">
        <v>0</v>
      </c>
      <c r="G399" s="49">
        <v>0</v>
      </c>
      <c r="H399" s="49">
        <v>0</v>
      </c>
      <c r="I399" s="78">
        <f>(100*B399)/N399</f>
        <v>10.9524256474811</v>
      </c>
      <c r="J399" s="110">
        <f>((C399+F399)*100)/B399</f>
        <v>100</v>
      </c>
      <c r="K399" s="110">
        <f>((D399+G399)*100)/B399</f>
        <v>0</v>
      </c>
      <c r="L399" s="110">
        <f>((E399+H399)*100)/B399</f>
        <v>0</v>
      </c>
      <c r="M399" s="111">
        <f>N399-B398</f>
        <v>-0.521590091049431</v>
      </c>
      <c r="N399" s="107">
        <f>O399+P399+Q399+R399+S399+T399</f>
        <v>9.13039752276235</v>
      </c>
      <c r="O399" s="49">
        <v>8</v>
      </c>
      <c r="P399" s="49">
        <v>0</v>
      </c>
      <c r="Q399" s="49">
        <v>0</v>
      </c>
      <c r="R399" s="49">
        <v>1.13039752276235</v>
      </c>
      <c r="S399" s="49">
        <v>0</v>
      </c>
      <c r="T399" s="49">
        <v>0</v>
      </c>
      <c r="U399" s="49">
        <v>8</v>
      </c>
      <c r="V399" s="110">
        <f>((O399+R399)*100)/N399</f>
        <v>100</v>
      </c>
      <c r="W399" s="110">
        <f>((P399+S399)*100)/N399</f>
        <v>0</v>
      </c>
      <c r="X399" s="110">
        <f>((Q399+T399)*100)/N399</f>
        <v>0</v>
      </c>
    </row>
    <row r="400" spans="1:24" s="168" customFormat="1" ht="22.500000" customHeight="1">
      <c r="A400" s="34">
        <v>398</v>
      </c>
      <c r="B400" s="107">
        <f>C400+D400+E400+F400+G400+H400</f>
        <v>1</v>
      </c>
      <c r="C400" s="49">
        <v>1</v>
      </c>
      <c r="D400" s="49">
        <v>0</v>
      </c>
      <c r="E400" s="49">
        <v>0</v>
      </c>
      <c r="F400" s="49">
        <v>0</v>
      </c>
      <c r="G400" s="49">
        <v>0</v>
      </c>
      <c r="H400" s="49">
        <v>0</v>
      </c>
      <c r="I400" s="78">
        <f>(100*B400)/N400</f>
        <v>10</v>
      </c>
      <c r="J400" s="110">
        <f>((C400+F400)*100)/B400</f>
        <v>100</v>
      </c>
      <c r="K400" s="110">
        <f>((D400+G400)*100)/B400</f>
        <v>0</v>
      </c>
      <c r="L400" s="110">
        <f>((E400+H400)*100)/B400</f>
        <v>0</v>
      </c>
      <c r="M400" s="111">
        <f>N400-B399</f>
        <v>9</v>
      </c>
      <c r="N400" s="107">
        <f>O400+P400+Q400+R400+S400+T400</f>
        <v>10</v>
      </c>
      <c r="O400" s="49">
        <v>10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7</v>
      </c>
      <c r="V400" s="110">
        <f>((O400+R400)*100)/N400</f>
        <v>100</v>
      </c>
      <c r="W400" s="110">
        <f>((P400+S400)*100)/N400</f>
        <v>0</v>
      </c>
      <c r="X400" s="110">
        <f>((Q400+T400)*100)/N400</f>
        <v>0</v>
      </c>
    </row>
    <row r="401" spans="1:24" s="168" customFormat="1" ht="22.500000" customHeight="1">
      <c r="A401" s="34">
        <v>399</v>
      </c>
      <c r="B401" s="107">
        <f>C401+D401+E401+F401+G401+H401</f>
        <v>11.9127826593365</v>
      </c>
      <c r="C401" s="49">
        <v>4</v>
      </c>
      <c r="D401" s="49">
        <v>0</v>
      </c>
      <c r="E401" s="49">
        <v>0</v>
      </c>
      <c r="F401" s="49">
        <v>7.91278265933649</v>
      </c>
      <c r="G401" s="49">
        <v>0</v>
      </c>
      <c r="H401" s="49">
        <v>0</v>
      </c>
      <c r="I401" s="78">
        <f>(100*B401)/N401</f>
        <v>45.666710468687</v>
      </c>
      <c r="J401" s="110">
        <f>((C401+F401)*100)/B401</f>
        <v>100</v>
      </c>
      <c r="K401" s="110">
        <f>((D401+G401)*100)/B401</f>
        <v>0</v>
      </c>
      <c r="L401" s="110">
        <f>((E401+H401)*100)/B401</f>
        <v>0</v>
      </c>
      <c r="M401" s="111">
        <f>N401-B400</f>
        <v>25.0863603641977</v>
      </c>
      <c r="N401" s="107">
        <f>O401+P401+Q401+R401+S401+T401</f>
        <v>26.0863603641977</v>
      </c>
      <c r="O401" s="49">
        <v>8</v>
      </c>
      <c r="P401" s="49">
        <v>0</v>
      </c>
      <c r="Q401" s="49">
        <v>0</v>
      </c>
      <c r="R401" s="49">
        <v>18.0863603641977</v>
      </c>
      <c r="S401" s="49">
        <v>0</v>
      </c>
      <c r="T401" s="49">
        <v>0</v>
      </c>
      <c r="U401" s="49">
        <v>10</v>
      </c>
      <c r="V401" s="110">
        <f>((O401+R401)*100)/N401</f>
        <v>100</v>
      </c>
      <c r="W401" s="110">
        <f>((P401+S401)*100)/N401</f>
        <v>0</v>
      </c>
      <c r="X401" s="110">
        <f>((Q401+T401)*100)/N401</f>
        <v>0</v>
      </c>
    </row>
    <row r="402" spans="1:24" s="168" customFormat="1" ht="22.500000" customHeight="1">
      <c r="A402" s="34">
        <v>400</v>
      </c>
      <c r="B402" s="107">
        <f>C402+D402+E402+F402+G402+H402</f>
        <v>4.13039752276235</v>
      </c>
      <c r="C402" s="49">
        <v>2</v>
      </c>
      <c r="D402" s="49">
        <v>0</v>
      </c>
      <c r="E402" s="49">
        <v>1</v>
      </c>
      <c r="F402" s="49">
        <v>1.13039752276235</v>
      </c>
      <c r="G402" s="49">
        <v>0</v>
      </c>
      <c r="H402" s="49">
        <v>0</v>
      </c>
      <c r="I402" s="78">
        <f>(100*B402)/N402</f>
        <v>25.5379335242622</v>
      </c>
      <c r="J402" s="110">
        <f>((C402+F402)*100)/B402</f>
        <v>75.7892552838058</v>
      </c>
      <c r="K402" s="110">
        <f>((D402+G402)*100)/B402</f>
        <v>0</v>
      </c>
      <c r="L402" s="110">
        <f>((E402+H402)*100)/B402</f>
        <v>24.2107447161942</v>
      </c>
      <c r="M402" s="111">
        <f>N402-B401</f>
        <v>4.26079504552471</v>
      </c>
      <c r="N402" s="107">
        <f>O402+P402+Q402+R402+S402+T402</f>
        <v>16.1735777048612</v>
      </c>
      <c r="O402" s="49">
        <v>6</v>
      </c>
      <c r="P402" s="49">
        <v>0</v>
      </c>
      <c r="Q402" s="49">
        <v>0</v>
      </c>
      <c r="R402" s="49">
        <v>10.1735777048612</v>
      </c>
      <c r="S402" s="49">
        <v>0</v>
      </c>
      <c r="T402" s="49">
        <v>0</v>
      </c>
      <c r="U402" s="49">
        <v>10</v>
      </c>
      <c r="V402" s="110">
        <f>((O402+R402)*100)/N402</f>
        <v>100</v>
      </c>
      <c r="W402" s="110">
        <f>((P402+S402)*100)/N402</f>
        <v>0</v>
      </c>
      <c r="X402" s="110">
        <f>((Q402+T402)*100)/N402</f>
        <v>0</v>
      </c>
    </row>
    <row r="403" spans="1:24">
      <c r="A403" s="34">
        <v>401</v>
      </c>
      <c r="I403" s="78"/>
      <c r="J403" s="78"/>
      <c r="K403" s="78"/>
      <c r="L403" s="78"/>
      <c r="V403" s="78"/>
      <c r="W403" s="78"/>
      <c r="X403" s="78"/>
    </row>
    <row r="404" spans="1:24">
      <c r="A404" s="34">
        <v>402</v>
      </c>
      <c r="I404" s="78"/>
      <c r="J404" s="78"/>
      <c r="K404" s="78"/>
      <c r="L404" s="78"/>
      <c r="V404" s="78"/>
      <c r="W404" s="78"/>
      <c r="X404" s="78"/>
    </row>
    <row r="405" spans="1:24">
      <c r="A405" s="34">
        <v>403</v>
      </c>
      <c r="I405" s="78"/>
      <c r="J405" s="78"/>
      <c r="K405" s="78"/>
      <c r="L405" s="78"/>
      <c r="V405" s="78"/>
      <c r="W405" s="78"/>
      <c r="X405" s="78"/>
    </row>
    <row r="406" spans="1:24">
      <c r="A406" s="34">
        <v>404</v>
      </c>
      <c r="I406" s="78"/>
      <c r="J406" s="78"/>
      <c r="K406" s="78"/>
      <c r="L406" s="78"/>
      <c r="V406" s="78"/>
      <c r="W406" s="78"/>
      <c r="X406" s="78"/>
    </row>
    <row r="407" spans="1:24">
      <c r="A407" s="34">
        <v>405</v>
      </c>
      <c r="I407" s="78"/>
      <c r="J407" s="78"/>
      <c r="K407" s="78"/>
      <c r="L407" s="78"/>
      <c r="V407" s="78"/>
      <c r="W407" s="78"/>
      <c r="X407" s="78"/>
    </row>
    <row r="408" spans="1:24">
      <c r="A408" s="34">
        <v>406</v>
      </c>
      <c r="I408" s="78"/>
      <c r="J408" s="78"/>
      <c r="K408" s="78"/>
      <c r="L408" s="78"/>
      <c r="V408" s="78"/>
      <c r="W408" s="78"/>
      <c r="X408" s="78"/>
    </row>
    <row r="409" spans="1:24">
      <c r="A409" s="34">
        <v>407</v>
      </c>
      <c r="I409" s="78"/>
      <c r="J409" s="78"/>
      <c r="K409" s="78"/>
      <c r="L409" s="78"/>
      <c r="V409" s="78"/>
      <c r="W409" s="78"/>
      <c r="X409" s="78"/>
    </row>
    <row r="410" spans="1:24">
      <c r="A410" s="34">
        <v>408</v>
      </c>
      <c r="I410" s="78"/>
      <c r="J410" s="78"/>
      <c r="K410" s="78"/>
      <c r="L410" s="78"/>
      <c r="V410" s="78"/>
      <c r="W410" s="78"/>
      <c r="X410" s="78"/>
    </row>
    <row r="411" spans="1:24">
      <c r="A411" s="34">
        <v>409</v>
      </c>
      <c r="I411" s="78"/>
      <c r="J411" s="78"/>
      <c r="K411" s="78"/>
      <c r="L411" s="78"/>
      <c r="V411" s="78"/>
      <c r="W411" s="78"/>
      <c r="X411" s="78"/>
    </row>
    <row r="412" spans="1:24">
      <c r="A412" s="34">
        <v>410</v>
      </c>
      <c r="I412" s="78"/>
      <c r="J412" s="78"/>
      <c r="K412" s="78"/>
      <c r="L412" s="78"/>
      <c r="V412" s="78"/>
      <c r="W412" s="78"/>
      <c r="X412" s="78"/>
    </row>
    <row r="413" spans="1:24">
      <c r="A413" s="34">
        <v>411</v>
      </c>
      <c r="I413" s="78"/>
      <c r="J413" s="78"/>
      <c r="K413" s="78"/>
      <c r="L413" s="78"/>
      <c r="V413" s="78"/>
      <c r="W413" s="78"/>
      <c r="X413" s="78"/>
    </row>
    <row r="414" spans="1:24">
      <c r="A414" s="34">
        <v>412</v>
      </c>
      <c r="I414" s="78"/>
      <c r="J414" s="78"/>
      <c r="K414" s="78"/>
      <c r="L414" s="78"/>
      <c r="V414" s="78"/>
      <c r="W414" s="78"/>
      <c r="X414" s="78"/>
    </row>
    <row r="415" spans="1:24">
      <c r="A415" s="34">
        <v>413</v>
      </c>
      <c r="I415" s="78"/>
      <c r="J415" s="78"/>
      <c r="K415" s="78"/>
      <c r="L415" s="78"/>
      <c r="V415" s="78"/>
      <c r="W415" s="78"/>
      <c r="X415" s="78"/>
    </row>
    <row r="416" spans="1:24">
      <c r="A416" s="34">
        <v>414</v>
      </c>
      <c r="I416" s="78"/>
      <c r="J416" s="78"/>
      <c r="K416" s="78"/>
      <c r="L416" s="78"/>
      <c r="V416" s="78"/>
      <c r="W416" s="78"/>
      <c r="X416" s="78"/>
    </row>
    <row r="417" spans="1:24">
      <c r="A417" s="34">
        <v>415</v>
      </c>
      <c r="I417" s="78"/>
      <c r="J417" s="78"/>
      <c r="K417" s="78"/>
      <c r="L417" s="78"/>
      <c r="V417" s="78"/>
      <c r="W417" s="78"/>
      <c r="X417" s="78"/>
    </row>
    <row r="418" spans="1:24">
      <c r="A418" s="34">
        <v>416</v>
      </c>
      <c r="I418" s="78"/>
      <c r="J418" s="78"/>
      <c r="K418" s="78"/>
      <c r="L418" s="78"/>
      <c r="V418" s="78"/>
      <c r="W418" s="78"/>
      <c r="X418" s="78"/>
    </row>
    <row r="419" spans="1:24">
      <c r="A419" s="34">
        <v>417</v>
      </c>
      <c r="I419" s="78"/>
      <c r="J419" s="78"/>
      <c r="K419" s="78"/>
      <c r="L419" s="78"/>
      <c r="V419" s="78"/>
      <c r="W419" s="78"/>
      <c r="X419" s="78"/>
    </row>
    <row r="420" spans="1:24">
      <c r="A420" s="34">
        <v>418</v>
      </c>
      <c r="I420" s="78"/>
      <c r="J420" s="78"/>
      <c r="K420" s="78"/>
      <c r="L420" s="78"/>
      <c r="V420" s="78"/>
      <c r="W420" s="78"/>
      <c r="X420" s="78"/>
    </row>
    <row r="421" spans="1:24">
      <c r="A421" s="34">
        <v>419</v>
      </c>
      <c r="I421" s="78"/>
      <c r="J421" s="78"/>
      <c r="K421" s="78"/>
      <c r="L421" s="78"/>
      <c r="V421" s="78"/>
      <c r="W421" s="78"/>
      <c r="X421" s="78"/>
    </row>
    <row r="422" spans="1:24">
      <c r="A422" s="34">
        <v>420</v>
      </c>
      <c r="I422" s="78"/>
      <c r="J422" s="78"/>
      <c r="K422" s="78"/>
      <c r="L422" s="78"/>
      <c r="V422" s="78"/>
      <c r="W422" s="78"/>
      <c r="X422" s="78"/>
    </row>
    <row r="423" spans="1:24">
      <c r="A423" s="34">
        <v>421</v>
      </c>
      <c r="I423" s="78"/>
      <c r="J423" s="78"/>
      <c r="K423" s="78"/>
      <c r="L423" s="78"/>
      <c r="V423" s="78"/>
      <c r="W423" s="78"/>
      <c r="X423" s="78"/>
    </row>
    <row r="424" spans="1:24">
      <c r="A424" s="34">
        <v>422</v>
      </c>
      <c r="I424" s="78"/>
      <c r="J424" s="78"/>
      <c r="K424" s="78"/>
      <c r="L424" s="78"/>
      <c r="V424" s="78"/>
      <c r="W424" s="78"/>
      <c r="X424" s="78"/>
    </row>
    <row r="425" spans="1:24">
      <c r="A425" s="34">
        <v>423</v>
      </c>
      <c r="I425" s="78"/>
      <c r="J425" s="78"/>
      <c r="K425" s="78"/>
      <c r="L425" s="78"/>
      <c r="V425" s="78"/>
      <c r="W425" s="78"/>
      <c r="X425" s="78"/>
    </row>
    <row r="426" spans="1:24">
      <c r="A426" s="34">
        <v>424</v>
      </c>
      <c r="I426" s="78"/>
      <c r="J426" s="78"/>
      <c r="K426" s="78"/>
      <c r="L426" s="78"/>
      <c r="V426" s="78"/>
      <c r="W426" s="78"/>
      <c r="X426" s="78"/>
    </row>
    <row r="427" spans="1:24">
      <c r="A427" s="34">
        <v>425</v>
      </c>
      <c r="I427" s="78"/>
      <c r="J427" s="78"/>
      <c r="K427" s="78"/>
      <c r="L427" s="78"/>
      <c r="V427" s="78"/>
      <c r="W427" s="78"/>
      <c r="X427" s="78"/>
    </row>
    <row r="428" spans="1:24">
      <c r="A428" s="34">
        <v>426</v>
      </c>
      <c r="I428" s="78"/>
      <c r="J428" s="78"/>
      <c r="K428" s="78"/>
      <c r="L428" s="78"/>
      <c r="V428" s="78"/>
      <c r="W428" s="78"/>
      <c r="X428" s="78"/>
    </row>
    <row r="429" spans="1:24">
      <c r="A429" s="34">
        <v>427</v>
      </c>
      <c r="I429" s="78"/>
      <c r="J429" s="78"/>
      <c r="K429" s="78"/>
      <c r="L429" s="78"/>
      <c r="V429" s="78"/>
      <c r="W429" s="78"/>
      <c r="X429" s="78"/>
    </row>
    <row r="430" spans="1:24">
      <c r="A430" s="34">
        <v>428</v>
      </c>
      <c r="I430" s="78"/>
      <c r="J430" s="78"/>
      <c r="K430" s="78"/>
      <c r="L430" s="78"/>
      <c r="V430" s="78"/>
      <c r="W430" s="78"/>
      <c r="X430" s="78"/>
    </row>
    <row r="431" spans="1:24">
      <c r="A431" s="34">
        <v>429</v>
      </c>
      <c r="I431" s="78"/>
      <c r="J431" s="78"/>
      <c r="K431" s="78"/>
      <c r="L431" s="78"/>
      <c r="V431" s="78"/>
      <c r="W431" s="78"/>
      <c r="X431" s="78"/>
    </row>
    <row r="432" spans="1:24">
      <c r="A432" s="34">
        <v>430</v>
      </c>
      <c r="I432" s="78"/>
      <c r="J432" s="78"/>
      <c r="K432" s="78"/>
      <c r="L432" s="78"/>
      <c r="V432" s="78"/>
      <c r="W432" s="78"/>
      <c r="X432" s="78"/>
    </row>
    <row r="433" spans="1:24">
      <c r="A433" s="34">
        <v>431</v>
      </c>
      <c r="I433" s="78"/>
      <c r="J433" s="78"/>
      <c r="K433" s="78"/>
      <c r="L433" s="78"/>
      <c r="V433" s="78"/>
      <c r="W433" s="78"/>
      <c r="X433" s="78"/>
    </row>
    <row r="434" spans="1:24">
      <c r="A434" s="34">
        <v>432</v>
      </c>
      <c r="I434" s="78"/>
      <c r="J434" s="78"/>
      <c r="K434" s="78"/>
      <c r="L434" s="78"/>
      <c r="V434" s="78"/>
      <c r="W434" s="78"/>
      <c r="X434" s="78"/>
    </row>
    <row r="435" spans="1:24">
      <c r="A435" s="34">
        <v>433</v>
      </c>
      <c r="I435" s="78"/>
      <c r="J435" s="78"/>
      <c r="K435" s="78"/>
      <c r="L435" s="78"/>
      <c r="V435" s="78"/>
      <c r="W435" s="78"/>
      <c r="X435" s="78"/>
    </row>
    <row r="436" spans="1:24">
      <c r="A436" s="34">
        <v>434</v>
      </c>
      <c r="I436" s="78"/>
      <c r="J436" s="78"/>
      <c r="K436" s="78"/>
      <c r="L436" s="78"/>
      <c r="V436" s="78"/>
      <c r="W436" s="78"/>
      <c r="X436" s="78"/>
    </row>
    <row r="437" spans="1:24">
      <c r="A437" s="34">
        <v>435</v>
      </c>
      <c r="I437" s="78"/>
      <c r="J437" s="78"/>
      <c r="K437" s="78"/>
      <c r="L437" s="78"/>
      <c r="V437" s="78"/>
      <c r="W437" s="78"/>
      <c r="X437" s="78"/>
    </row>
    <row r="438" spans="1:24">
      <c r="A438" s="34">
        <v>436</v>
      </c>
      <c r="I438" s="78"/>
      <c r="J438" s="78"/>
      <c r="K438" s="78"/>
      <c r="L438" s="78"/>
      <c r="V438" s="78"/>
      <c r="W438" s="78"/>
      <c r="X438" s="78"/>
    </row>
    <row r="439" spans="1:24">
      <c r="A439" s="34">
        <v>437</v>
      </c>
      <c r="I439" s="78"/>
      <c r="J439" s="78"/>
      <c r="K439" s="78"/>
      <c r="L439" s="78"/>
      <c r="V439" s="78"/>
      <c r="W439" s="78"/>
      <c r="X439" s="78"/>
    </row>
    <row r="440" spans="1:24">
      <c r="A440" s="34">
        <v>438</v>
      </c>
      <c r="I440" s="78"/>
      <c r="J440" s="78"/>
      <c r="K440" s="78"/>
      <c r="L440" s="78"/>
      <c r="V440" s="78"/>
      <c r="W440" s="78"/>
      <c r="X440" s="78"/>
    </row>
    <row r="441" spans="1:24">
      <c r="A441" s="34">
        <v>439</v>
      </c>
      <c r="I441" s="78"/>
      <c r="J441" s="78"/>
      <c r="K441" s="78"/>
      <c r="L441" s="78"/>
      <c r="V441" s="78"/>
      <c r="W441" s="78"/>
      <c r="X441" s="78"/>
    </row>
    <row r="442" spans="1:24">
      <c r="A442" s="34">
        <v>440</v>
      </c>
      <c r="I442" s="78"/>
      <c r="J442" s="78"/>
      <c r="K442" s="78"/>
      <c r="L442" s="78"/>
      <c r="V442" s="78"/>
      <c r="W442" s="78"/>
      <c r="X442" s="78"/>
    </row>
    <row r="443" spans="1:24">
      <c r="A443" s="34">
        <v>441</v>
      </c>
      <c r="I443" s="78"/>
      <c r="J443" s="78"/>
      <c r="K443" s="78"/>
      <c r="L443" s="78"/>
      <c r="V443" s="78"/>
      <c r="W443" s="78"/>
      <c r="X443" s="78"/>
    </row>
    <row r="444" spans="1:24">
      <c r="A444" s="34">
        <v>442</v>
      </c>
      <c r="I444" s="78"/>
      <c r="J444" s="78"/>
      <c r="K444" s="78"/>
      <c r="L444" s="78"/>
      <c r="V444" s="78"/>
      <c r="W444" s="78"/>
      <c r="X444" s="78"/>
    </row>
    <row r="445" spans="1:24">
      <c r="A445" s="34">
        <v>443</v>
      </c>
      <c r="I445" s="78"/>
      <c r="J445" s="78"/>
      <c r="K445" s="78"/>
      <c r="L445" s="78"/>
      <c r="V445" s="78"/>
      <c r="W445" s="78"/>
      <c r="X445" s="78"/>
    </row>
    <row r="446" spans="1:24">
      <c r="A446" s="34">
        <v>444</v>
      </c>
      <c r="I446" s="78"/>
      <c r="J446" s="78"/>
      <c r="K446" s="78"/>
      <c r="L446" s="78"/>
      <c r="V446" s="78"/>
      <c r="W446" s="78"/>
      <c r="X446" s="78"/>
    </row>
    <row r="447" spans="1:24">
      <c r="A447" s="34">
        <v>445</v>
      </c>
      <c r="I447" s="78"/>
      <c r="J447" s="78"/>
      <c r="K447" s="78"/>
      <c r="L447" s="78"/>
      <c r="V447" s="78"/>
      <c r="W447" s="78"/>
      <c r="X447" s="78"/>
    </row>
    <row r="448" spans="1:24">
      <c r="A448" s="34">
        <v>446</v>
      </c>
      <c r="I448" s="78"/>
      <c r="J448" s="78"/>
      <c r="K448" s="78"/>
      <c r="L448" s="78"/>
      <c r="V448" s="78"/>
      <c r="W448" s="78"/>
      <c r="X448" s="78"/>
    </row>
    <row r="449" spans="1:24">
      <c r="A449" s="34">
        <v>447</v>
      </c>
      <c r="I449" s="78"/>
      <c r="J449" s="78"/>
      <c r="K449" s="78"/>
      <c r="L449" s="78"/>
      <c r="V449" s="78"/>
      <c r="W449" s="78"/>
      <c r="X449" s="78"/>
    </row>
    <row r="450" spans="1:24">
      <c r="A450" s="34">
        <v>448</v>
      </c>
      <c r="I450" s="78"/>
      <c r="J450" s="78"/>
      <c r="K450" s="78"/>
      <c r="L450" s="78"/>
      <c r="V450" s="78"/>
      <c r="W450" s="78"/>
      <c r="X450" s="78"/>
    </row>
    <row r="451" spans="1:24">
      <c r="A451" s="34">
        <v>449</v>
      </c>
      <c r="I451" s="78"/>
      <c r="J451" s="78"/>
      <c r="K451" s="78"/>
      <c r="L451" s="78"/>
      <c r="V451" s="78"/>
      <c r="W451" s="78"/>
      <c r="X451" s="78"/>
    </row>
    <row r="452" spans="1:24">
      <c r="A452" s="34">
        <v>450</v>
      </c>
      <c r="I452" s="78"/>
      <c r="J452" s="78"/>
      <c r="K452" s="78"/>
      <c r="L452" s="78"/>
      <c r="V452" s="78"/>
      <c r="W452" s="78"/>
      <c r="X452" s="78"/>
    </row>
    <row r="453" spans="1:24">
      <c r="A453" s="34">
        <v>451</v>
      </c>
      <c r="I453" s="78"/>
      <c r="J453" s="78"/>
      <c r="K453" s="78"/>
      <c r="L453" s="78"/>
      <c r="V453" s="78"/>
      <c r="W453" s="78"/>
      <c r="X453" s="78"/>
    </row>
    <row r="454" spans="1:24">
      <c r="A454" s="34">
        <v>452</v>
      </c>
      <c r="I454" s="78"/>
      <c r="J454" s="78"/>
      <c r="K454" s="78"/>
      <c r="L454" s="78"/>
      <c r="V454" s="78"/>
      <c r="W454" s="78"/>
      <c r="X454" s="78"/>
    </row>
    <row r="455" spans="1:24">
      <c r="A455" s="34">
        <v>453</v>
      </c>
      <c r="I455" s="78"/>
      <c r="J455" s="78"/>
      <c r="K455" s="78"/>
      <c r="L455" s="78"/>
      <c r="V455" s="78"/>
      <c r="W455" s="78"/>
      <c r="X455" s="78"/>
    </row>
    <row r="456" spans="1:24">
      <c r="A456" s="34">
        <v>454</v>
      </c>
      <c r="I456" s="78"/>
      <c r="J456" s="78"/>
      <c r="K456" s="78"/>
      <c r="L456" s="78"/>
      <c r="V456" s="78"/>
      <c r="W456" s="78"/>
      <c r="X456" s="78"/>
    </row>
    <row r="457" spans="1:24">
      <c r="A457" s="34">
        <v>455</v>
      </c>
      <c r="I457" s="78"/>
      <c r="J457" s="78"/>
      <c r="K457" s="78"/>
      <c r="L457" s="78"/>
      <c r="V457" s="78"/>
      <c r="W457" s="78"/>
      <c r="X457" s="78"/>
    </row>
    <row r="458" spans="1:24">
      <c r="A458" s="34">
        <v>456</v>
      </c>
      <c r="I458" s="78"/>
      <c r="J458" s="78"/>
      <c r="K458" s="78"/>
      <c r="L458" s="78"/>
      <c r="V458" s="78"/>
      <c r="W458" s="78"/>
      <c r="X458" s="78"/>
    </row>
    <row r="459" spans="1:24">
      <c r="A459" s="34">
        <v>457</v>
      </c>
      <c r="I459" s="78"/>
      <c r="J459" s="78"/>
      <c r="K459" s="78"/>
      <c r="L459" s="78"/>
      <c r="V459" s="78"/>
      <c r="W459" s="78"/>
      <c r="X459" s="78"/>
    </row>
    <row r="460" spans="1:24">
      <c r="A460" s="34">
        <v>458</v>
      </c>
      <c r="I460" s="78"/>
      <c r="J460" s="78"/>
      <c r="K460" s="78"/>
      <c r="L460" s="78"/>
      <c r="V460" s="78"/>
      <c r="W460" s="78"/>
      <c r="X460" s="78"/>
    </row>
    <row r="461" spans="1:24">
      <c r="A461" s="34">
        <v>459</v>
      </c>
      <c r="I461" s="78"/>
      <c r="J461" s="78"/>
      <c r="K461" s="78"/>
      <c r="L461" s="78"/>
      <c r="V461" s="78"/>
      <c r="W461" s="78"/>
      <c r="X461" s="78"/>
    </row>
    <row r="462" spans="1:24">
      <c r="A462" s="34">
        <v>460</v>
      </c>
      <c r="I462" s="78"/>
      <c r="J462" s="78"/>
      <c r="K462" s="78"/>
      <c r="L462" s="78"/>
      <c r="V462" s="78"/>
      <c r="W462" s="78"/>
      <c r="X462" s="78"/>
    </row>
    <row r="463" spans="1:24">
      <c r="A463" s="34">
        <v>461</v>
      </c>
      <c r="I463" s="78"/>
      <c r="J463" s="78"/>
      <c r="K463" s="78"/>
      <c r="L463" s="78"/>
      <c r="V463" s="78"/>
      <c r="W463" s="78"/>
      <c r="X463" s="78"/>
    </row>
    <row r="464" spans="1:24">
      <c r="A464" s="34">
        <v>462</v>
      </c>
      <c r="I464" s="78"/>
      <c r="J464" s="78"/>
      <c r="K464" s="78"/>
      <c r="L464" s="78"/>
      <c r="V464" s="78"/>
      <c r="W464" s="78"/>
      <c r="X464" s="78"/>
    </row>
    <row r="465" spans="1:24">
      <c r="A465" s="34">
        <v>463</v>
      </c>
      <c r="I465" s="78"/>
      <c r="J465" s="78"/>
      <c r="K465" s="78"/>
      <c r="L465" s="78"/>
      <c r="V465" s="78"/>
      <c r="W465" s="78"/>
      <c r="X465" s="78"/>
    </row>
    <row r="466" spans="1:24">
      <c r="A466" s="34">
        <v>464</v>
      </c>
      <c r="I466" s="78"/>
      <c r="J466" s="78"/>
      <c r="K466" s="78"/>
      <c r="L466" s="78"/>
      <c r="V466" s="78"/>
      <c r="W466" s="78"/>
      <c r="X466" s="78"/>
    </row>
    <row r="467" spans="1:24">
      <c r="A467" s="34">
        <v>465</v>
      </c>
      <c r="I467" s="78"/>
      <c r="J467" s="78"/>
      <c r="K467" s="78"/>
      <c r="L467" s="78"/>
      <c r="V467" s="78"/>
      <c r="W467" s="78"/>
      <c r="X467" s="78"/>
    </row>
    <row r="468" spans="1:24">
      <c r="A468" s="34">
        <v>466</v>
      </c>
      <c r="I468" s="78"/>
      <c r="J468" s="78"/>
      <c r="K468" s="78"/>
      <c r="L468" s="78"/>
      <c r="V468" s="78"/>
      <c r="W468" s="78"/>
      <c r="X468" s="78"/>
    </row>
    <row r="469" spans="1:24">
      <c r="A469" s="34">
        <v>467</v>
      </c>
      <c r="I469" s="78"/>
      <c r="J469" s="78"/>
      <c r="K469" s="78"/>
      <c r="L469" s="78"/>
      <c r="V469" s="78"/>
      <c r="W469" s="78"/>
      <c r="X469" s="78"/>
    </row>
    <row r="470" spans="1:24">
      <c r="A470" s="34">
        <v>468</v>
      </c>
      <c r="I470" s="78"/>
      <c r="J470" s="78"/>
      <c r="K470" s="78"/>
      <c r="L470" s="78"/>
      <c r="V470" s="78"/>
      <c r="W470" s="78"/>
      <c r="X470" s="78"/>
    </row>
    <row r="471" spans="1:24">
      <c r="A471" s="34">
        <v>469</v>
      </c>
      <c r="I471" s="78"/>
      <c r="J471" s="78"/>
      <c r="K471" s="78"/>
      <c r="L471" s="78"/>
      <c r="V471" s="78"/>
      <c r="W471" s="78"/>
      <c r="X471" s="78"/>
    </row>
    <row r="472" spans="1:24">
      <c r="A472" s="34">
        <v>470</v>
      </c>
      <c r="I472" s="78"/>
      <c r="J472" s="78"/>
      <c r="K472" s="78"/>
      <c r="L472" s="78"/>
      <c r="V472" s="78"/>
      <c r="W472" s="78"/>
      <c r="X472" s="78"/>
    </row>
    <row r="473" spans="1:24">
      <c r="A473" s="34">
        <v>471</v>
      </c>
      <c r="I473" s="78"/>
      <c r="J473" s="78"/>
      <c r="K473" s="78"/>
      <c r="L473" s="78"/>
      <c r="V473" s="78"/>
      <c r="W473" s="78"/>
      <c r="X473" s="78"/>
    </row>
    <row r="474" spans="1:24">
      <c r="A474" s="34">
        <v>472</v>
      </c>
      <c r="I474" s="78"/>
      <c r="J474" s="78"/>
      <c r="K474" s="78"/>
      <c r="L474" s="78"/>
      <c r="V474" s="78"/>
      <c r="W474" s="78"/>
      <c r="X474" s="78"/>
    </row>
    <row r="475" spans="1:24">
      <c r="A475" s="34">
        <v>473</v>
      </c>
      <c r="I475" s="78"/>
      <c r="J475" s="78"/>
      <c r="K475" s="78"/>
      <c r="L475" s="78"/>
      <c r="V475" s="78"/>
      <c r="W475" s="78"/>
      <c r="X475" s="78"/>
    </row>
    <row r="476" spans="1:24">
      <c r="A476" s="34">
        <v>474</v>
      </c>
      <c r="I476" s="78"/>
      <c r="J476" s="78"/>
      <c r="K476" s="78"/>
      <c r="L476" s="78"/>
      <c r="V476" s="78"/>
      <c r="W476" s="78"/>
      <c r="X476" s="78"/>
    </row>
    <row r="477" spans="1:24">
      <c r="A477" s="34">
        <v>475</v>
      </c>
      <c r="I477" s="78"/>
      <c r="J477" s="78"/>
      <c r="K477" s="78"/>
      <c r="L477" s="78"/>
      <c r="V477" s="78"/>
      <c r="W477" s="78"/>
      <c r="X477" s="78"/>
    </row>
    <row r="478" spans="1:24">
      <c r="A478" s="34">
        <v>476</v>
      </c>
      <c r="I478" s="78"/>
      <c r="J478" s="78"/>
      <c r="K478" s="78"/>
      <c r="L478" s="78"/>
      <c r="V478" s="78"/>
      <c r="W478" s="78"/>
      <c r="X478" s="78"/>
    </row>
    <row r="479" spans="1:24">
      <c r="A479" s="34">
        <v>477</v>
      </c>
      <c r="I479" s="78"/>
      <c r="J479" s="78"/>
      <c r="K479" s="78"/>
      <c r="L479" s="78"/>
      <c r="V479" s="78"/>
      <c r="W479" s="78"/>
      <c r="X479" s="78"/>
    </row>
    <row r="480" spans="1:24">
      <c r="A480" s="34">
        <v>478</v>
      </c>
      <c r="I480" s="78"/>
      <c r="J480" s="78"/>
      <c r="K480" s="78"/>
      <c r="L480" s="78"/>
      <c r="V480" s="78"/>
      <c r="W480" s="78"/>
      <c r="X480" s="78"/>
    </row>
    <row r="481" spans="1:24">
      <c r="A481" s="34">
        <v>479</v>
      </c>
      <c r="I481" s="78"/>
      <c r="J481" s="78"/>
      <c r="K481" s="78"/>
      <c r="L481" s="78"/>
      <c r="V481" s="78"/>
      <c r="W481" s="78"/>
      <c r="X481" s="78"/>
    </row>
    <row r="482" spans="1:24">
      <c r="A482" s="34">
        <v>480</v>
      </c>
      <c r="I482" s="78"/>
      <c r="J482" s="78"/>
      <c r="K482" s="78"/>
      <c r="L482" s="78"/>
      <c r="V482" s="78"/>
      <c r="W482" s="78"/>
      <c r="X482" s="78"/>
    </row>
    <row r="483" spans="1:24">
      <c r="A483" s="34">
        <v>481</v>
      </c>
      <c r="I483" s="78"/>
      <c r="J483" s="78"/>
      <c r="K483" s="78"/>
      <c r="L483" s="78"/>
      <c r="V483" s="78"/>
      <c r="W483" s="78"/>
      <c r="X483" s="78"/>
    </row>
    <row r="484" spans="1:24">
      <c r="A484" s="34">
        <v>482</v>
      </c>
      <c r="I484" s="78"/>
      <c r="J484" s="78"/>
      <c r="K484" s="78"/>
      <c r="L484" s="78"/>
      <c r="V484" s="78"/>
      <c r="W484" s="78"/>
      <c r="X484" s="78"/>
    </row>
    <row r="485" spans="1:24">
      <c r="A485" s="34">
        <v>483</v>
      </c>
      <c r="I485" s="78"/>
      <c r="J485" s="78"/>
      <c r="K485" s="78"/>
      <c r="L485" s="78"/>
      <c r="V485" s="78"/>
      <c r="W485" s="78"/>
      <c r="X485" s="78"/>
    </row>
    <row r="486" spans="1:24">
      <c r="A486" s="34">
        <v>484</v>
      </c>
      <c r="I486" s="78"/>
      <c r="J486" s="78"/>
      <c r="K486" s="78"/>
      <c r="L486" s="78"/>
      <c r="V486" s="78"/>
      <c r="W486" s="78"/>
      <c r="X486" s="78"/>
    </row>
    <row r="487" spans="1:24">
      <c r="A487" s="34">
        <v>485</v>
      </c>
      <c r="I487" s="78"/>
      <c r="J487" s="78"/>
      <c r="K487" s="78"/>
      <c r="L487" s="78"/>
      <c r="V487" s="78"/>
      <c r="W487" s="78"/>
      <c r="X487" s="78"/>
    </row>
    <row r="488" spans="1:24">
      <c r="A488" s="34">
        <v>486</v>
      </c>
      <c r="I488" s="78"/>
      <c r="J488" s="78"/>
      <c r="K488" s="78"/>
      <c r="L488" s="78"/>
      <c r="V488" s="78"/>
      <c r="W488" s="78"/>
      <c r="X488" s="78"/>
    </row>
    <row r="489" spans="1:24">
      <c r="A489" s="34">
        <v>487</v>
      </c>
      <c r="I489" s="78"/>
      <c r="J489" s="78"/>
      <c r="K489" s="78"/>
      <c r="L489" s="78"/>
      <c r="V489" s="78"/>
      <c r="W489" s="78"/>
      <c r="X489" s="78"/>
    </row>
    <row r="490" spans="1:24">
      <c r="A490" s="34">
        <v>488</v>
      </c>
      <c r="I490" s="78"/>
      <c r="J490" s="78"/>
      <c r="K490" s="78"/>
      <c r="L490" s="78"/>
      <c r="V490" s="78"/>
      <c r="W490" s="78"/>
      <c r="X490" s="78"/>
    </row>
    <row r="491" spans="1:24">
      <c r="A491" s="34">
        <v>489</v>
      </c>
      <c r="I491" s="78"/>
      <c r="J491" s="78"/>
      <c r="K491" s="78"/>
      <c r="L491" s="78"/>
      <c r="V491" s="78"/>
      <c r="W491" s="78"/>
      <c r="X491" s="78"/>
    </row>
    <row r="492" spans="1:24">
      <c r="A492" s="34">
        <v>490</v>
      </c>
      <c r="I492" s="78"/>
      <c r="J492" s="78"/>
      <c r="K492" s="78"/>
      <c r="L492" s="78"/>
      <c r="V492" s="78"/>
      <c r="W492" s="78"/>
      <c r="X492" s="78"/>
    </row>
    <row r="493" spans="1:24">
      <c r="A493" s="34">
        <v>491</v>
      </c>
      <c r="I493" s="78"/>
      <c r="J493" s="78"/>
      <c r="K493" s="78"/>
      <c r="L493" s="78"/>
      <c r="V493" s="78"/>
      <c r="W493" s="78"/>
      <c r="X493" s="78"/>
    </row>
    <row r="494" spans="1:24">
      <c r="A494" s="34">
        <v>492</v>
      </c>
      <c r="I494" s="78"/>
      <c r="J494" s="78"/>
      <c r="K494" s="78"/>
      <c r="L494" s="78"/>
      <c r="V494" s="78"/>
      <c r="W494" s="78"/>
      <c r="X494" s="78"/>
    </row>
    <row r="495" spans="1:24">
      <c r="A495" s="34">
        <v>493</v>
      </c>
      <c r="I495" s="78"/>
      <c r="J495" s="78"/>
      <c r="K495" s="78"/>
      <c r="L495" s="78"/>
      <c r="V495" s="78"/>
      <c r="W495" s="78"/>
      <c r="X495" s="78"/>
    </row>
    <row r="496" spans="1:24">
      <c r="A496" s="34">
        <v>494</v>
      </c>
      <c r="I496" s="78"/>
      <c r="J496" s="78"/>
      <c r="K496" s="78"/>
      <c r="L496" s="78"/>
      <c r="V496" s="78"/>
      <c r="W496" s="78"/>
      <c r="X496" s="78"/>
    </row>
    <row r="497" spans="1:24">
      <c r="A497" s="34">
        <v>495</v>
      </c>
      <c r="I497" s="78"/>
      <c r="J497" s="78"/>
      <c r="K497" s="78"/>
      <c r="L497" s="78"/>
      <c r="V497" s="78"/>
      <c r="W497" s="78"/>
      <c r="X497" s="78"/>
    </row>
    <row r="498" spans="1:24">
      <c r="A498" s="34">
        <v>496</v>
      </c>
      <c r="I498" s="78"/>
      <c r="J498" s="78"/>
      <c r="K498" s="78"/>
      <c r="L498" s="78"/>
      <c r="V498" s="78"/>
      <c r="W498" s="78"/>
      <c r="X498" s="78"/>
    </row>
    <row r="499" spans="1:24">
      <c r="A499" s="34">
        <v>497</v>
      </c>
      <c r="I499" s="78"/>
      <c r="J499" s="78"/>
      <c r="K499" s="78"/>
      <c r="L499" s="78"/>
      <c r="V499" s="78"/>
      <c r="W499" s="78"/>
      <c r="X499" s="78"/>
    </row>
    <row r="500" spans="1:24">
      <c r="A500" s="34">
        <v>498</v>
      </c>
      <c r="I500" s="78"/>
      <c r="J500" s="78"/>
      <c r="K500" s="78"/>
      <c r="L500" s="78"/>
      <c r="V500" s="78"/>
      <c r="W500" s="78"/>
      <c r="X500" s="78"/>
    </row>
    <row r="501" spans="1:24">
      <c r="A501" s="34">
        <v>499</v>
      </c>
      <c r="I501" s="78"/>
      <c r="J501" s="78"/>
      <c r="K501" s="78"/>
      <c r="L501" s="78"/>
      <c r="V501" s="78"/>
      <c r="W501" s="78"/>
      <c r="X501" s="78"/>
    </row>
    <row r="502" spans="1:24">
      <c r="A502" s="34">
        <v>500</v>
      </c>
      <c r="I502" s="78"/>
      <c r="J502" s="78"/>
      <c r="K502" s="78"/>
      <c r="L502" s="78"/>
      <c r="V502" s="78"/>
      <c r="W502" s="78"/>
      <c r="X502" s="78"/>
    </row>
    <row r="503" spans="1:24">
      <c r="A503" s="34">
        <v>501</v>
      </c>
      <c r="I503" s="78"/>
      <c r="J503" s="78"/>
      <c r="K503" s="78"/>
      <c r="L503" s="78"/>
      <c r="V503" s="78"/>
      <c r="W503" s="78"/>
      <c r="X503" s="78"/>
    </row>
    <row r="504" spans="1:24">
      <c r="A504" s="34">
        <v>502</v>
      </c>
      <c r="I504" s="78"/>
      <c r="J504" s="78"/>
      <c r="K504" s="78"/>
      <c r="L504" s="78"/>
      <c r="V504" s="78"/>
      <c r="W504" s="78"/>
      <c r="X504" s="78"/>
    </row>
    <row r="505" spans="1:24">
      <c r="A505" s="34">
        <v>503</v>
      </c>
      <c r="I505" s="78"/>
      <c r="J505" s="78"/>
      <c r="K505" s="78"/>
      <c r="L505" s="78"/>
      <c r="V505" s="78"/>
      <c r="W505" s="78"/>
      <c r="X505" s="78"/>
    </row>
    <row r="506" spans="1:24">
      <c r="A506" s="34">
        <v>504</v>
      </c>
      <c r="I506" s="78"/>
      <c r="J506" s="78"/>
      <c r="K506" s="78"/>
      <c r="L506" s="78"/>
      <c r="V506" s="78"/>
      <c r="W506" s="78"/>
      <c r="X506" s="78"/>
    </row>
    <row r="507" spans="1:24">
      <c r="A507" s="34">
        <v>505</v>
      </c>
      <c r="I507" s="78"/>
      <c r="J507" s="78"/>
      <c r="K507" s="78"/>
      <c r="L507" s="78"/>
      <c r="V507" s="78"/>
      <c r="W507" s="78"/>
      <c r="X507" s="78"/>
    </row>
    <row r="508" spans="1:24">
      <c r="A508" s="34">
        <v>506</v>
      </c>
      <c r="I508" s="78"/>
      <c r="J508" s="78"/>
      <c r="K508" s="78"/>
      <c r="L508" s="78"/>
      <c r="V508" s="78"/>
      <c r="W508" s="78"/>
      <c r="X508" s="78"/>
    </row>
    <row r="509" spans="1:24">
      <c r="A509" s="34">
        <v>507</v>
      </c>
      <c r="I509" s="78"/>
      <c r="J509" s="78"/>
      <c r="K509" s="78"/>
      <c r="L509" s="78"/>
      <c r="V509" s="78"/>
      <c r="W509" s="78"/>
      <c r="X509" s="78"/>
    </row>
    <row r="510" spans="1:24">
      <c r="A510" s="34">
        <v>508</v>
      </c>
      <c r="I510" s="78"/>
      <c r="J510" s="78"/>
      <c r="K510" s="78"/>
      <c r="L510" s="78"/>
      <c r="V510" s="78"/>
      <c r="W510" s="78"/>
      <c r="X510" s="78"/>
    </row>
    <row r="511" spans="1:24">
      <c r="A511" s="34">
        <v>509</v>
      </c>
      <c r="I511" s="78"/>
      <c r="J511" s="78"/>
      <c r="K511" s="78"/>
      <c r="L511" s="78"/>
      <c r="V511" s="78"/>
      <c r="W511" s="78"/>
      <c r="X511" s="78"/>
    </row>
    <row r="512" spans="1:24">
      <c r="A512" s="34">
        <v>510</v>
      </c>
      <c r="I512" s="78"/>
      <c r="J512" s="78"/>
      <c r="K512" s="78"/>
      <c r="L512" s="78"/>
      <c r="V512" s="78"/>
      <c r="W512" s="78"/>
      <c r="X512" s="78"/>
    </row>
    <row r="513" spans="1:24">
      <c r="A513" s="34">
        <v>511</v>
      </c>
      <c r="I513" s="78"/>
      <c r="J513" s="78"/>
      <c r="K513" s="78"/>
      <c r="L513" s="78"/>
      <c r="V513" s="78"/>
      <c r="W513" s="78"/>
      <c r="X513" s="78"/>
    </row>
    <row r="514" spans="1:24">
      <c r="A514" s="34">
        <v>512</v>
      </c>
      <c r="I514" s="78"/>
      <c r="J514" s="78"/>
      <c r="K514" s="78"/>
      <c r="L514" s="78"/>
      <c r="V514" s="78"/>
      <c r="W514" s="78"/>
      <c r="X514" s="78"/>
    </row>
    <row r="515" spans="1:24">
      <c r="A515" s="34">
        <v>513</v>
      </c>
      <c r="I515" s="78"/>
      <c r="J515" s="78"/>
      <c r="K515" s="78"/>
      <c r="L515" s="78"/>
      <c r="V515" s="78"/>
      <c r="W515" s="78"/>
      <c r="X515" s="78"/>
    </row>
    <row r="516" spans="1:24">
      <c r="A516" s="34">
        <v>514</v>
      </c>
      <c r="I516" s="78"/>
      <c r="J516" s="78"/>
      <c r="K516" s="78"/>
      <c r="L516" s="78"/>
      <c r="V516" s="78"/>
      <c r="W516" s="78"/>
      <c r="X516" s="78"/>
    </row>
    <row r="517" spans="1:24">
      <c r="A517" s="34">
        <v>515</v>
      </c>
      <c r="I517" s="78"/>
      <c r="J517" s="78"/>
      <c r="K517" s="78"/>
      <c r="L517" s="78"/>
      <c r="V517" s="78"/>
      <c r="W517" s="78"/>
      <c r="X517" s="78"/>
    </row>
    <row r="518" spans="1:24">
      <c r="A518" s="34">
        <v>516</v>
      </c>
      <c r="I518" s="78"/>
      <c r="J518" s="78"/>
      <c r="K518" s="78"/>
      <c r="L518" s="78"/>
      <c r="V518" s="78"/>
      <c r="W518" s="78"/>
      <c r="X518" s="78"/>
    </row>
    <row r="519" spans="1:24">
      <c r="A519" s="34">
        <v>517</v>
      </c>
      <c r="I519" s="78"/>
      <c r="J519" s="78"/>
      <c r="K519" s="78"/>
      <c r="L519" s="78"/>
      <c r="V519" s="78"/>
      <c r="W519" s="78"/>
      <c r="X519" s="78"/>
    </row>
    <row r="520" spans="1:24">
      <c r="A520" s="34">
        <v>518</v>
      </c>
      <c r="I520" s="78"/>
      <c r="J520" s="78"/>
      <c r="K520" s="78"/>
      <c r="L520" s="78"/>
      <c r="V520" s="78"/>
      <c r="W520" s="78"/>
      <c r="X520" s="78"/>
    </row>
    <row r="521" spans="1:24">
      <c r="A521" s="34">
        <v>519</v>
      </c>
      <c r="I521" s="78"/>
      <c r="J521" s="78"/>
      <c r="K521" s="78"/>
      <c r="L521" s="78"/>
      <c r="V521" s="78"/>
      <c r="W521" s="78"/>
      <c r="X521" s="78"/>
    </row>
    <row r="522" spans="1:24">
      <c r="A522" s="34">
        <v>520</v>
      </c>
      <c r="I522" s="78"/>
      <c r="J522" s="78"/>
      <c r="K522" s="78"/>
      <c r="L522" s="78"/>
      <c r="V522" s="78"/>
      <c r="W522" s="78"/>
      <c r="X522" s="78"/>
    </row>
    <row r="523" spans="1:24">
      <c r="A523" s="34">
        <v>521</v>
      </c>
      <c r="I523" s="78"/>
      <c r="J523" s="78"/>
      <c r="K523" s="78"/>
      <c r="L523" s="78"/>
      <c r="V523" s="78"/>
      <c r="W523" s="78"/>
      <c r="X523" s="78"/>
    </row>
    <row r="524" spans="1:24">
      <c r="A524" s="34">
        <v>522</v>
      </c>
      <c r="I524" s="78"/>
      <c r="J524" s="78"/>
      <c r="K524" s="78"/>
      <c r="L524" s="78"/>
      <c r="V524" s="78"/>
      <c r="W524" s="78"/>
      <c r="X524" s="78"/>
    </row>
    <row r="525" spans="1:24">
      <c r="A525" s="34">
        <v>523</v>
      </c>
      <c r="I525" s="78"/>
      <c r="J525" s="78"/>
      <c r="K525" s="78"/>
      <c r="L525" s="78"/>
      <c r="V525" s="78"/>
      <c r="W525" s="78"/>
      <c r="X525" s="78"/>
    </row>
    <row r="526" spans="1:24">
      <c r="A526" s="34">
        <v>524</v>
      </c>
      <c r="I526" s="78"/>
      <c r="J526" s="78"/>
      <c r="K526" s="78"/>
      <c r="L526" s="78"/>
      <c r="V526" s="78"/>
      <c r="W526" s="78"/>
      <c r="X526" s="78"/>
    </row>
    <row r="527" spans="1:24">
      <c r="A527" s="34">
        <v>525</v>
      </c>
      <c r="I527" s="78"/>
      <c r="J527" s="78"/>
      <c r="K527" s="78"/>
      <c r="L527" s="78"/>
      <c r="V527" s="78"/>
      <c r="W527" s="78"/>
      <c r="X527" s="78"/>
    </row>
    <row r="528" spans="1:24">
      <c r="A528" s="34">
        <v>526</v>
      </c>
      <c r="I528" s="78"/>
      <c r="J528" s="78"/>
      <c r="K528" s="78"/>
      <c r="L528" s="78"/>
      <c r="V528" s="78"/>
      <c r="W528" s="78"/>
      <c r="X528" s="78"/>
    </row>
    <row r="529" spans="1:24">
      <c r="A529" s="34">
        <v>527</v>
      </c>
      <c r="I529" s="78"/>
      <c r="J529" s="78"/>
      <c r="K529" s="78"/>
      <c r="L529" s="78"/>
      <c r="V529" s="78"/>
      <c r="W529" s="78"/>
      <c r="X529" s="78"/>
    </row>
    <row r="530" spans="1:24">
      <c r="A530" s="34">
        <v>528</v>
      </c>
      <c r="I530" s="78"/>
      <c r="J530" s="78"/>
      <c r="K530" s="78"/>
      <c r="L530" s="78"/>
      <c r="V530" s="78"/>
      <c r="W530" s="78"/>
      <c r="X530" s="78"/>
    </row>
    <row r="531" spans="1:24">
      <c r="A531" s="34">
        <v>529</v>
      </c>
      <c r="I531" s="78"/>
      <c r="J531" s="78"/>
      <c r="K531" s="78"/>
      <c r="L531" s="78"/>
      <c r="V531" s="78"/>
      <c r="W531" s="78"/>
      <c r="X531" s="78"/>
    </row>
    <row r="532" spans="1:24">
      <c r="A532" s="34">
        <v>530</v>
      </c>
      <c r="I532" s="78"/>
      <c r="J532" s="78"/>
      <c r="K532" s="78"/>
      <c r="L532" s="78"/>
      <c r="V532" s="78"/>
      <c r="W532" s="78"/>
      <c r="X532" s="78"/>
    </row>
    <row r="533" spans="1:24">
      <c r="A533" s="34">
        <v>531</v>
      </c>
      <c r="I533" s="78"/>
      <c r="J533" s="78"/>
      <c r="K533" s="78"/>
      <c r="L533" s="78"/>
      <c r="V533" s="78"/>
      <c r="W533" s="78"/>
      <c r="X533" s="78"/>
    </row>
    <row r="534" spans="1:24">
      <c r="A534" s="34">
        <v>532</v>
      </c>
      <c r="I534" s="78"/>
      <c r="J534" s="78"/>
      <c r="K534" s="78"/>
      <c r="L534" s="78"/>
      <c r="V534" s="78"/>
      <c r="W534" s="78"/>
      <c r="X534" s="78"/>
    </row>
    <row r="535" spans="1:24">
      <c r="A535" s="34">
        <v>533</v>
      </c>
      <c r="I535" s="78"/>
      <c r="J535" s="78"/>
      <c r="K535" s="78"/>
      <c r="L535" s="78"/>
      <c r="V535" s="78"/>
      <c r="W535" s="78"/>
      <c r="X535" s="78"/>
    </row>
    <row r="536" spans="1:24">
      <c r="A536" s="34">
        <v>534</v>
      </c>
      <c r="I536" s="78"/>
      <c r="J536" s="78"/>
      <c r="K536" s="78"/>
      <c r="L536" s="78"/>
      <c r="V536" s="78"/>
      <c r="W536" s="78"/>
      <c r="X536" s="78"/>
    </row>
    <row r="537" spans="1:24">
      <c r="A537" s="34">
        <v>535</v>
      </c>
      <c r="I537" s="78"/>
      <c r="J537" s="78"/>
      <c r="K537" s="78"/>
      <c r="L537" s="78"/>
      <c r="V537" s="78"/>
      <c r="W537" s="78"/>
      <c r="X537" s="78"/>
    </row>
    <row r="538" spans="1:24">
      <c r="A538" s="34">
        <v>536</v>
      </c>
      <c r="I538" s="78"/>
      <c r="J538" s="78"/>
      <c r="K538" s="78"/>
      <c r="L538" s="78"/>
      <c r="V538" s="78"/>
      <c r="W538" s="78"/>
      <c r="X538" s="78"/>
    </row>
    <row r="539" spans="1:24">
      <c r="A539" s="34">
        <v>537</v>
      </c>
      <c r="I539" s="78"/>
      <c r="J539" s="78"/>
      <c r="K539" s="78"/>
      <c r="L539" s="78"/>
      <c r="V539" s="78"/>
      <c r="W539" s="78"/>
      <c r="X539" s="78"/>
    </row>
    <row r="540" spans="1:24">
      <c r="A540" s="34">
        <v>538</v>
      </c>
      <c r="I540" s="78"/>
      <c r="J540" s="78"/>
      <c r="K540" s="78"/>
      <c r="L540" s="78"/>
      <c r="V540" s="78"/>
      <c r="W540" s="78"/>
      <c r="X540" s="78"/>
    </row>
    <row r="541" spans="1:24">
      <c r="A541" s="34">
        <v>539</v>
      </c>
      <c r="I541" s="78"/>
      <c r="J541" s="78"/>
      <c r="K541" s="78"/>
      <c r="L541" s="78"/>
      <c r="V541" s="78"/>
      <c r="W541" s="78"/>
      <c r="X541" s="78"/>
    </row>
    <row r="542" spans="1:24">
      <c r="A542" s="34">
        <v>540</v>
      </c>
      <c r="I542" s="78"/>
      <c r="J542" s="78"/>
      <c r="K542" s="78"/>
      <c r="L542" s="78"/>
      <c r="V542" s="78"/>
      <c r="W542" s="78"/>
      <c r="X542" s="78"/>
    </row>
    <row r="543" spans="1:24">
      <c r="A543" s="34">
        <v>541</v>
      </c>
      <c r="I543" s="78"/>
      <c r="J543" s="78"/>
      <c r="K543" s="78"/>
      <c r="L543" s="78"/>
      <c r="V543" s="78"/>
      <c r="W543" s="78"/>
      <c r="X543" s="78"/>
    </row>
    <row r="544" spans="1:24">
      <c r="A544" s="34">
        <v>542</v>
      </c>
      <c r="I544" s="78"/>
      <c r="J544" s="78"/>
      <c r="K544" s="78"/>
      <c r="L544" s="78"/>
      <c r="V544" s="78"/>
      <c r="W544" s="78"/>
      <c r="X544" s="78"/>
    </row>
    <row r="545" spans="1:24">
      <c r="A545" s="34">
        <v>543</v>
      </c>
      <c r="I545" s="78"/>
      <c r="J545" s="78"/>
      <c r="K545" s="78"/>
      <c r="L545" s="78"/>
      <c r="V545" s="78"/>
      <c r="W545" s="78"/>
      <c r="X545" s="78"/>
    </row>
    <row r="546" spans="1:24">
      <c r="A546" s="34">
        <v>544</v>
      </c>
      <c r="I546" s="78"/>
      <c r="J546" s="78"/>
      <c r="K546" s="78"/>
      <c r="L546" s="78"/>
      <c r="V546" s="78"/>
      <c r="W546" s="78"/>
      <c r="X546" s="78"/>
    </row>
    <row r="547" spans="1:24">
      <c r="A547" s="34">
        <v>545</v>
      </c>
      <c r="I547" s="78"/>
      <c r="J547" s="78"/>
      <c r="K547" s="78"/>
      <c r="L547" s="78"/>
      <c r="V547" s="78"/>
      <c r="W547" s="78"/>
      <c r="X547" s="78"/>
    </row>
    <row r="548" spans="1:24">
      <c r="A548" s="34">
        <v>546</v>
      </c>
      <c r="I548" s="78"/>
      <c r="J548" s="78"/>
      <c r="K548" s="78"/>
      <c r="L548" s="78"/>
      <c r="V548" s="78"/>
      <c r="W548" s="78"/>
      <c r="X548" s="78"/>
    </row>
    <row r="549" spans="1:24">
      <c r="A549" s="34">
        <v>547</v>
      </c>
      <c r="I549" s="78"/>
      <c r="J549" s="78"/>
      <c r="K549" s="78"/>
      <c r="L549" s="78"/>
      <c r="V549" s="78"/>
      <c r="W549" s="78"/>
      <c r="X549" s="78"/>
    </row>
    <row r="550" spans="1:24">
      <c r="A550" s="34">
        <v>548</v>
      </c>
      <c r="I550" s="78"/>
      <c r="J550" s="78"/>
      <c r="K550" s="78"/>
      <c r="L550" s="78"/>
      <c r="V550" s="78"/>
      <c r="W550" s="78"/>
      <c r="X550" s="78"/>
    </row>
    <row r="551" spans="1:24">
      <c r="A551" s="34">
        <v>549</v>
      </c>
      <c r="I551" s="78"/>
      <c r="J551" s="78"/>
      <c r="K551" s="78"/>
      <c r="L551" s="78"/>
      <c r="V551" s="78"/>
      <c r="W551" s="78"/>
      <c r="X551" s="78"/>
    </row>
    <row r="552" spans="1:24">
      <c r="A552" s="34">
        <v>550</v>
      </c>
      <c r="I552" s="78"/>
      <c r="J552" s="78"/>
      <c r="K552" s="78"/>
      <c r="L552" s="78"/>
      <c r="V552" s="78"/>
      <c r="W552" s="78"/>
      <c r="X552" s="78"/>
    </row>
    <row r="553" spans="1:24">
      <c r="A553" s="34">
        <v>551</v>
      </c>
      <c r="I553" s="78"/>
      <c r="J553" s="78"/>
      <c r="K553" s="78"/>
      <c r="L553" s="78"/>
      <c r="V553" s="78"/>
      <c r="W553" s="78"/>
      <c r="X553" s="78"/>
    </row>
    <row r="554" spans="1:24">
      <c r="A554" s="34">
        <v>552</v>
      </c>
      <c r="I554" s="78"/>
      <c r="J554" s="78"/>
      <c r="K554" s="78"/>
      <c r="L554" s="78"/>
      <c r="V554" s="78"/>
      <c r="W554" s="78"/>
      <c r="X554" s="78"/>
    </row>
    <row r="555" spans="1:24">
      <c r="A555" s="34">
        <v>553</v>
      </c>
      <c r="I555" s="78"/>
      <c r="J555" s="78"/>
      <c r="K555" s="78"/>
      <c r="L555" s="78"/>
      <c r="V555" s="78"/>
      <c r="W555" s="78"/>
      <c r="X555" s="78"/>
    </row>
    <row r="556" spans="1:24">
      <c r="A556" s="34">
        <v>554</v>
      </c>
      <c r="I556" s="78"/>
      <c r="J556" s="78"/>
      <c r="K556" s="78"/>
      <c r="L556" s="78"/>
      <c r="V556" s="78"/>
      <c r="W556" s="78"/>
      <c r="X556" s="78"/>
    </row>
    <row r="557" spans="1:24">
      <c r="A557" s="34">
        <v>555</v>
      </c>
      <c r="I557" s="78"/>
      <c r="J557" s="78"/>
      <c r="K557" s="78"/>
      <c r="L557" s="78"/>
      <c r="V557" s="78"/>
      <c r="W557" s="78"/>
      <c r="X557" s="78"/>
    </row>
    <row r="558" spans="1:24">
      <c r="A558" s="34">
        <v>556</v>
      </c>
      <c r="I558" s="78"/>
      <c r="J558" s="78"/>
      <c r="K558" s="78"/>
      <c r="L558" s="78"/>
      <c r="V558" s="78"/>
      <c r="W558" s="78"/>
      <c r="X558" s="78"/>
    </row>
    <row r="559" spans="1:24">
      <c r="A559" s="34">
        <v>557</v>
      </c>
      <c r="I559" s="78"/>
      <c r="J559" s="78"/>
      <c r="K559" s="78"/>
      <c r="L559" s="78"/>
      <c r="V559" s="78"/>
      <c r="W559" s="78"/>
      <c r="X559" s="78"/>
    </row>
    <row r="560" spans="1:24">
      <c r="A560" s="34">
        <v>558</v>
      </c>
      <c r="I560" s="78"/>
      <c r="J560" s="78"/>
      <c r="K560" s="78"/>
      <c r="L560" s="78"/>
      <c r="V560" s="78"/>
      <c r="W560" s="78"/>
      <c r="X560" s="78"/>
    </row>
    <row r="561" spans="1:24">
      <c r="A561" s="34">
        <v>559</v>
      </c>
      <c r="I561" s="78"/>
      <c r="J561" s="78"/>
      <c r="K561" s="78"/>
      <c r="L561" s="78"/>
      <c r="V561" s="78"/>
      <c r="W561" s="78"/>
      <c r="X561" s="78"/>
    </row>
    <row r="562" spans="1:24">
      <c r="A562" s="34">
        <v>560</v>
      </c>
      <c r="I562" s="78"/>
      <c r="J562" s="78"/>
      <c r="K562" s="78"/>
      <c r="L562" s="78"/>
      <c r="V562" s="78"/>
      <c r="W562" s="78"/>
      <c r="X562" s="78"/>
    </row>
    <row r="563" spans="1:24">
      <c r="A563" s="34">
        <v>561</v>
      </c>
      <c r="I563" s="78"/>
      <c r="J563" s="78"/>
      <c r="K563" s="78"/>
      <c r="L563" s="78"/>
      <c r="V563" s="78"/>
      <c r="W563" s="78"/>
      <c r="X563" s="78"/>
    </row>
    <row r="564" spans="1:24">
      <c r="A564" s="34">
        <v>562</v>
      </c>
      <c r="I564" s="78"/>
      <c r="J564" s="78"/>
      <c r="K564" s="78"/>
      <c r="L564" s="78"/>
      <c r="V564" s="78"/>
      <c r="W564" s="78"/>
      <c r="X564" s="78"/>
    </row>
    <row r="565" spans="1:24">
      <c r="A565" s="34">
        <v>563</v>
      </c>
      <c r="I565" s="78"/>
      <c r="J565" s="78"/>
      <c r="K565" s="78"/>
      <c r="L565" s="78"/>
      <c r="V565" s="78"/>
      <c r="W565" s="78"/>
      <c r="X565" s="78"/>
    </row>
    <row r="566" spans="1:24">
      <c r="A566" s="34">
        <v>564</v>
      </c>
      <c r="I566" s="78"/>
      <c r="J566" s="78"/>
      <c r="K566" s="78"/>
      <c r="L566" s="78"/>
      <c r="V566" s="78"/>
      <c r="W566" s="78"/>
      <c r="X566" s="78"/>
    </row>
    <row r="567" spans="1:24">
      <c r="A567" s="34">
        <v>565</v>
      </c>
      <c r="I567" s="78"/>
      <c r="J567" s="78"/>
      <c r="K567" s="78"/>
      <c r="L567" s="78"/>
      <c r="V567" s="78"/>
      <c r="W567" s="78"/>
      <c r="X567" s="78"/>
    </row>
    <row r="568" spans="1:24">
      <c r="A568" s="34">
        <v>566</v>
      </c>
      <c r="I568" s="78"/>
      <c r="J568" s="78"/>
      <c r="K568" s="78"/>
      <c r="L568" s="78"/>
      <c r="V568" s="78"/>
      <c r="W568" s="78"/>
      <c r="X568" s="78"/>
    </row>
    <row r="569" spans="1:24">
      <c r="A569" s="34">
        <v>567</v>
      </c>
      <c r="I569" s="78"/>
      <c r="J569" s="78"/>
      <c r="K569" s="78"/>
      <c r="L569" s="78"/>
      <c r="V569" s="78"/>
      <c r="W569" s="78"/>
      <c r="X569" s="78"/>
    </row>
    <row r="570" spans="1:24">
      <c r="A570" s="34">
        <v>568</v>
      </c>
      <c r="I570" s="78"/>
      <c r="J570" s="78"/>
      <c r="K570" s="78"/>
      <c r="L570" s="78"/>
      <c r="V570" s="78"/>
      <c r="W570" s="78"/>
      <c r="X570" s="78"/>
    </row>
    <row r="571" spans="1:24">
      <c r="A571" s="34">
        <v>569</v>
      </c>
      <c r="I571" s="78"/>
      <c r="J571" s="78"/>
      <c r="K571" s="78"/>
      <c r="L571" s="78"/>
      <c r="V571" s="78"/>
      <c r="W571" s="78"/>
      <c r="X571" s="78"/>
    </row>
    <row r="572" spans="1:24">
      <c r="A572" s="34">
        <v>570</v>
      </c>
      <c r="I572" s="78"/>
      <c r="J572" s="78"/>
      <c r="K572" s="78"/>
      <c r="L572" s="78"/>
      <c r="V572" s="78"/>
      <c r="W572" s="78"/>
      <c r="X572" s="78"/>
    </row>
    <row r="573" spans="1:24">
      <c r="A573" s="34">
        <v>571</v>
      </c>
      <c r="I573" s="78"/>
      <c r="J573" s="78"/>
      <c r="K573" s="78"/>
      <c r="L573" s="78"/>
      <c r="V573" s="78"/>
      <c r="W573" s="78"/>
      <c r="X573" s="78"/>
    </row>
    <row r="574" spans="1:24">
      <c r="A574" s="34">
        <v>572</v>
      </c>
      <c r="I574" s="78"/>
      <c r="J574" s="78"/>
      <c r="K574" s="78"/>
      <c r="L574" s="78"/>
      <c r="V574" s="78"/>
      <c r="W574" s="78"/>
      <c r="X574" s="78"/>
    </row>
    <row r="575" spans="1:24">
      <c r="A575" s="34">
        <v>573</v>
      </c>
      <c r="I575" s="78"/>
      <c r="J575" s="78"/>
      <c r="K575" s="78"/>
      <c r="L575" s="78"/>
      <c r="V575" s="78"/>
      <c r="W575" s="78"/>
      <c r="X575" s="78"/>
    </row>
    <row r="576" spans="1:24">
      <c r="A576" s="34">
        <v>574</v>
      </c>
      <c r="I576" s="78"/>
      <c r="J576" s="78"/>
      <c r="K576" s="78"/>
      <c r="L576" s="78"/>
      <c r="V576" s="78"/>
      <c r="W576" s="78"/>
      <c r="X576" s="78"/>
    </row>
    <row r="577" spans="1:24">
      <c r="A577" s="34">
        <v>575</v>
      </c>
      <c r="I577" s="78"/>
      <c r="J577" s="78"/>
      <c r="K577" s="78"/>
      <c r="L577" s="78"/>
      <c r="V577" s="78"/>
      <c r="W577" s="78"/>
      <c r="X577" s="78"/>
    </row>
    <row r="578" spans="1:24">
      <c r="A578" s="34">
        <v>576</v>
      </c>
      <c r="I578" s="78"/>
      <c r="J578" s="78"/>
      <c r="K578" s="78"/>
      <c r="L578" s="78"/>
      <c r="V578" s="78"/>
      <c r="W578" s="78"/>
      <c r="X578" s="78"/>
    </row>
    <row r="579" spans="1:24">
      <c r="A579" s="34">
        <v>577</v>
      </c>
      <c r="I579" s="78"/>
      <c r="J579" s="78"/>
      <c r="K579" s="78"/>
      <c r="L579" s="78"/>
      <c r="V579" s="78"/>
      <c r="W579" s="78"/>
      <c r="X579" s="78"/>
    </row>
    <row r="580" spans="1:24">
      <c r="A580" s="34">
        <v>578</v>
      </c>
      <c r="I580" s="78"/>
      <c r="J580" s="78"/>
      <c r="K580" s="78"/>
      <c r="L580" s="78"/>
      <c r="V580" s="78"/>
      <c r="W580" s="78"/>
      <c r="X580" s="78"/>
    </row>
    <row r="581" spans="1:24">
      <c r="A581" s="34">
        <v>579</v>
      </c>
      <c r="I581" s="78"/>
      <c r="J581" s="78"/>
      <c r="K581" s="78"/>
      <c r="L581" s="78"/>
      <c r="V581" s="78"/>
      <c r="W581" s="78"/>
      <c r="X581" s="78"/>
    </row>
    <row r="582" spans="1:24">
      <c r="A582" s="34">
        <v>580</v>
      </c>
      <c r="I582" s="78"/>
      <c r="J582" s="78"/>
      <c r="K582" s="78"/>
      <c r="L582" s="78"/>
      <c r="V582" s="78"/>
      <c r="W582" s="78"/>
      <c r="X582" s="78"/>
    </row>
    <row r="583" spans="1:24">
      <c r="A583" s="34">
        <v>581</v>
      </c>
      <c r="I583" s="78"/>
      <c r="J583" s="78"/>
      <c r="K583" s="78"/>
      <c r="L583" s="78"/>
      <c r="V583" s="78"/>
      <c r="W583" s="78"/>
      <c r="X583" s="78"/>
    </row>
    <row r="584" spans="1:24">
      <c r="A584" s="34">
        <v>582</v>
      </c>
      <c r="I584" s="78"/>
      <c r="J584" s="78"/>
      <c r="K584" s="78"/>
      <c r="L584" s="78"/>
      <c r="V584" s="78"/>
      <c r="W584" s="78"/>
      <c r="X584" s="78"/>
    </row>
    <row r="585" spans="1:24">
      <c r="A585" s="34">
        <v>583</v>
      </c>
      <c r="I585" s="78"/>
      <c r="J585" s="78"/>
      <c r="K585" s="78"/>
      <c r="L585" s="78"/>
      <c r="V585" s="78"/>
      <c r="W585" s="78"/>
      <c r="X585" s="78"/>
    </row>
    <row r="586" spans="1:24">
      <c r="A586" s="34">
        <v>584</v>
      </c>
      <c r="I586" s="78"/>
      <c r="J586" s="78"/>
      <c r="K586" s="78"/>
      <c r="L586" s="78"/>
      <c r="V586" s="78"/>
      <c r="W586" s="78"/>
      <c r="X586" s="78"/>
    </row>
    <row r="587" spans="1:24">
      <c r="A587" s="34">
        <v>585</v>
      </c>
      <c r="I587" s="78"/>
      <c r="J587" s="78"/>
      <c r="K587" s="78"/>
      <c r="L587" s="78"/>
      <c r="V587" s="78"/>
      <c r="W587" s="78"/>
      <c r="X587" s="78"/>
    </row>
    <row r="588" spans="1:24">
      <c r="A588" s="34">
        <v>586</v>
      </c>
      <c r="I588" s="78"/>
      <c r="J588" s="78"/>
      <c r="K588" s="78"/>
      <c r="L588" s="78"/>
      <c r="V588" s="78"/>
      <c r="W588" s="78"/>
      <c r="X588" s="78"/>
    </row>
    <row r="589" spans="1:24">
      <c r="A589" s="34">
        <v>587</v>
      </c>
      <c r="I589" s="78"/>
      <c r="J589" s="78"/>
      <c r="K589" s="78"/>
      <c r="L589" s="78"/>
      <c r="V589" s="78"/>
      <c r="W589" s="78"/>
      <c r="X589" s="78"/>
    </row>
    <row r="590" spans="1:24">
      <c r="A590" s="34">
        <v>588</v>
      </c>
      <c r="I590" s="78"/>
      <c r="J590" s="78"/>
      <c r="K590" s="78"/>
      <c r="L590" s="78"/>
      <c r="V590" s="78"/>
      <c r="W590" s="78"/>
      <c r="X590" s="78"/>
    </row>
    <row r="591" spans="1:24">
      <c r="A591" s="34">
        <v>589</v>
      </c>
      <c r="I591" s="78"/>
      <c r="J591" s="78"/>
      <c r="K591" s="78"/>
      <c r="L591" s="78"/>
      <c r="V591" s="78"/>
      <c r="W591" s="78"/>
      <c r="X591" s="78"/>
    </row>
    <row r="592" spans="1:24">
      <c r="A592" s="34">
        <v>590</v>
      </c>
      <c r="I592" s="78"/>
      <c r="J592" s="78"/>
      <c r="K592" s="78"/>
      <c r="L592" s="78"/>
      <c r="V592" s="78"/>
      <c r="W592" s="78"/>
      <c r="X592" s="78"/>
    </row>
    <row r="593" spans="1:24">
      <c r="A593" s="34">
        <v>591</v>
      </c>
      <c r="I593" s="78"/>
      <c r="J593" s="78"/>
      <c r="K593" s="78"/>
      <c r="L593" s="78"/>
      <c r="V593" s="78"/>
      <c r="W593" s="78"/>
      <c r="X593" s="78"/>
    </row>
    <row r="594" spans="1:24">
      <c r="A594" s="34">
        <v>592</v>
      </c>
      <c r="I594" s="78"/>
      <c r="J594" s="78"/>
      <c r="K594" s="78"/>
      <c r="L594" s="78"/>
      <c r="V594" s="78"/>
      <c r="W594" s="78"/>
      <c r="X594" s="78"/>
    </row>
    <row r="595" spans="1:24">
      <c r="A595" s="34">
        <v>593</v>
      </c>
      <c r="I595" s="78"/>
      <c r="J595" s="78"/>
      <c r="K595" s="78"/>
      <c r="L595" s="78"/>
      <c r="V595" s="78"/>
      <c r="W595" s="78"/>
      <c r="X595" s="78"/>
    </row>
    <row r="596" spans="1:24">
      <c r="A596" s="34">
        <v>594</v>
      </c>
      <c r="I596" s="78"/>
      <c r="J596" s="78"/>
      <c r="K596" s="78"/>
      <c r="L596" s="78"/>
      <c r="V596" s="78"/>
      <c r="W596" s="78"/>
      <c r="X596" s="78"/>
    </row>
    <row r="597" spans="1:24">
      <c r="A597" s="34">
        <v>595</v>
      </c>
      <c r="I597" s="78"/>
      <c r="J597" s="78"/>
      <c r="K597" s="78"/>
      <c r="L597" s="78"/>
      <c r="V597" s="78"/>
      <c r="W597" s="78"/>
      <c r="X597" s="78"/>
    </row>
    <row r="598" spans="1:24">
      <c r="A598" s="34">
        <v>596</v>
      </c>
      <c r="I598" s="78"/>
      <c r="J598" s="78"/>
      <c r="K598" s="78"/>
      <c r="L598" s="78"/>
      <c r="V598" s="78"/>
      <c r="W598" s="78"/>
      <c r="X598" s="78"/>
    </row>
    <row r="599" spans="1:24">
      <c r="A599" s="34">
        <v>597</v>
      </c>
      <c r="I599" s="78"/>
      <c r="J599" s="78"/>
      <c r="K599" s="78"/>
      <c r="L599" s="78"/>
      <c r="V599" s="78"/>
      <c r="W599" s="78"/>
      <c r="X599" s="78"/>
    </row>
    <row r="600" spans="1:24">
      <c r="A600" s="34">
        <v>598</v>
      </c>
      <c r="I600" s="78"/>
      <c r="J600" s="78"/>
      <c r="K600" s="78"/>
      <c r="L600" s="78"/>
      <c r="V600" s="78"/>
      <c r="W600" s="78"/>
      <c r="X600" s="78"/>
    </row>
    <row r="601" spans="1:24">
      <c r="A601" s="34">
        <v>599</v>
      </c>
      <c r="I601" s="78"/>
      <c r="J601" s="78"/>
      <c r="K601" s="78"/>
      <c r="L601" s="78"/>
      <c r="V601" s="78"/>
      <c r="W601" s="78"/>
      <c r="X601" s="78"/>
    </row>
    <row r="602" spans="1:24">
      <c r="A602" s="34">
        <v>600</v>
      </c>
      <c r="I602" s="78"/>
      <c r="J602" s="78"/>
      <c r="K602" s="78"/>
      <c r="L602" s="78"/>
      <c r="V602" s="78"/>
      <c r="W602" s="78"/>
      <c r="X602" s="78"/>
    </row>
    <row r="603" spans="1:24">
      <c r="A603" s="34">
        <v>601</v>
      </c>
      <c r="I603" s="78"/>
      <c r="J603" s="78"/>
      <c r="K603" s="78"/>
      <c r="L603" s="78"/>
      <c r="V603" s="78"/>
      <c r="W603" s="78"/>
      <c r="X603" s="78"/>
    </row>
    <row r="604" spans="1:24">
      <c r="A604" s="34">
        <v>602</v>
      </c>
      <c r="I604" s="78"/>
      <c r="J604" s="78"/>
      <c r="K604" s="78"/>
      <c r="L604" s="78"/>
      <c r="V604" s="78"/>
      <c r="W604" s="78"/>
      <c r="X604" s="78"/>
    </row>
    <row r="605" spans="1:24">
      <c r="A605" s="34">
        <v>603</v>
      </c>
      <c r="I605" s="78"/>
      <c r="J605" s="78"/>
      <c r="K605" s="78"/>
      <c r="L605" s="78"/>
      <c r="V605" s="78"/>
      <c r="W605" s="78"/>
      <c r="X605" s="78"/>
    </row>
    <row r="606" spans="1:24">
      <c r="A606" s="34">
        <v>604</v>
      </c>
      <c r="I606" s="78"/>
      <c r="J606" s="78"/>
      <c r="K606" s="78"/>
      <c r="L606" s="78"/>
      <c r="V606" s="78"/>
      <c r="W606" s="78"/>
      <c r="X606" s="78"/>
    </row>
    <row r="607" spans="1:24">
      <c r="A607" s="34">
        <v>605</v>
      </c>
      <c r="I607" s="78"/>
      <c r="J607" s="78"/>
      <c r="K607" s="78"/>
      <c r="L607" s="78"/>
      <c r="V607" s="78"/>
      <c r="W607" s="78"/>
      <c r="X607" s="78"/>
    </row>
    <row r="608" spans="1:24">
      <c r="A608" s="34">
        <v>606</v>
      </c>
      <c r="I608" s="78"/>
      <c r="J608" s="78"/>
      <c r="K608" s="78"/>
      <c r="L608" s="78"/>
      <c r="V608" s="78"/>
      <c r="W608" s="78"/>
      <c r="X608" s="78"/>
    </row>
    <row r="609" spans="1:24">
      <c r="A609" s="34">
        <v>607</v>
      </c>
      <c r="I609" s="78"/>
      <c r="J609" s="78"/>
      <c r="K609" s="78"/>
      <c r="L609" s="78"/>
      <c r="V609" s="78"/>
      <c r="W609" s="78"/>
      <c r="X609" s="78"/>
    </row>
    <row r="610" spans="1:24">
      <c r="A610" s="34">
        <v>608</v>
      </c>
      <c r="I610" s="78"/>
      <c r="J610" s="78"/>
      <c r="K610" s="78"/>
      <c r="L610" s="78"/>
      <c r="V610" s="78"/>
      <c r="W610" s="78"/>
      <c r="X610" s="78"/>
    </row>
    <row r="611" spans="1:24">
      <c r="A611" s="34">
        <v>609</v>
      </c>
      <c r="I611" s="78"/>
      <c r="J611" s="78"/>
      <c r="K611" s="78"/>
      <c r="L611" s="78"/>
      <c r="V611" s="78"/>
      <c r="W611" s="78"/>
      <c r="X611" s="78"/>
    </row>
    <row r="612" spans="1:24">
      <c r="A612" s="34">
        <v>610</v>
      </c>
      <c r="I612" s="78"/>
      <c r="J612" s="78"/>
      <c r="K612" s="78"/>
      <c r="L612" s="78"/>
      <c r="V612" s="78"/>
      <c r="W612" s="78"/>
      <c r="X612" s="78"/>
    </row>
    <row r="613" spans="1:24">
      <c r="A613" s="34">
        <v>611</v>
      </c>
      <c r="I613" s="78"/>
      <c r="J613" s="78"/>
      <c r="K613" s="78"/>
      <c r="L613" s="78"/>
      <c r="V613" s="78"/>
      <c r="W613" s="78"/>
      <c r="X613" s="78"/>
    </row>
    <row r="614" spans="1:24">
      <c r="A614" s="34">
        <v>612</v>
      </c>
      <c r="I614" s="78"/>
      <c r="J614" s="78"/>
      <c r="K614" s="78"/>
      <c r="L614" s="78"/>
      <c r="V614" s="78"/>
      <c r="W614" s="78"/>
      <c r="X614" s="78"/>
    </row>
    <row r="615" spans="1:24">
      <c r="A615" s="34">
        <v>613</v>
      </c>
      <c r="I615" s="78"/>
      <c r="J615" s="78"/>
      <c r="K615" s="78"/>
      <c r="L615" s="78"/>
      <c r="V615" s="78"/>
      <c r="W615" s="78"/>
      <c r="X615" s="78"/>
    </row>
    <row r="616" spans="1:24">
      <c r="A616" s="34">
        <v>614</v>
      </c>
      <c r="I616" s="78"/>
      <c r="J616" s="78"/>
      <c r="K616" s="78"/>
      <c r="L616" s="78"/>
      <c r="V616" s="78"/>
      <c r="W616" s="78"/>
      <c r="X616" s="78"/>
    </row>
    <row r="617" spans="1:24">
      <c r="A617" s="34">
        <v>615</v>
      </c>
      <c r="I617" s="78"/>
      <c r="J617" s="78"/>
      <c r="K617" s="78"/>
      <c r="L617" s="78"/>
      <c r="V617" s="78"/>
      <c r="W617" s="78"/>
      <c r="X617" s="78"/>
    </row>
    <row r="618" spans="1:24">
      <c r="A618" s="34">
        <v>616</v>
      </c>
      <c r="I618" s="78"/>
      <c r="J618" s="78"/>
      <c r="K618" s="78"/>
      <c r="L618" s="78"/>
      <c r="V618" s="78"/>
      <c r="W618" s="78"/>
      <c r="X618" s="78"/>
    </row>
    <row r="619" spans="1:24">
      <c r="A619" s="34">
        <v>617</v>
      </c>
      <c r="I619" s="78"/>
      <c r="J619" s="78"/>
      <c r="K619" s="78"/>
      <c r="L619" s="78"/>
      <c r="V619" s="78"/>
      <c r="W619" s="78"/>
      <c r="X619" s="78"/>
    </row>
    <row r="620" spans="1:24">
      <c r="A620" s="34">
        <v>618</v>
      </c>
      <c r="I620" s="78"/>
      <c r="J620" s="78"/>
      <c r="K620" s="78"/>
      <c r="L620" s="78"/>
      <c r="V620" s="78"/>
      <c r="W620" s="78"/>
      <c r="X620" s="78"/>
    </row>
    <row r="621" spans="1:24">
      <c r="A621" s="34">
        <v>619</v>
      </c>
      <c r="I621" s="78"/>
      <c r="J621" s="78"/>
      <c r="K621" s="78"/>
      <c r="L621" s="78"/>
      <c r="V621" s="78"/>
      <c r="W621" s="78"/>
      <c r="X621" s="78"/>
    </row>
    <row r="622" spans="1:24">
      <c r="A622" s="34">
        <v>620</v>
      </c>
      <c r="I622" s="78"/>
      <c r="J622" s="78"/>
      <c r="K622" s="78"/>
      <c r="L622" s="78"/>
      <c r="V622" s="78"/>
      <c r="W622" s="78"/>
      <c r="X622" s="78"/>
    </row>
    <row r="623" spans="1:24">
      <c r="A623" s="34">
        <v>621</v>
      </c>
      <c r="I623" s="78"/>
      <c r="J623" s="78"/>
      <c r="K623" s="78"/>
      <c r="L623" s="78"/>
      <c r="V623" s="78"/>
      <c r="W623" s="78"/>
      <c r="X623" s="78"/>
    </row>
    <row r="624" spans="1:24">
      <c r="A624" s="34">
        <v>622</v>
      </c>
      <c r="I624" s="78"/>
      <c r="J624" s="78"/>
      <c r="K624" s="78"/>
      <c r="L624" s="78"/>
      <c r="V624" s="78"/>
      <c r="W624" s="78"/>
      <c r="X624" s="78"/>
    </row>
    <row r="625" spans="1:24">
      <c r="A625" s="34">
        <v>623</v>
      </c>
      <c r="I625" s="78"/>
      <c r="J625" s="78"/>
      <c r="K625" s="78"/>
      <c r="L625" s="78"/>
      <c r="V625" s="78"/>
      <c r="W625" s="78"/>
      <c r="X625" s="78"/>
    </row>
    <row r="626" spans="1:24">
      <c r="A626" s="34">
        <v>624</v>
      </c>
      <c r="I626" s="78"/>
      <c r="J626" s="78"/>
      <c r="K626" s="78"/>
      <c r="L626" s="78"/>
      <c r="V626" s="78"/>
      <c r="W626" s="78"/>
      <c r="X626" s="78"/>
    </row>
    <row r="627" spans="1:24">
      <c r="A627" s="34">
        <v>625</v>
      </c>
      <c r="I627" s="78"/>
      <c r="J627" s="78"/>
      <c r="K627" s="78"/>
      <c r="L627" s="78"/>
      <c r="V627" s="78"/>
      <c r="W627" s="78"/>
      <c r="X627" s="78"/>
    </row>
    <row r="628" spans="1:24">
      <c r="A628" s="34">
        <v>626</v>
      </c>
      <c r="I628" s="78"/>
      <c r="J628" s="78"/>
      <c r="K628" s="78"/>
      <c r="L628" s="78"/>
      <c r="V628" s="78"/>
      <c r="W628" s="78"/>
      <c r="X628" s="78"/>
    </row>
    <row r="629" spans="1:24">
      <c r="A629" s="34">
        <v>627</v>
      </c>
      <c r="I629" s="78"/>
      <c r="J629" s="78"/>
      <c r="K629" s="78"/>
      <c r="L629" s="78"/>
      <c r="V629" s="78"/>
      <c r="W629" s="78"/>
      <c r="X629" s="78"/>
    </row>
    <row r="630" spans="1:24">
      <c r="A630" s="34">
        <v>628</v>
      </c>
      <c r="I630" s="78"/>
      <c r="J630" s="78"/>
      <c r="K630" s="78"/>
      <c r="L630" s="78"/>
      <c r="V630" s="78"/>
      <c r="W630" s="78"/>
      <c r="X630" s="78"/>
    </row>
    <row r="631" spans="1:24">
      <c r="A631" s="34">
        <v>629</v>
      </c>
      <c r="I631" s="78"/>
      <c r="J631" s="78"/>
      <c r="K631" s="78"/>
      <c r="L631" s="78"/>
      <c r="V631" s="78"/>
      <c r="W631" s="78"/>
      <c r="X631" s="78"/>
    </row>
    <row r="632" spans="1:24">
      <c r="A632" s="34">
        <v>630</v>
      </c>
      <c r="I632" s="78"/>
      <c r="J632" s="78"/>
      <c r="K632" s="78"/>
      <c r="L632" s="78"/>
      <c r="V632" s="78"/>
      <c r="W632" s="78"/>
      <c r="X632" s="78"/>
    </row>
    <row r="633" spans="1:24">
      <c r="A633" s="34">
        <v>631</v>
      </c>
      <c r="I633" s="78"/>
      <c r="J633" s="78"/>
      <c r="K633" s="78"/>
      <c r="L633" s="78"/>
      <c r="V633" s="78"/>
      <c r="W633" s="78"/>
      <c r="X633" s="78"/>
    </row>
    <row r="634" spans="1:24">
      <c r="A634" s="34">
        <v>632</v>
      </c>
      <c r="I634" s="78"/>
      <c r="J634" s="78"/>
      <c r="K634" s="78"/>
      <c r="L634" s="78"/>
      <c r="V634" s="78"/>
      <c r="W634" s="78"/>
      <c r="X634" s="78"/>
    </row>
    <row r="635" spans="1:24">
      <c r="A635" s="34">
        <v>633</v>
      </c>
      <c r="I635" s="78"/>
      <c r="J635" s="78"/>
      <c r="K635" s="78"/>
      <c r="L635" s="78"/>
      <c r="V635" s="78"/>
      <c r="W635" s="78"/>
      <c r="X635" s="78"/>
    </row>
    <row r="636" spans="1:24">
      <c r="A636" s="34">
        <v>634</v>
      </c>
      <c r="I636" s="78"/>
      <c r="J636" s="78"/>
      <c r="K636" s="78"/>
      <c r="L636" s="78"/>
      <c r="V636" s="78"/>
      <c r="W636" s="78"/>
      <c r="X636" s="78"/>
    </row>
    <row r="637" spans="1:24">
      <c r="A637" s="34">
        <v>635</v>
      </c>
      <c r="I637" s="78"/>
      <c r="J637" s="78"/>
      <c r="K637" s="78"/>
      <c r="L637" s="78"/>
      <c r="V637" s="78"/>
      <c r="W637" s="78"/>
      <c r="X637" s="78"/>
    </row>
    <row r="638" spans="1:24">
      <c r="A638" s="34">
        <v>636</v>
      </c>
      <c r="I638" s="78"/>
      <c r="J638" s="78"/>
      <c r="K638" s="78"/>
      <c r="L638" s="78"/>
      <c r="V638" s="78"/>
      <c r="W638" s="78"/>
      <c r="X638" s="78"/>
    </row>
    <row r="639" spans="1:24">
      <c r="A639" s="34">
        <v>637</v>
      </c>
      <c r="I639" s="78"/>
      <c r="J639" s="78"/>
      <c r="K639" s="78"/>
      <c r="L639" s="78"/>
      <c r="V639" s="78"/>
      <c r="W639" s="78"/>
      <c r="X639" s="78"/>
    </row>
    <row r="640" spans="1:24">
      <c r="A640" s="34">
        <v>638</v>
      </c>
      <c r="I640" s="78"/>
      <c r="J640" s="78"/>
      <c r="K640" s="78"/>
      <c r="L640" s="78"/>
      <c r="V640" s="78"/>
      <c r="W640" s="78"/>
      <c r="X640" s="78"/>
    </row>
    <row r="641" spans="1:24">
      <c r="A641" s="34">
        <v>639</v>
      </c>
      <c r="I641" s="78"/>
      <c r="J641" s="78"/>
      <c r="K641" s="78"/>
      <c r="L641" s="78"/>
      <c r="V641" s="78"/>
      <c r="W641" s="78"/>
      <c r="X641" s="78"/>
    </row>
    <row r="642" spans="1:24">
      <c r="A642" s="34">
        <v>640</v>
      </c>
      <c r="I642" s="78"/>
      <c r="J642" s="78"/>
      <c r="K642" s="78"/>
      <c r="L642" s="78"/>
      <c r="V642" s="78"/>
      <c r="W642" s="78"/>
      <c r="X642" s="78"/>
    </row>
    <row r="643" spans="1:24">
      <c r="A643" s="34">
        <v>641</v>
      </c>
      <c r="I643" s="78"/>
      <c r="J643" s="78"/>
      <c r="K643" s="78"/>
      <c r="L643" s="78"/>
      <c r="V643" s="78"/>
      <c r="W643" s="78"/>
      <c r="X643" s="78"/>
    </row>
    <row r="644" spans="1:24">
      <c r="A644" s="34">
        <v>642</v>
      </c>
      <c r="I644" s="78"/>
      <c r="J644" s="78"/>
      <c r="K644" s="78"/>
      <c r="L644" s="78"/>
      <c r="V644" s="78"/>
      <c r="W644" s="78"/>
      <c r="X644" s="78"/>
    </row>
    <row r="645" spans="1:24">
      <c r="A645" s="34">
        <v>643</v>
      </c>
      <c r="I645" s="78"/>
      <c r="J645" s="78"/>
      <c r="K645" s="78"/>
      <c r="L645" s="78"/>
      <c r="V645" s="78"/>
      <c r="W645" s="78"/>
      <c r="X645" s="78"/>
    </row>
    <row r="646" spans="1:24">
      <c r="A646" s="34">
        <v>644</v>
      </c>
      <c r="I646" s="78"/>
      <c r="J646" s="78"/>
      <c r="K646" s="78"/>
      <c r="L646" s="78"/>
      <c r="V646" s="78"/>
      <c r="W646" s="78"/>
      <c r="X646" s="78"/>
    </row>
    <row r="647" spans="1:24">
      <c r="A647" s="34">
        <v>645</v>
      </c>
      <c r="I647" s="78"/>
      <c r="J647" s="78"/>
      <c r="K647" s="78"/>
      <c r="L647" s="78"/>
      <c r="V647" s="78"/>
      <c r="W647" s="78"/>
      <c r="X647" s="78"/>
    </row>
    <row r="648" spans="1:24">
      <c r="A648" s="34">
        <v>646</v>
      </c>
      <c r="I648" s="78"/>
      <c r="J648" s="78"/>
      <c r="K648" s="78"/>
      <c r="L648" s="78"/>
      <c r="V648" s="78"/>
      <c r="W648" s="78"/>
      <c r="X648" s="78"/>
    </row>
    <row r="649" spans="1:24">
      <c r="A649" s="34">
        <v>647</v>
      </c>
      <c r="I649" s="78"/>
      <c r="J649" s="78"/>
      <c r="K649" s="78"/>
      <c r="L649" s="78"/>
      <c r="V649" s="78"/>
      <c r="W649" s="78"/>
      <c r="X649" s="78"/>
    </row>
    <row r="650" spans="1:24">
      <c r="A650" s="34">
        <v>648</v>
      </c>
      <c r="I650" s="78"/>
      <c r="J650" s="78"/>
      <c r="K650" s="78"/>
      <c r="L650" s="78"/>
      <c r="V650" s="78"/>
      <c r="W650" s="78"/>
      <c r="X650" s="78"/>
    </row>
    <row r="651" spans="1:24">
      <c r="A651" s="34">
        <v>649</v>
      </c>
      <c r="I651" s="78"/>
      <c r="J651" s="78"/>
      <c r="K651" s="78"/>
      <c r="L651" s="78"/>
      <c r="V651" s="78"/>
      <c r="W651" s="78"/>
      <c r="X651" s="78"/>
    </row>
    <row r="652" spans="1:24">
      <c r="A652" s="34">
        <v>650</v>
      </c>
      <c r="I652" s="78"/>
      <c r="J652" s="78"/>
      <c r="K652" s="78"/>
      <c r="L652" s="78"/>
      <c r="V652" s="78"/>
      <c r="W652" s="78"/>
      <c r="X652" s="78"/>
    </row>
    <row r="653" spans="1:24">
      <c r="A653" s="34">
        <v>651</v>
      </c>
      <c r="I653" s="78"/>
      <c r="J653" s="78"/>
      <c r="K653" s="78"/>
      <c r="L653" s="78"/>
      <c r="V653" s="78"/>
      <c r="W653" s="78"/>
      <c r="X653" s="78"/>
    </row>
    <row r="654" spans="1:24">
      <c r="A654" s="34">
        <v>652</v>
      </c>
      <c r="I654" s="78"/>
      <c r="J654" s="78"/>
      <c r="K654" s="78"/>
      <c r="L654" s="78"/>
      <c r="V654" s="78"/>
      <c r="W654" s="78"/>
      <c r="X654" s="78"/>
    </row>
    <row r="655" spans="1:24">
      <c r="A655" s="34">
        <v>653</v>
      </c>
      <c r="I655" s="78"/>
      <c r="J655" s="78"/>
      <c r="K655" s="78"/>
      <c r="L655" s="78"/>
      <c r="V655" s="78"/>
      <c r="W655" s="78"/>
      <c r="X655" s="78"/>
    </row>
    <row r="656" spans="1:24">
      <c r="A656" s="34">
        <v>654</v>
      </c>
      <c r="I656" s="78"/>
      <c r="J656" s="78"/>
      <c r="K656" s="78"/>
      <c r="L656" s="78"/>
      <c r="V656" s="78"/>
      <c r="W656" s="78"/>
      <c r="X656" s="78"/>
    </row>
    <row r="657" spans="1:24">
      <c r="A657" s="34">
        <v>655</v>
      </c>
      <c r="I657" s="78"/>
      <c r="J657" s="78"/>
      <c r="K657" s="78"/>
      <c r="L657" s="78"/>
      <c r="V657" s="78"/>
      <c r="W657" s="78"/>
      <c r="X657" s="78"/>
    </row>
    <row r="658" spans="1:24">
      <c r="A658" s="34">
        <v>656</v>
      </c>
      <c r="I658" s="78"/>
      <c r="J658" s="78"/>
      <c r="K658" s="78"/>
      <c r="L658" s="78"/>
      <c r="V658" s="78"/>
      <c r="W658" s="78"/>
      <c r="X658" s="78"/>
    </row>
    <row r="659" spans="1:24">
      <c r="A659" s="34">
        <v>657</v>
      </c>
      <c r="I659" s="78"/>
      <c r="J659" s="78"/>
      <c r="K659" s="78"/>
      <c r="L659" s="78"/>
      <c r="V659" s="78"/>
      <c r="W659" s="78"/>
      <c r="X659" s="78"/>
    </row>
    <row r="660" spans="1:24">
      <c r="A660" s="34">
        <v>658</v>
      </c>
      <c r="I660" s="78"/>
      <c r="J660" s="78"/>
      <c r="K660" s="78"/>
      <c r="L660" s="78"/>
      <c r="V660" s="78"/>
      <c r="W660" s="78"/>
      <c r="X660" s="78"/>
    </row>
    <row r="661" spans="1:24">
      <c r="A661" s="34">
        <v>659</v>
      </c>
      <c r="I661" s="78"/>
      <c r="J661" s="78"/>
      <c r="K661" s="78"/>
      <c r="L661" s="78"/>
      <c r="V661" s="78"/>
      <c r="W661" s="78"/>
      <c r="X661" s="78"/>
    </row>
    <row r="662" spans="1:24">
      <c r="A662" s="34">
        <v>660</v>
      </c>
      <c r="I662" s="78"/>
      <c r="J662" s="78"/>
      <c r="K662" s="78"/>
      <c r="L662" s="78"/>
      <c r="V662" s="78"/>
      <c r="W662" s="78"/>
      <c r="X662" s="78"/>
    </row>
    <row r="663" spans="1:24">
      <c r="A663" s="34">
        <v>661</v>
      </c>
      <c r="I663" s="78"/>
      <c r="J663" s="78"/>
      <c r="K663" s="78"/>
      <c r="L663" s="78"/>
      <c r="V663" s="78"/>
      <c r="W663" s="78"/>
      <c r="X663" s="78"/>
    </row>
    <row r="664" spans="1:24">
      <c r="A664" s="34">
        <v>662</v>
      </c>
      <c r="I664" s="78"/>
      <c r="J664" s="78"/>
      <c r="K664" s="78"/>
      <c r="L664" s="78"/>
      <c r="V664" s="78"/>
      <c r="W664" s="78"/>
      <c r="X664" s="78"/>
    </row>
    <row r="665" spans="1:24">
      <c r="A665" s="34">
        <v>663</v>
      </c>
      <c r="I665" s="78"/>
      <c r="J665" s="78"/>
      <c r="K665" s="78"/>
      <c r="L665" s="78"/>
      <c r="V665" s="78"/>
      <c r="W665" s="78"/>
      <c r="X665" s="78"/>
    </row>
    <row r="666" spans="1:24">
      <c r="A666" s="34">
        <v>664</v>
      </c>
      <c r="I666" s="78"/>
      <c r="J666" s="78"/>
      <c r="K666" s="78"/>
      <c r="L666" s="78"/>
      <c r="V666" s="78"/>
      <c r="W666" s="78"/>
      <c r="X666" s="78"/>
    </row>
    <row r="667" spans="1:24">
      <c r="A667" s="34">
        <v>665</v>
      </c>
      <c r="I667" s="78"/>
      <c r="J667" s="78"/>
      <c r="K667" s="78"/>
      <c r="L667" s="78"/>
      <c r="V667" s="78"/>
      <c r="W667" s="78"/>
      <c r="X667" s="78"/>
    </row>
    <row r="668" spans="1:24">
      <c r="A668" s="34">
        <v>666</v>
      </c>
      <c r="I668" s="78"/>
      <c r="J668" s="78"/>
      <c r="K668" s="78"/>
      <c r="L668" s="78"/>
      <c r="V668" s="78"/>
      <c r="W668" s="78"/>
      <c r="X668" s="78"/>
    </row>
    <row r="669" spans="1:24">
      <c r="A669" s="34">
        <v>667</v>
      </c>
      <c r="I669" s="78"/>
      <c r="J669" s="78"/>
      <c r="K669" s="78"/>
      <c r="L669" s="78"/>
      <c r="V669" s="78"/>
      <c r="W669" s="78"/>
      <c r="X669" s="78"/>
    </row>
    <row r="670" spans="1:24">
      <c r="A670" s="34">
        <v>668</v>
      </c>
      <c r="I670" s="78"/>
      <c r="J670" s="78"/>
      <c r="K670" s="78"/>
      <c r="L670" s="78"/>
      <c r="V670" s="78"/>
      <c r="W670" s="78"/>
      <c r="X670" s="78"/>
    </row>
    <row r="671" spans="1:24">
      <c r="A671" s="34">
        <v>669</v>
      </c>
      <c r="I671" s="78"/>
      <c r="J671" s="78"/>
      <c r="K671" s="78"/>
      <c r="L671" s="78"/>
      <c r="V671" s="78"/>
      <c r="W671" s="78"/>
      <c r="X671" s="78"/>
    </row>
    <row r="672" spans="1:24">
      <c r="A672" s="34">
        <v>670</v>
      </c>
      <c r="I672" s="78"/>
      <c r="J672" s="78"/>
      <c r="K672" s="78"/>
      <c r="L672" s="78"/>
      <c r="V672" s="78"/>
      <c r="W672" s="78"/>
      <c r="X672" s="78"/>
    </row>
    <row r="673" spans="1:24">
      <c r="A673" s="34">
        <v>671</v>
      </c>
      <c r="I673" s="78"/>
      <c r="J673" s="78"/>
      <c r="K673" s="78"/>
      <c r="L673" s="78"/>
      <c r="V673" s="78"/>
      <c r="W673" s="78"/>
      <c r="X673" s="78"/>
    </row>
    <row r="674" spans="1:24">
      <c r="A674" s="34">
        <v>672</v>
      </c>
      <c r="I674" s="78"/>
      <c r="J674" s="78"/>
      <c r="K674" s="78"/>
      <c r="L674" s="78"/>
      <c r="V674" s="78"/>
      <c r="W674" s="78"/>
      <c r="X674" s="78"/>
    </row>
    <row r="675" spans="1:24">
      <c r="A675" s="34">
        <v>673</v>
      </c>
      <c r="I675" s="78"/>
      <c r="J675" s="78"/>
      <c r="K675" s="78"/>
      <c r="L675" s="78"/>
      <c r="V675" s="78"/>
      <c r="W675" s="78"/>
      <c r="X675" s="78"/>
    </row>
    <row r="676" spans="1:24">
      <c r="A676" s="34">
        <v>674</v>
      </c>
      <c r="I676" s="78"/>
      <c r="J676" s="78"/>
      <c r="K676" s="78"/>
      <c r="L676" s="78"/>
      <c r="V676" s="78"/>
      <c r="W676" s="78"/>
      <c r="X676" s="78"/>
    </row>
    <row r="677" spans="1:24">
      <c r="A677" s="34">
        <v>675</v>
      </c>
      <c r="I677" s="78"/>
      <c r="J677" s="78"/>
      <c r="K677" s="78"/>
      <c r="L677" s="78"/>
      <c r="V677" s="78"/>
      <c r="W677" s="78"/>
      <c r="X677" s="78"/>
    </row>
    <row r="678" spans="1:24">
      <c r="A678" s="34">
        <v>676</v>
      </c>
      <c r="I678" s="78"/>
      <c r="J678" s="78"/>
      <c r="K678" s="78"/>
      <c r="L678" s="78"/>
      <c r="V678" s="78"/>
      <c r="W678" s="78"/>
      <c r="X678" s="78"/>
    </row>
    <row r="679" spans="1:24">
      <c r="A679" s="34">
        <v>677</v>
      </c>
      <c r="I679" s="78"/>
      <c r="J679" s="78"/>
      <c r="K679" s="78"/>
      <c r="L679" s="78"/>
      <c r="V679" s="78"/>
      <c r="W679" s="78"/>
      <c r="X679" s="78"/>
    </row>
    <row r="680" spans="1:24">
      <c r="A680" s="34">
        <v>678</v>
      </c>
      <c r="I680" s="78"/>
      <c r="J680" s="78"/>
      <c r="K680" s="78"/>
      <c r="L680" s="78"/>
      <c r="V680" s="78"/>
      <c r="W680" s="78"/>
      <c r="X680" s="78"/>
    </row>
    <row r="681" spans="1:24">
      <c r="A681" s="34">
        <v>679</v>
      </c>
      <c r="I681" s="78"/>
      <c r="J681" s="78"/>
      <c r="K681" s="78"/>
      <c r="L681" s="78"/>
      <c r="V681" s="78"/>
      <c r="W681" s="78"/>
      <c r="X681" s="78"/>
    </row>
    <row r="682" spans="1:24">
      <c r="A682" s="34">
        <v>680</v>
      </c>
      <c r="I682" s="78"/>
      <c r="J682" s="78"/>
      <c r="K682" s="78"/>
      <c r="L682" s="78"/>
      <c r="V682" s="78"/>
      <c r="W682" s="78"/>
      <c r="X682" s="78"/>
    </row>
    <row r="683" spans="1:24">
      <c r="A683" s="34">
        <v>681</v>
      </c>
      <c r="I683" s="78"/>
      <c r="J683" s="78"/>
      <c r="K683" s="78"/>
      <c r="L683" s="78"/>
      <c r="V683" s="78"/>
      <c r="W683" s="78"/>
      <c r="X683" s="78"/>
    </row>
    <row r="684" spans="1:24">
      <c r="A684" s="34">
        <v>682</v>
      </c>
      <c r="I684" s="78"/>
      <c r="J684" s="78"/>
      <c r="K684" s="78"/>
      <c r="L684" s="78"/>
      <c r="V684" s="78"/>
      <c r="W684" s="78"/>
      <c r="X684" s="78"/>
    </row>
    <row r="685" spans="1:24">
      <c r="A685" s="34">
        <v>683</v>
      </c>
      <c r="I685" s="78"/>
      <c r="J685" s="78"/>
      <c r="K685" s="78"/>
      <c r="L685" s="78"/>
      <c r="V685" s="78"/>
      <c r="W685" s="78"/>
      <c r="X685" s="78"/>
    </row>
    <row r="686" spans="1:24">
      <c r="A686" s="34">
        <v>684</v>
      </c>
      <c r="I686" s="78"/>
      <c r="J686" s="78"/>
      <c r="K686" s="78"/>
      <c r="L686" s="78"/>
      <c r="V686" s="78"/>
      <c r="W686" s="78"/>
      <c r="X686" s="78"/>
    </row>
    <row r="687" spans="1:24">
      <c r="A687" s="34">
        <v>685</v>
      </c>
      <c r="I687" s="78"/>
      <c r="J687" s="78"/>
      <c r="K687" s="78"/>
      <c r="L687" s="78"/>
      <c r="V687" s="78"/>
      <c r="W687" s="78"/>
      <c r="X687" s="78"/>
    </row>
    <row r="688" spans="1:24">
      <c r="A688" s="34">
        <v>686</v>
      </c>
      <c r="I688" s="78"/>
      <c r="J688" s="78"/>
      <c r="K688" s="78"/>
      <c r="L688" s="78"/>
      <c r="V688" s="78"/>
      <c r="W688" s="78"/>
      <c r="X688" s="78"/>
    </row>
    <row r="689" spans="1:24">
      <c r="A689" s="34">
        <v>687</v>
      </c>
      <c r="I689" s="78"/>
      <c r="J689" s="78"/>
      <c r="K689" s="78"/>
      <c r="L689" s="78"/>
      <c r="V689" s="78"/>
      <c r="W689" s="78"/>
      <c r="X689" s="78"/>
    </row>
    <row r="690" spans="1:24">
      <c r="A690" s="34">
        <v>688</v>
      </c>
      <c r="I690" s="78"/>
      <c r="J690" s="78"/>
      <c r="K690" s="78"/>
      <c r="L690" s="78"/>
      <c r="V690" s="78"/>
      <c r="W690" s="78"/>
      <c r="X690" s="78"/>
    </row>
    <row r="691" spans="1:24">
      <c r="A691" s="34">
        <v>689</v>
      </c>
      <c r="I691" s="78"/>
      <c r="J691" s="78"/>
      <c r="K691" s="78"/>
      <c r="L691" s="78"/>
      <c r="V691" s="78"/>
      <c r="W691" s="78"/>
      <c r="X691" s="78"/>
    </row>
    <row r="692" spans="1:24">
      <c r="A692" s="34">
        <v>690</v>
      </c>
      <c r="I692" s="78"/>
      <c r="J692" s="78"/>
      <c r="K692" s="78"/>
      <c r="L692" s="78"/>
      <c r="V692" s="78"/>
      <c r="W692" s="78"/>
      <c r="X692" s="78"/>
    </row>
    <row r="693" spans="1:24">
      <c r="A693" s="34">
        <v>691</v>
      </c>
      <c r="I693" s="78"/>
      <c r="J693" s="78"/>
      <c r="K693" s="78"/>
      <c r="L693" s="78"/>
      <c r="V693" s="78"/>
      <c r="W693" s="78"/>
      <c r="X693" s="78"/>
    </row>
    <row r="694" spans="1:24">
      <c r="A694" s="34">
        <v>692</v>
      </c>
      <c r="I694" s="78"/>
      <c r="J694" s="78"/>
      <c r="K694" s="78"/>
      <c r="L694" s="78"/>
      <c r="V694" s="78"/>
      <c r="W694" s="78"/>
      <c r="X694" s="78"/>
    </row>
    <row r="695" spans="1:24">
      <c r="A695" s="34">
        <v>693</v>
      </c>
      <c r="I695" s="78"/>
      <c r="J695" s="78"/>
      <c r="K695" s="78"/>
      <c r="L695" s="78"/>
      <c r="V695" s="78"/>
      <c r="W695" s="78"/>
      <c r="X695" s="78"/>
    </row>
    <row r="696" spans="1:24">
      <c r="A696" s="34">
        <v>694</v>
      </c>
      <c r="I696" s="78"/>
      <c r="J696" s="78"/>
      <c r="K696" s="78"/>
      <c r="L696" s="78"/>
      <c r="V696" s="78"/>
      <c r="W696" s="78"/>
      <c r="X696" s="78"/>
    </row>
    <row r="697" spans="1:24">
      <c r="A697" s="34">
        <v>695</v>
      </c>
      <c r="I697" s="78"/>
      <c r="J697" s="78"/>
      <c r="K697" s="78"/>
      <c r="L697" s="78"/>
      <c r="V697" s="78"/>
      <c r="W697" s="78"/>
      <c r="X697" s="78"/>
    </row>
    <row r="698" spans="1:24">
      <c r="A698" s="34">
        <v>696</v>
      </c>
      <c r="I698" s="78"/>
      <c r="J698" s="78"/>
      <c r="K698" s="78"/>
      <c r="L698" s="78"/>
      <c r="V698" s="78"/>
      <c r="W698" s="78"/>
      <c r="X698" s="78"/>
    </row>
    <row r="699" spans="1:24">
      <c r="A699" s="34">
        <v>697</v>
      </c>
      <c r="I699" s="78"/>
      <c r="J699" s="78"/>
      <c r="K699" s="78"/>
      <c r="L699" s="78"/>
      <c r="V699" s="78"/>
      <c r="W699" s="78"/>
      <c r="X699" s="78"/>
    </row>
    <row r="700" spans="1:24">
      <c r="A700" s="34">
        <v>698</v>
      </c>
      <c r="I700" s="78"/>
      <c r="J700" s="78"/>
      <c r="K700" s="78"/>
      <c r="L700" s="78"/>
      <c r="V700" s="78"/>
      <c r="W700" s="78"/>
      <c r="X700" s="78"/>
    </row>
    <row r="701" spans="1:24">
      <c r="A701" s="34">
        <v>699</v>
      </c>
      <c r="I701" s="78"/>
      <c r="J701" s="78"/>
      <c r="K701" s="78"/>
      <c r="L701" s="78"/>
      <c r="V701" s="78"/>
      <c r="W701" s="78"/>
      <c r="X701" s="78"/>
    </row>
    <row r="702" spans="1:24">
      <c r="A702" s="34">
        <v>700</v>
      </c>
      <c r="I702" s="78"/>
      <c r="J702" s="78"/>
      <c r="K702" s="78"/>
      <c r="L702" s="78"/>
      <c r="V702" s="78"/>
      <c r="W702" s="78"/>
      <c r="X702" s="78"/>
    </row>
    <row r="703" spans="1:24">
      <c r="A703" s="34">
        <v>701</v>
      </c>
      <c r="I703" s="78"/>
      <c r="J703" s="78"/>
      <c r="K703" s="78"/>
      <c r="L703" s="78"/>
      <c r="V703" s="78"/>
      <c r="W703" s="78"/>
      <c r="X703" s="78"/>
    </row>
    <row r="704" spans="1:24">
      <c r="A704" s="34">
        <v>702</v>
      </c>
      <c r="I704" s="78"/>
      <c r="J704" s="78"/>
      <c r="K704" s="78"/>
      <c r="L704" s="78"/>
      <c r="V704" s="78"/>
      <c r="W704" s="78"/>
      <c r="X704" s="78"/>
    </row>
    <row r="705" spans="1:24">
      <c r="A705" s="34">
        <v>703</v>
      </c>
      <c r="I705" s="78"/>
      <c r="J705" s="78"/>
      <c r="K705" s="78"/>
      <c r="L705" s="78"/>
      <c r="V705" s="78"/>
      <c r="W705" s="78"/>
      <c r="X705" s="78"/>
    </row>
    <row r="706" spans="1:24">
      <c r="A706" s="34">
        <v>704</v>
      </c>
      <c r="I706" s="78"/>
      <c r="J706" s="78"/>
      <c r="K706" s="78"/>
      <c r="L706" s="78"/>
      <c r="V706" s="78"/>
      <c r="W706" s="78"/>
      <c r="X706" s="78"/>
    </row>
    <row r="707" spans="1:24">
      <c r="A707" s="34">
        <v>705</v>
      </c>
      <c r="I707" s="78"/>
      <c r="J707" s="78"/>
      <c r="K707" s="78"/>
      <c r="L707" s="78"/>
      <c r="V707" s="78"/>
      <c r="W707" s="78"/>
      <c r="X707" s="78"/>
    </row>
    <row r="708" spans="1:24">
      <c r="A708" s="34">
        <v>706</v>
      </c>
      <c r="I708" s="78"/>
      <c r="J708" s="78"/>
      <c r="K708" s="78"/>
      <c r="L708" s="78"/>
      <c r="V708" s="78"/>
      <c r="W708" s="78"/>
      <c r="X708" s="78"/>
    </row>
    <row r="709" spans="1:24">
      <c r="A709" s="34">
        <v>707</v>
      </c>
      <c r="I709" s="78"/>
      <c r="J709" s="78"/>
      <c r="K709" s="78"/>
      <c r="L709" s="78"/>
      <c r="V709" s="78"/>
      <c r="W709" s="78"/>
      <c r="X709" s="78"/>
    </row>
    <row r="710" spans="1:24">
      <c r="A710" s="34">
        <v>708</v>
      </c>
      <c r="I710" s="78"/>
      <c r="J710" s="78"/>
      <c r="K710" s="78"/>
      <c r="L710" s="78"/>
      <c r="V710" s="78"/>
      <c r="W710" s="78"/>
      <c r="X710" s="78"/>
    </row>
    <row r="711" spans="1:24">
      <c r="A711" s="34">
        <v>709</v>
      </c>
      <c r="I711" s="78"/>
      <c r="J711" s="78"/>
      <c r="K711" s="78"/>
      <c r="L711" s="78"/>
      <c r="V711" s="78"/>
      <c r="W711" s="78"/>
      <c r="X711" s="78"/>
    </row>
    <row r="712" spans="1:24">
      <c r="A712" s="34">
        <v>710</v>
      </c>
      <c r="I712" s="78"/>
      <c r="J712" s="78"/>
      <c r="K712" s="78"/>
      <c r="L712" s="78"/>
      <c r="V712" s="78"/>
      <c r="W712" s="78"/>
      <c r="X712" s="78"/>
    </row>
    <row r="713" spans="1:24">
      <c r="A713" s="34">
        <v>711</v>
      </c>
      <c r="I713" s="78"/>
      <c r="J713" s="78"/>
      <c r="K713" s="78"/>
      <c r="L713" s="78"/>
      <c r="V713" s="78"/>
      <c r="W713" s="78"/>
      <c r="X713" s="78"/>
    </row>
    <row r="714" spans="1:24">
      <c r="A714" s="34">
        <v>712</v>
      </c>
      <c r="I714" s="78"/>
      <c r="J714" s="78"/>
      <c r="K714" s="78"/>
      <c r="L714" s="78"/>
      <c r="V714" s="78"/>
      <c r="W714" s="78"/>
      <c r="X714" s="78"/>
    </row>
    <row r="715" spans="1:24">
      <c r="A715" s="34">
        <v>713</v>
      </c>
      <c r="I715" s="78"/>
      <c r="J715" s="78"/>
      <c r="K715" s="78"/>
      <c r="L715" s="78"/>
      <c r="V715" s="78"/>
      <c r="W715" s="78"/>
      <c r="X715" s="78"/>
    </row>
    <row r="716" spans="1:24">
      <c r="A716" s="34">
        <v>714</v>
      </c>
      <c r="I716" s="78"/>
      <c r="J716" s="78"/>
      <c r="K716" s="78"/>
      <c r="L716" s="78"/>
      <c r="V716" s="78"/>
      <c r="W716" s="78"/>
      <c r="X716" s="78"/>
    </row>
    <row r="717" spans="1:24">
      <c r="A717" s="34">
        <v>715</v>
      </c>
      <c r="I717" s="78"/>
      <c r="J717" s="78"/>
      <c r="K717" s="78"/>
      <c r="L717" s="78"/>
      <c r="V717" s="78"/>
      <c r="W717" s="78"/>
      <c r="X717" s="78"/>
    </row>
    <row r="718" spans="1:24">
      <c r="A718" s="34">
        <v>716</v>
      </c>
      <c r="I718" s="78"/>
      <c r="J718" s="78"/>
      <c r="K718" s="78"/>
      <c r="L718" s="78"/>
      <c r="V718" s="78"/>
      <c r="W718" s="78"/>
      <c r="X718" s="78"/>
    </row>
    <row r="719" spans="1:24">
      <c r="A719" s="34">
        <v>717</v>
      </c>
      <c r="I719" s="78"/>
      <c r="J719" s="78"/>
      <c r="K719" s="78"/>
      <c r="L719" s="78"/>
      <c r="V719" s="78"/>
      <c r="W719" s="78"/>
      <c r="X719" s="78"/>
    </row>
    <row r="720" spans="1:24">
      <c r="A720" s="34">
        <v>718</v>
      </c>
      <c r="I720" s="78"/>
      <c r="J720" s="78"/>
      <c r="K720" s="78"/>
      <c r="L720" s="78"/>
      <c r="V720" s="78"/>
      <c r="W720" s="78"/>
      <c r="X720" s="78"/>
    </row>
    <row r="721" spans="1:24">
      <c r="A721" s="34">
        <v>719</v>
      </c>
      <c r="I721" s="78"/>
      <c r="J721" s="78"/>
      <c r="K721" s="78"/>
      <c r="L721" s="78"/>
      <c r="V721" s="78"/>
      <c r="W721" s="78"/>
      <c r="X721" s="78"/>
    </row>
    <row r="722" spans="1:24">
      <c r="A722" s="34">
        <v>720</v>
      </c>
      <c r="I722" s="78"/>
      <c r="J722" s="78"/>
      <c r="K722" s="78"/>
      <c r="L722" s="78"/>
      <c r="V722" s="78"/>
      <c r="W722" s="78"/>
      <c r="X722" s="78"/>
    </row>
    <row r="723" spans="1:24">
      <c r="A723" s="34">
        <v>721</v>
      </c>
      <c r="I723" s="78"/>
      <c r="J723" s="78"/>
      <c r="K723" s="78"/>
      <c r="L723" s="78"/>
      <c r="V723" s="78"/>
      <c r="W723" s="78"/>
      <c r="X723" s="78"/>
    </row>
    <row r="724" spans="1:24">
      <c r="A724" s="34">
        <v>722</v>
      </c>
      <c r="I724" s="78"/>
      <c r="J724" s="78"/>
      <c r="K724" s="78"/>
      <c r="L724" s="78"/>
      <c r="V724" s="78"/>
      <c r="W724" s="78"/>
      <c r="X724" s="78"/>
    </row>
    <row r="725" spans="1:24">
      <c r="A725" s="34">
        <v>723</v>
      </c>
      <c r="I725" s="78"/>
      <c r="J725" s="78"/>
      <c r="K725" s="78"/>
      <c r="L725" s="78"/>
      <c r="V725" s="78"/>
      <c r="W725" s="78"/>
      <c r="X725" s="78"/>
    </row>
    <row r="726" spans="1:24">
      <c r="A726" s="34">
        <v>724</v>
      </c>
      <c r="I726" s="78"/>
      <c r="J726" s="78"/>
      <c r="K726" s="78"/>
      <c r="L726" s="78"/>
      <c r="V726" s="78"/>
      <c r="W726" s="78"/>
      <c r="X726" s="78"/>
    </row>
    <row r="727" spans="1:24">
      <c r="A727" s="34">
        <v>725</v>
      </c>
      <c r="I727" s="78"/>
      <c r="J727" s="78"/>
      <c r="K727" s="78"/>
      <c r="L727" s="78"/>
      <c r="V727" s="78"/>
      <c r="W727" s="78"/>
      <c r="X727" s="78"/>
    </row>
    <row r="728" spans="1:24">
      <c r="A728" s="34">
        <v>726</v>
      </c>
      <c r="I728" s="78"/>
      <c r="J728" s="78"/>
      <c r="K728" s="78"/>
      <c r="L728" s="78"/>
      <c r="V728" s="78"/>
      <c r="W728" s="78"/>
      <c r="X728" s="78"/>
    </row>
    <row r="729" spans="1:24">
      <c r="A729" s="34">
        <v>727</v>
      </c>
      <c r="I729" s="78"/>
      <c r="J729" s="78"/>
      <c r="K729" s="78"/>
      <c r="L729" s="78"/>
      <c r="V729" s="78"/>
      <c r="W729" s="78"/>
      <c r="X729" s="78"/>
    </row>
    <row r="730" spans="1:24">
      <c r="A730" s="34">
        <v>728</v>
      </c>
      <c r="I730" s="78"/>
      <c r="J730" s="78"/>
      <c r="K730" s="78"/>
      <c r="L730" s="78"/>
      <c r="V730" s="78"/>
      <c r="W730" s="78"/>
      <c r="X730" s="78"/>
    </row>
    <row r="731" spans="1:24">
      <c r="A731" s="34">
        <v>729</v>
      </c>
      <c r="I731" s="78"/>
      <c r="J731" s="78"/>
      <c r="K731" s="78"/>
      <c r="L731" s="78"/>
      <c r="V731" s="78"/>
      <c r="W731" s="78"/>
      <c r="X731" s="78"/>
    </row>
    <row r="732" spans="1:24">
      <c r="A732" s="34">
        <v>730</v>
      </c>
      <c r="I732" s="78"/>
      <c r="J732" s="78"/>
      <c r="K732" s="78"/>
      <c r="L732" s="78"/>
      <c r="V732" s="78"/>
      <c r="W732" s="78"/>
      <c r="X732" s="78"/>
    </row>
    <row r="733" spans="1:24">
      <c r="A733" s="34">
        <v>731</v>
      </c>
      <c r="I733" s="78"/>
      <c r="J733" s="78"/>
      <c r="K733" s="78"/>
      <c r="L733" s="78"/>
      <c r="V733" s="78"/>
      <c r="W733" s="78"/>
      <c r="X733" s="78"/>
    </row>
    <row r="734" spans="1:24">
      <c r="A734" s="34">
        <v>732</v>
      </c>
      <c r="I734" s="78"/>
      <c r="J734" s="78"/>
      <c r="K734" s="78"/>
      <c r="L734" s="78"/>
      <c r="V734" s="78"/>
      <c r="W734" s="78"/>
      <c r="X734" s="78"/>
    </row>
    <row r="735" spans="1:24">
      <c r="A735" s="34">
        <v>733</v>
      </c>
      <c r="I735" s="78"/>
      <c r="J735" s="78"/>
      <c r="K735" s="78"/>
      <c r="L735" s="78"/>
      <c r="V735" s="78"/>
      <c r="W735" s="78"/>
      <c r="X735" s="78"/>
    </row>
    <row r="736" spans="1:24">
      <c r="A736" s="34">
        <v>734</v>
      </c>
      <c r="I736" s="78"/>
      <c r="J736" s="78"/>
      <c r="K736" s="78"/>
      <c r="L736" s="78"/>
      <c r="V736" s="78"/>
      <c r="W736" s="78"/>
      <c r="X736" s="78"/>
    </row>
    <row r="737" spans="1:24">
      <c r="A737" s="34">
        <v>735</v>
      </c>
      <c r="I737" s="78"/>
      <c r="J737" s="78"/>
      <c r="K737" s="78"/>
      <c r="L737" s="78"/>
      <c r="V737" s="78"/>
      <c r="W737" s="78"/>
      <c r="X737" s="78"/>
    </row>
    <row r="738" spans="1:24">
      <c r="A738" s="34">
        <v>736</v>
      </c>
      <c r="I738" s="78"/>
      <c r="J738" s="78"/>
      <c r="K738" s="78"/>
      <c r="L738" s="78"/>
      <c r="V738" s="78"/>
      <c r="W738" s="78"/>
      <c r="X738" s="78"/>
    </row>
    <row r="739" spans="1:24">
      <c r="A739" s="34">
        <v>737</v>
      </c>
      <c r="I739" s="78"/>
      <c r="J739" s="78"/>
      <c r="K739" s="78"/>
      <c r="L739" s="78"/>
      <c r="V739" s="78"/>
      <c r="W739" s="78"/>
      <c r="X739" s="78"/>
    </row>
    <row r="740" spans="1:24">
      <c r="A740" s="34">
        <v>738</v>
      </c>
      <c r="I740" s="78"/>
      <c r="J740" s="78"/>
      <c r="K740" s="78"/>
      <c r="L740" s="78"/>
      <c r="V740" s="78"/>
      <c r="W740" s="78"/>
      <c r="X740" s="78"/>
    </row>
    <row r="741" spans="1:24">
      <c r="A741" s="34">
        <v>739</v>
      </c>
      <c r="I741" s="78"/>
      <c r="J741" s="78"/>
      <c r="K741" s="78"/>
      <c r="L741" s="78"/>
      <c r="V741" s="78"/>
      <c r="W741" s="78"/>
      <c r="X741" s="78"/>
    </row>
    <row r="742" spans="1:24">
      <c r="A742" s="34">
        <v>740</v>
      </c>
      <c r="I742" s="78"/>
      <c r="J742" s="78"/>
      <c r="K742" s="78"/>
      <c r="L742" s="78"/>
      <c r="V742" s="78"/>
      <c r="W742" s="78"/>
      <c r="X742" s="78"/>
    </row>
    <row r="743" spans="1:24">
      <c r="A743" s="34">
        <v>741</v>
      </c>
      <c r="I743" s="78"/>
      <c r="J743" s="78"/>
      <c r="K743" s="78"/>
      <c r="L743" s="78"/>
      <c r="V743" s="78"/>
      <c r="W743" s="78"/>
      <c r="X743" s="78"/>
    </row>
    <row r="744" spans="1:24">
      <c r="A744" s="34">
        <v>742</v>
      </c>
      <c r="I744" s="78"/>
      <c r="J744" s="78"/>
      <c r="K744" s="78"/>
      <c r="L744" s="78"/>
      <c r="V744" s="78"/>
      <c r="W744" s="78"/>
      <c r="X744" s="78"/>
    </row>
    <row r="745" spans="1:24">
      <c r="A745" s="34">
        <v>743</v>
      </c>
      <c r="I745" s="78"/>
      <c r="J745" s="78"/>
      <c r="K745" s="78"/>
      <c r="L745" s="78"/>
      <c r="V745" s="78"/>
      <c r="W745" s="78"/>
      <c r="X745" s="78"/>
    </row>
    <row r="746" spans="1:24">
      <c r="A746" s="34">
        <v>744</v>
      </c>
      <c r="I746" s="78"/>
      <c r="J746" s="78"/>
      <c r="K746" s="78"/>
      <c r="L746" s="78"/>
      <c r="V746" s="78"/>
      <c r="W746" s="78"/>
      <c r="X746" s="78"/>
    </row>
    <row r="747" spans="1:24">
      <c r="A747" s="34">
        <v>745</v>
      </c>
      <c r="I747" s="78"/>
      <c r="J747" s="78"/>
      <c r="K747" s="78"/>
      <c r="L747" s="78"/>
      <c r="V747" s="78"/>
      <c r="W747" s="78"/>
      <c r="X747" s="78"/>
    </row>
    <row r="748" spans="1:24">
      <c r="A748" s="34">
        <v>746</v>
      </c>
      <c r="I748" s="78"/>
      <c r="J748" s="78"/>
      <c r="K748" s="78"/>
      <c r="L748" s="78"/>
      <c r="V748" s="78"/>
      <c r="W748" s="78"/>
      <c r="X748" s="78"/>
    </row>
    <row r="749" spans="1:24">
      <c r="A749" s="34">
        <v>747</v>
      </c>
      <c r="I749" s="78"/>
      <c r="J749" s="78"/>
      <c r="K749" s="78"/>
      <c r="L749" s="78"/>
      <c r="V749" s="78"/>
      <c r="W749" s="78"/>
      <c r="X749" s="78"/>
    </row>
    <row r="750" spans="1:24">
      <c r="A750" s="34">
        <v>748</v>
      </c>
      <c r="I750" s="78"/>
      <c r="J750" s="78"/>
      <c r="K750" s="78"/>
      <c r="L750" s="78"/>
      <c r="V750" s="78"/>
      <c r="W750" s="78"/>
      <c r="X750" s="78"/>
    </row>
    <row r="751" spans="1:24">
      <c r="A751" s="34">
        <v>749</v>
      </c>
      <c r="I751" s="78"/>
      <c r="J751" s="78"/>
      <c r="K751" s="78"/>
      <c r="L751" s="78"/>
      <c r="V751" s="78"/>
      <c r="W751" s="78"/>
      <c r="X751" s="78"/>
    </row>
    <row r="752" spans="1:24">
      <c r="A752" s="34">
        <v>750</v>
      </c>
      <c r="I752" s="78"/>
      <c r="J752" s="78"/>
      <c r="K752" s="78"/>
      <c r="L752" s="78"/>
      <c r="V752" s="78"/>
      <c r="W752" s="78"/>
      <c r="X752" s="78"/>
    </row>
    <row r="753" spans="1:24">
      <c r="A753" s="34">
        <v>751</v>
      </c>
      <c r="I753" s="78"/>
      <c r="J753" s="78"/>
      <c r="K753" s="78"/>
      <c r="L753" s="78"/>
      <c r="V753" s="78"/>
      <c r="W753" s="78"/>
      <c r="X753" s="78"/>
    </row>
    <row r="754" spans="1:24">
      <c r="A754" s="34">
        <v>752</v>
      </c>
      <c r="I754" s="78"/>
      <c r="J754" s="78"/>
      <c r="K754" s="78"/>
      <c r="L754" s="78"/>
      <c r="V754" s="78"/>
      <c r="W754" s="78"/>
      <c r="X754" s="78"/>
    </row>
    <row r="755" spans="1:24">
      <c r="A755" s="34">
        <v>753</v>
      </c>
      <c r="I755" s="78"/>
      <c r="J755" s="78"/>
      <c r="K755" s="78"/>
      <c r="L755" s="78"/>
      <c r="V755" s="78"/>
      <c r="W755" s="78"/>
      <c r="X755" s="78"/>
    </row>
    <row r="756" spans="1:24">
      <c r="A756" s="34">
        <v>754</v>
      </c>
      <c r="I756" s="78"/>
      <c r="J756" s="78"/>
      <c r="K756" s="78"/>
      <c r="L756" s="78"/>
      <c r="V756" s="78"/>
      <c r="W756" s="78"/>
      <c r="X756" s="78"/>
    </row>
    <row r="757" spans="1:24">
      <c r="A757" s="34">
        <v>755</v>
      </c>
      <c r="I757" s="78"/>
      <c r="J757" s="78"/>
      <c r="K757" s="78"/>
      <c r="L757" s="78"/>
      <c r="V757" s="78"/>
      <c r="W757" s="78"/>
      <c r="X757" s="78"/>
    </row>
    <row r="758" spans="1:24">
      <c r="A758" s="34">
        <v>756</v>
      </c>
      <c r="I758" s="78"/>
      <c r="J758" s="78"/>
      <c r="K758" s="78"/>
      <c r="L758" s="78"/>
      <c r="V758" s="78"/>
      <c r="W758" s="78"/>
      <c r="X758" s="78"/>
    </row>
    <row r="759" spans="1:24">
      <c r="A759" s="34">
        <v>757</v>
      </c>
      <c r="I759" s="78"/>
      <c r="J759" s="78"/>
      <c r="K759" s="78"/>
      <c r="L759" s="78"/>
      <c r="V759" s="78"/>
      <c r="W759" s="78"/>
      <c r="X759" s="78"/>
    </row>
    <row r="760" spans="1:24">
      <c r="A760" s="34">
        <v>758</v>
      </c>
      <c r="I760" s="78"/>
      <c r="J760" s="78"/>
      <c r="K760" s="78"/>
      <c r="L760" s="78"/>
      <c r="V760" s="78"/>
      <c r="W760" s="78"/>
      <c r="X760" s="78"/>
    </row>
    <row r="761" spans="1:24">
      <c r="A761" s="34">
        <v>759</v>
      </c>
      <c r="I761" s="78"/>
      <c r="J761" s="78"/>
      <c r="K761" s="78"/>
      <c r="L761" s="78"/>
      <c r="V761" s="78"/>
      <c r="W761" s="78"/>
      <c r="X761" s="78"/>
    </row>
    <row r="762" spans="1:24">
      <c r="A762" s="34">
        <v>760</v>
      </c>
      <c r="I762" s="78"/>
      <c r="J762" s="78"/>
      <c r="K762" s="78"/>
      <c r="L762" s="78"/>
      <c r="V762" s="78"/>
      <c r="W762" s="78"/>
      <c r="X762" s="78"/>
    </row>
    <row r="763" spans="1:24">
      <c r="A763" s="34">
        <v>761</v>
      </c>
      <c r="I763" s="78"/>
      <c r="J763" s="78"/>
      <c r="K763" s="78"/>
      <c r="L763" s="78"/>
      <c r="V763" s="78"/>
      <c r="W763" s="78"/>
      <c r="X763" s="78"/>
    </row>
    <row r="764" spans="1:24">
      <c r="A764" s="34">
        <v>762</v>
      </c>
      <c r="I764" s="78"/>
      <c r="J764" s="78"/>
      <c r="K764" s="78"/>
      <c r="L764" s="78"/>
      <c r="V764" s="78"/>
      <c r="W764" s="78"/>
      <c r="X764" s="78"/>
    </row>
    <row r="765" spans="1:24">
      <c r="A765" s="34">
        <v>763</v>
      </c>
      <c r="I765" s="78"/>
      <c r="J765" s="78"/>
      <c r="K765" s="78"/>
      <c r="L765" s="78"/>
      <c r="V765" s="78"/>
      <c r="W765" s="78"/>
      <c r="X765" s="78"/>
    </row>
    <row r="766" spans="1:24">
      <c r="A766" s="34">
        <v>764</v>
      </c>
      <c r="I766" s="78"/>
      <c r="J766" s="78"/>
      <c r="K766" s="78"/>
      <c r="L766" s="78"/>
      <c r="V766" s="78"/>
      <c r="W766" s="78"/>
      <c r="X766" s="78"/>
    </row>
    <row r="767" spans="1:24">
      <c r="A767" s="34">
        <v>765</v>
      </c>
      <c r="I767" s="78"/>
      <c r="J767" s="78"/>
      <c r="K767" s="78"/>
      <c r="L767" s="78"/>
      <c r="V767" s="78"/>
      <c r="W767" s="78"/>
      <c r="X767" s="78"/>
    </row>
    <row r="768" spans="1:24">
      <c r="A768" s="34">
        <v>766</v>
      </c>
      <c r="I768" s="78"/>
      <c r="J768" s="78"/>
      <c r="K768" s="78"/>
      <c r="L768" s="78"/>
      <c r="V768" s="78"/>
      <c r="W768" s="78"/>
      <c r="X768" s="78"/>
    </row>
    <row r="769" spans="1:24">
      <c r="A769" s="34">
        <v>767</v>
      </c>
      <c r="I769" s="78"/>
      <c r="J769" s="78"/>
      <c r="K769" s="78"/>
      <c r="L769" s="78"/>
      <c r="V769" s="78"/>
      <c r="W769" s="78"/>
      <c r="X769" s="78"/>
    </row>
    <row r="770" spans="1:24">
      <c r="A770" s="34">
        <v>768</v>
      </c>
      <c r="I770" s="78"/>
      <c r="J770" s="78"/>
      <c r="K770" s="78"/>
      <c r="L770" s="78"/>
      <c r="V770" s="78"/>
      <c r="W770" s="78"/>
      <c r="X770" s="78"/>
    </row>
    <row r="771" spans="1:24">
      <c r="A771" s="34">
        <v>769</v>
      </c>
      <c r="I771" s="78"/>
      <c r="J771" s="78"/>
      <c r="K771" s="78"/>
      <c r="L771" s="78"/>
      <c r="V771" s="78"/>
      <c r="W771" s="78"/>
      <c r="X771" s="78"/>
    </row>
    <row r="772" spans="1:24">
      <c r="A772" s="34">
        <v>770</v>
      </c>
      <c r="I772" s="78"/>
      <c r="J772" s="78"/>
      <c r="K772" s="78"/>
      <c r="L772" s="78"/>
      <c r="V772" s="78"/>
      <c r="W772" s="78"/>
      <c r="X772" s="78"/>
    </row>
    <row r="773" spans="1:24">
      <c r="A773" s="34">
        <v>771</v>
      </c>
      <c r="I773" s="78"/>
      <c r="J773" s="78"/>
      <c r="K773" s="78"/>
      <c r="L773" s="78"/>
      <c r="V773" s="78"/>
      <c r="W773" s="78"/>
      <c r="X773" s="78"/>
    </row>
    <row r="774" spans="1:24">
      <c r="A774" s="34">
        <v>772</v>
      </c>
      <c r="I774" s="78"/>
      <c r="J774" s="78"/>
      <c r="K774" s="78"/>
      <c r="L774" s="78"/>
      <c r="V774" s="78"/>
      <c r="W774" s="78"/>
      <c r="X774" s="78"/>
    </row>
    <row r="775" spans="1:24">
      <c r="A775" s="34">
        <v>773</v>
      </c>
      <c r="I775" s="78"/>
      <c r="J775" s="78"/>
      <c r="K775" s="78"/>
      <c r="L775" s="78"/>
      <c r="V775" s="78"/>
      <c r="W775" s="78"/>
      <c r="X775" s="78"/>
    </row>
    <row r="776" spans="1:24">
      <c r="A776" s="34">
        <v>774</v>
      </c>
      <c r="I776" s="78"/>
      <c r="J776" s="78"/>
      <c r="K776" s="78"/>
      <c r="L776" s="78"/>
      <c r="V776" s="78"/>
      <c r="W776" s="78"/>
      <c r="X776" s="78"/>
    </row>
    <row r="777" spans="1:24">
      <c r="A777" s="34">
        <v>775</v>
      </c>
      <c r="I777" s="78"/>
      <c r="J777" s="78"/>
      <c r="K777" s="78"/>
      <c r="L777" s="78"/>
      <c r="V777" s="78"/>
      <c r="W777" s="78"/>
      <c r="X777" s="78"/>
    </row>
    <row r="778" spans="1:24">
      <c r="A778" s="34">
        <v>776</v>
      </c>
      <c r="I778" s="78"/>
      <c r="J778" s="78"/>
      <c r="K778" s="78"/>
      <c r="L778" s="78"/>
      <c r="V778" s="78"/>
      <c r="W778" s="78"/>
      <c r="X778" s="78"/>
    </row>
    <row r="779" spans="1:24">
      <c r="A779" s="34">
        <v>777</v>
      </c>
      <c r="I779" s="78"/>
      <c r="J779" s="78"/>
      <c r="K779" s="78"/>
      <c r="L779" s="78"/>
      <c r="V779" s="78"/>
      <c r="W779" s="78"/>
      <c r="X779" s="78"/>
    </row>
    <row r="780" spans="1:24">
      <c r="A780" s="34">
        <v>778</v>
      </c>
      <c r="I780" s="78"/>
      <c r="J780" s="78"/>
      <c r="K780" s="78"/>
      <c r="L780" s="78"/>
      <c r="V780" s="78"/>
      <c r="W780" s="78"/>
      <c r="X780" s="78"/>
    </row>
    <row r="781" spans="1:24">
      <c r="A781" s="34">
        <v>779</v>
      </c>
      <c r="I781" s="78"/>
      <c r="J781" s="78"/>
      <c r="K781" s="78"/>
      <c r="L781" s="78"/>
      <c r="V781" s="78"/>
      <c r="W781" s="78"/>
      <c r="X781" s="78"/>
    </row>
    <row r="782" spans="1:24">
      <c r="A782" s="34">
        <v>780</v>
      </c>
      <c r="I782" s="78"/>
      <c r="J782" s="78"/>
      <c r="K782" s="78"/>
      <c r="L782" s="78"/>
      <c r="V782" s="78"/>
      <c r="W782" s="78"/>
      <c r="X782" s="78"/>
    </row>
    <row r="783" spans="1:24">
      <c r="A783" s="34">
        <v>781</v>
      </c>
      <c r="I783" s="78"/>
      <c r="J783" s="78"/>
      <c r="K783" s="78"/>
      <c r="L783" s="78"/>
      <c r="V783" s="78"/>
      <c r="W783" s="78"/>
      <c r="X783" s="78"/>
    </row>
    <row r="784" spans="1:24">
      <c r="A784" s="34">
        <v>782</v>
      </c>
      <c r="I784" s="78"/>
      <c r="J784" s="78"/>
      <c r="K784" s="78"/>
      <c r="L784" s="78"/>
      <c r="V784" s="78"/>
      <c r="W784" s="78"/>
      <c r="X784" s="78"/>
    </row>
    <row r="785" spans="1:24">
      <c r="A785" s="34">
        <v>783</v>
      </c>
      <c r="I785" s="78"/>
      <c r="J785" s="78"/>
      <c r="K785" s="78"/>
      <c r="L785" s="78"/>
      <c r="V785" s="78"/>
      <c r="W785" s="78"/>
      <c r="X785" s="78"/>
    </row>
    <row r="786" spans="1:24">
      <c r="A786" s="34">
        <v>784</v>
      </c>
      <c r="I786" s="78"/>
      <c r="J786" s="78"/>
      <c r="K786" s="78"/>
      <c r="L786" s="78"/>
      <c r="V786" s="78"/>
      <c r="W786" s="78"/>
      <c r="X786" s="78"/>
    </row>
    <row r="787" spans="1:24">
      <c r="A787" s="34">
        <v>785</v>
      </c>
      <c r="I787" s="78"/>
      <c r="J787" s="78"/>
      <c r="K787" s="78"/>
      <c r="L787" s="78"/>
      <c r="V787" s="78"/>
      <c r="W787" s="78"/>
      <c r="X787" s="78"/>
    </row>
    <row r="788" spans="1:24">
      <c r="A788" s="34">
        <v>786</v>
      </c>
      <c r="I788" s="78"/>
      <c r="J788" s="78"/>
      <c r="K788" s="78"/>
      <c r="L788" s="78"/>
      <c r="V788" s="78"/>
      <c r="W788" s="78"/>
      <c r="X788" s="78"/>
    </row>
    <row r="789" spans="1:24">
      <c r="A789" s="34">
        <v>787</v>
      </c>
      <c r="I789" s="78"/>
      <c r="J789" s="78"/>
      <c r="K789" s="78"/>
      <c r="L789" s="78"/>
      <c r="V789" s="78"/>
      <c r="W789" s="78"/>
      <c r="X789" s="78"/>
    </row>
    <row r="790" spans="1:24">
      <c r="A790" s="34">
        <v>788</v>
      </c>
      <c r="I790" s="78"/>
      <c r="J790" s="78"/>
      <c r="K790" s="78"/>
      <c r="L790" s="78"/>
      <c r="V790" s="78"/>
      <c r="W790" s="78"/>
      <c r="X790" s="78"/>
    </row>
    <row r="791" spans="1:24">
      <c r="A791" s="34">
        <v>789</v>
      </c>
      <c r="I791" s="78"/>
      <c r="J791" s="78"/>
      <c r="K791" s="78"/>
      <c r="L791" s="78"/>
      <c r="V791" s="78"/>
      <c r="W791" s="78"/>
      <c r="X791" s="78"/>
    </row>
    <row r="792" spans="1:24">
      <c r="A792" s="34">
        <v>790</v>
      </c>
      <c r="I792" s="78"/>
      <c r="J792" s="78"/>
      <c r="K792" s="78"/>
      <c r="L792" s="78"/>
      <c r="V792" s="78"/>
      <c r="W792" s="78"/>
      <c r="X792" s="78"/>
    </row>
    <row r="793" spans="1:24">
      <c r="A793" s="34">
        <v>791</v>
      </c>
      <c r="I793" s="78"/>
      <c r="J793" s="78"/>
      <c r="K793" s="78"/>
      <c r="L793" s="78"/>
      <c r="V793" s="78"/>
      <c r="W793" s="78"/>
      <c r="X793" s="78"/>
    </row>
    <row r="794" spans="1:24">
      <c r="A794" s="34">
        <v>792</v>
      </c>
      <c r="I794" s="78"/>
      <c r="J794" s="78"/>
      <c r="K794" s="78"/>
      <c r="L794" s="78"/>
      <c r="V794" s="78"/>
      <c r="W794" s="78"/>
      <c r="X794" s="78"/>
    </row>
    <row r="795" spans="1:24">
      <c r="A795" s="34">
        <v>793</v>
      </c>
      <c r="I795" s="78"/>
      <c r="J795" s="78"/>
      <c r="K795" s="78"/>
      <c r="L795" s="78"/>
      <c r="V795" s="78"/>
      <c r="W795" s="78"/>
      <c r="X795" s="78"/>
    </row>
    <row r="796" spans="1:24">
      <c r="A796" s="34">
        <v>794</v>
      </c>
      <c r="I796" s="78"/>
      <c r="J796" s="78"/>
      <c r="K796" s="78"/>
      <c r="L796" s="78"/>
      <c r="V796" s="78"/>
      <c r="W796" s="78"/>
      <c r="X796" s="78"/>
    </row>
    <row r="797" spans="1:24">
      <c r="A797" s="34">
        <v>795</v>
      </c>
      <c r="I797" s="78"/>
      <c r="J797" s="78"/>
      <c r="K797" s="78"/>
      <c r="L797" s="78"/>
      <c r="V797" s="78"/>
      <c r="W797" s="78"/>
      <c r="X797" s="78"/>
    </row>
    <row r="798" spans="1:24">
      <c r="A798" s="34">
        <v>796</v>
      </c>
      <c r="I798" s="78"/>
      <c r="J798" s="78"/>
      <c r="K798" s="78"/>
      <c r="L798" s="78"/>
      <c r="V798" s="78"/>
      <c r="W798" s="78"/>
      <c r="X798" s="78"/>
    </row>
    <row r="799" spans="1:24">
      <c r="A799" s="34">
        <v>797</v>
      </c>
      <c r="I799" s="78"/>
      <c r="J799" s="78"/>
      <c r="K799" s="78"/>
      <c r="L799" s="78"/>
      <c r="V799" s="78"/>
      <c r="W799" s="78"/>
      <c r="X799" s="78"/>
    </row>
    <row r="800" spans="1:24">
      <c r="A800" s="34">
        <v>798</v>
      </c>
      <c r="I800" s="78"/>
      <c r="J800" s="78"/>
      <c r="K800" s="78"/>
      <c r="L800" s="78"/>
      <c r="V800" s="78"/>
      <c r="W800" s="78"/>
      <c r="X800" s="78"/>
    </row>
    <row r="801" spans="1:24">
      <c r="A801" s="34">
        <v>799</v>
      </c>
      <c r="I801" s="78"/>
      <c r="J801" s="78"/>
      <c r="K801" s="78"/>
      <c r="L801" s="78"/>
      <c r="V801" s="78"/>
      <c r="W801" s="78"/>
      <c r="X801" s="78"/>
    </row>
    <row r="802" spans="1:24">
      <c r="A802" s="34">
        <v>800</v>
      </c>
      <c r="I802" s="78"/>
      <c r="J802" s="78"/>
      <c r="K802" s="78"/>
      <c r="L802" s="78"/>
      <c r="V802" s="78"/>
      <c r="W802" s="78"/>
      <c r="X802" s="78"/>
    </row>
    <row r="803" spans="1:24">
      <c r="A803" s="34">
        <v>801</v>
      </c>
      <c r="I803" s="78"/>
      <c r="J803" s="78"/>
      <c r="K803" s="78"/>
      <c r="L803" s="78"/>
      <c r="V803" s="78"/>
      <c r="W803" s="78"/>
      <c r="X803" s="78"/>
    </row>
    <row r="804" spans="1:24">
      <c r="A804" s="34">
        <v>802</v>
      </c>
      <c r="I804" s="78"/>
      <c r="J804" s="78"/>
      <c r="K804" s="78"/>
      <c r="L804" s="78"/>
      <c r="V804" s="78"/>
      <c r="W804" s="78"/>
      <c r="X804" s="78"/>
    </row>
    <row r="805" spans="1:24">
      <c r="A805" s="34">
        <v>803</v>
      </c>
      <c r="I805" s="78"/>
      <c r="J805" s="78"/>
      <c r="K805" s="78"/>
      <c r="L805" s="78"/>
      <c r="V805" s="78"/>
      <c r="W805" s="78"/>
      <c r="X805" s="78"/>
    </row>
    <row r="806" spans="1:24">
      <c r="A806" s="34">
        <v>804</v>
      </c>
      <c r="I806" s="78"/>
      <c r="J806" s="78"/>
      <c r="K806" s="78"/>
      <c r="L806" s="78"/>
      <c r="V806" s="78"/>
      <c r="W806" s="78"/>
      <c r="X806" s="78"/>
    </row>
    <row r="807" spans="1:24">
      <c r="A807" s="34">
        <v>805</v>
      </c>
      <c r="I807" s="78"/>
      <c r="J807" s="78"/>
      <c r="K807" s="78"/>
      <c r="L807" s="78"/>
      <c r="V807" s="78"/>
      <c r="W807" s="78"/>
      <c r="X807" s="78"/>
    </row>
    <row r="808" spans="1:24">
      <c r="A808" s="34">
        <v>806</v>
      </c>
      <c r="I808" s="78"/>
      <c r="J808" s="78"/>
      <c r="K808" s="78"/>
      <c r="L808" s="78"/>
      <c r="V808" s="78"/>
      <c r="W808" s="78"/>
      <c r="X808" s="78"/>
    </row>
    <row r="809" spans="1:24">
      <c r="A809" s="34">
        <v>807</v>
      </c>
      <c r="I809" s="78"/>
      <c r="J809" s="78"/>
      <c r="K809" s="78"/>
      <c r="L809" s="78"/>
      <c r="V809" s="78"/>
      <c r="W809" s="78"/>
      <c r="X809" s="78"/>
    </row>
    <row r="810" spans="1:24">
      <c r="A810" s="34">
        <v>808</v>
      </c>
      <c r="I810" s="78"/>
      <c r="J810" s="78"/>
      <c r="K810" s="78"/>
      <c r="L810" s="78"/>
      <c r="V810" s="78"/>
      <c r="W810" s="78"/>
      <c r="X810" s="78"/>
    </row>
    <row r="811" spans="1:24">
      <c r="A811" s="34">
        <v>809</v>
      </c>
      <c r="I811" s="78"/>
      <c r="J811" s="78"/>
      <c r="K811" s="78"/>
      <c r="L811" s="78"/>
      <c r="V811" s="78"/>
      <c r="W811" s="78"/>
      <c r="X811" s="78"/>
    </row>
    <row r="812" spans="1:24">
      <c r="A812" s="34">
        <v>810</v>
      </c>
      <c r="I812" s="78"/>
      <c r="J812" s="78"/>
      <c r="K812" s="78"/>
      <c r="L812" s="78"/>
      <c r="V812" s="78"/>
      <c r="W812" s="78"/>
      <c r="X812" s="78"/>
    </row>
    <row r="813" spans="1:24">
      <c r="A813" s="34">
        <v>811</v>
      </c>
      <c r="I813" s="78"/>
      <c r="J813" s="78"/>
      <c r="K813" s="78"/>
      <c r="L813" s="78"/>
      <c r="V813" s="78"/>
      <c r="W813" s="78"/>
      <c r="X813" s="78"/>
    </row>
    <row r="814" spans="1:24">
      <c r="A814" s="34">
        <v>812</v>
      </c>
      <c r="I814" s="78"/>
      <c r="J814" s="78"/>
      <c r="K814" s="78"/>
      <c r="L814" s="78"/>
      <c r="V814" s="78"/>
      <c r="W814" s="78"/>
      <c r="X814" s="78"/>
    </row>
    <row r="815" spans="1:24">
      <c r="A815" s="34">
        <v>813</v>
      </c>
      <c r="I815" s="78"/>
      <c r="J815" s="78"/>
      <c r="K815" s="78"/>
      <c r="L815" s="78"/>
      <c r="V815" s="78"/>
      <c r="W815" s="78"/>
      <c r="X815" s="78"/>
    </row>
    <row r="816" spans="1:24">
      <c r="A816" s="34">
        <v>814</v>
      </c>
      <c r="I816" s="78"/>
      <c r="J816" s="78"/>
      <c r="K816" s="78"/>
      <c r="L816" s="78"/>
      <c r="V816" s="78"/>
      <c r="W816" s="78"/>
      <c r="X816" s="78"/>
    </row>
    <row r="817" spans="1:24">
      <c r="A817" s="34">
        <v>815</v>
      </c>
      <c r="I817" s="78"/>
      <c r="J817" s="78"/>
      <c r="K817" s="78"/>
      <c r="L817" s="78"/>
      <c r="V817" s="78"/>
      <c r="W817" s="78"/>
      <c r="X817" s="78"/>
    </row>
    <row r="818" spans="1:24">
      <c r="A818" s="34">
        <v>816</v>
      </c>
      <c r="I818" s="78"/>
      <c r="J818" s="78"/>
      <c r="K818" s="78"/>
      <c r="L818" s="78"/>
      <c r="V818" s="78"/>
      <c r="W818" s="78"/>
      <c r="X818" s="78"/>
    </row>
    <row r="819" spans="1:24">
      <c r="A819" s="34">
        <v>817</v>
      </c>
      <c r="I819" s="78"/>
      <c r="J819" s="78"/>
      <c r="K819" s="78"/>
      <c r="L819" s="78"/>
      <c r="V819" s="78"/>
      <c r="W819" s="78"/>
      <c r="X819" s="78"/>
    </row>
    <row r="820" spans="1:24">
      <c r="A820" s="34">
        <v>818</v>
      </c>
      <c r="I820" s="78"/>
      <c r="J820" s="78"/>
      <c r="K820" s="78"/>
      <c r="L820" s="78"/>
      <c r="V820" s="78"/>
      <c r="W820" s="78"/>
      <c r="X820" s="78"/>
    </row>
    <row r="821" spans="1:24">
      <c r="A821" s="34">
        <v>819</v>
      </c>
      <c r="I821" s="78"/>
      <c r="J821" s="78"/>
      <c r="K821" s="78"/>
      <c r="L821" s="78"/>
      <c r="V821" s="78"/>
      <c r="W821" s="78"/>
      <c r="X821" s="78"/>
    </row>
    <row r="822" spans="1:24">
      <c r="A822" s="34">
        <v>820</v>
      </c>
      <c r="I822" s="78"/>
      <c r="J822" s="78"/>
      <c r="K822" s="78"/>
      <c r="L822" s="78"/>
      <c r="V822" s="78"/>
      <c r="W822" s="78"/>
      <c r="X822" s="78"/>
    </row>
    <row r="823" spans="1:24">
      <c r="A823" s="34">
        <v>821</v>
      </c>
      <c r="I823" s="78"/>
      <c r="J823" s="78"/>
      <c r="K823" s="78"/>
      <c r="L823" s="78"/>
      <c r="V823" s="78"/>
      <c r="W823" s="78"/>
      <c r="X823" s="78"/>
    </row>
    <row r="824" spans="1:24">
      <c r="A824" s="34">
        <v>822</v>
      </c>
      <c r="I824" s="78"/>
      <c r="J824" s="78"/>
      <c r="K824" s="78"/>
      <c r="L824" s="78"/>
      <c r="V824" s="78"/>
      <c r="W824" s="78"/>
      <c r="X824" s="78"/>
    </row>
    <row r="825" spans="1:24">
      <c r="A825" s="34">
        <v>823</v>
      </c>
      <c r="I825" s="78"/>
      <c r="J825" s="78"/>
      <c r="K825" s="78"/>
      <c r="L825" s="78"/>
      <c r="V825" s="78"/>
      <c r="W825" s="78"/>
      <c r="X825" s="78"/>
    </row>
    <row r="826" spans="1:24">
      <c r="A826" s="34">
        <v>824</v>
      </c>
      <c r="I826" s="78"/>
      <c r="J826" s="78"/>
      <c r="K826" s="78"/>
      <c r="L826" s="78"/>
      <c r="V826" s="78"/>
      <c r="W826" s="78"/>
      <c r="X826" s="78"/>
    </row>
    <row r="827" spans="1:24">
      <c r="A827" s="34">
        <v>825</v>
      </c>
      <c r="I827" s="78"/>
      <c r="J827" s="78"/>
      <c r="K827" s="78"/>
      <c r="L827" s="78"/>
      <c r="V827" s="78"/>
      <c r="W827" s="78"/>
      <c r="X827" s="78"/>
    </row>
    <row r="828" spans="1:24">
      <c r="A828" s="34">
        <v>826</v>
      </c>
      <c r="I828" s="78"/>
      <c r="J828" s="78"/>
      <c r="K828" s="78"/>
      <c r="L828" s="78"/>
      <c r="V828" s="78"/>
      <c r="W828" s="78"/>
      <c r="X828" s="78"/>
    </row>
    <row r="829" spans="1:24">
      <c r="A829" s="34">
        <v>827</v>
      </c>
      <c r="I829" s="78"/>
      <c r="J829" s="78"/>
      <c r="K829" s="78"/>
      <c r="L829" s="78"/>
      <c r="V829" s="78"/>
      <c r="W829" s="78"/>
      <c r="X829" s="78"/>
    </row>
    <row r="830" spans="1:24">
      <c r="A830" s="34">
        <v>828</v>
      </c>
      <c r="I830" s="78"/>
      <c r="J830" s="78"/>
      <c r="K830" s="78"/>
      <c r="L830" s="78"/>
      <c r="V830" s="78"/>
      <c r="W830" s="78"/>
      <c r="X830" s="78"/>
    </row>
    <row r="831" spans="1:24">
      <c r="A831" s="34">
        <v>829</v>
      </c>
      <c r="I831" s="78"/>
      <c r="J831" s="78"/>
      <c r="K831" s="78"/>
      <c r="L831" s="78"/>
      <c r="V831" s="78"/>
      <c r="W831" s="78"/>
      <c r="X831" s="78"/>
    </row>
    <row r="832" spans="1:24">
      <c r="A832" s="34">
        <v>830</v>
      </c>
      <c r="I832" s="78"/>
      <c r="J832" s="78"/>
      <c r="K832" s="78"/>
      <c r="L832" s="78"/>
      <c r="V832" s="78"/>
      <c r="W832" s="78"/>
      <c r="X832" s="78"/>
    </row>
    <row r="833" spans="1:24">
      <c r="A833" s="34">
        <v>831</v>
      </c>
      <c r="I833" s="78"/>
      <c r="J833" s="78"/>
      <c r="K833" s="78"/>
      <c r="L833" s="78"/>
      <c r="V833" s="78"/>
      <c r="W833" s="78"/>
      <c r="X833" s="78"/>
    </row>
    <row r="834" spans="1:24">
      <c r="A834" s="34">
        <v>832</v>
      </c>
      <c r="I834" s="78"/>
      <c r="J834" s="78"/>
      <c r="K834" s="78"/>
      <c r="L834" s="78"/>
      <c r="V834" s="78"/>
      <c r="W834" s="78"/>
      <c r="X834" s="78"/>
    </row>
    <row r="835" spans="1:24">
      <c r="A835" s="34">
        <v>833</v>
      </c>
      <c r="I835" s="78"/>
      <c r="J835" s="78"/>
      <c r="K835" s="78"/>
      <c r="L835" s="78"/>
      <c r="V835" s="78"/>
      <c r="W835" s="78"/>
      <c r="X835" s="78"/>
    </row>
    <row r="836" spans="1:24">
      <c r="A836" s="34">
        <v>834</v>
      </c>
      <c r="I836" s="78"/>
      <c r="J836" s="78"/>
      <c r="K836" s="78"/>
      <c r="L836" s="78"/>
      <c r="V836" s="78"/>
      <c r="W836" s="78"/>
      <c r="X836" s="78"/>
    </row>
    <row r="837" spans="1:24">
      <c r="A837" s="34">
        <v>835</v>
      </c>
      <c r="I837" s="78"/>
      <c r="J837" s="78"/>
      <c r="K837" s="78"/>
      <c r="L837" s="78"/>
      <c r="V837" s="78"/>
      <c r="W837" s="78"/>
      <c r="X837" s="78"/>
    </row>
    <row r="838" spans="1:24">
      <c r="A838" s="34">
        <v>836</v>
      </c>
      <c r="I838" s="78"/>
      <c r="J838" s="78"/>
      <c r="K838" s="78"/>
      <c r="L838" s="78"/>
      <c r="V838" s="78"/>
      <c r="W838" s="78"/>
      <c r="X838" s="78"/>
    </row>
    <row r="839" spans="1:24">
      <c r="A839" s="34">
        <v>837</v>
      </c>
      <c r="I839" s="78"/>
      <c r="J839" s="78"/>
      <c r="K839" s="78"/>
      <c r="L839" s="78"/>
      <c r="V839" s="78"/>
      <c r="W839" s="78"/>
      <c r="X839" s="78"/>
    </row>
    <row r="840" spans="1:24">
      <c r="A840" s="34">
        <v>838</v>
      </c>
      <c r="I840" s="78"/>
      <c r="J840" s="78"/>
      <c r="K840" s="78"/>
      <c r="L840" s="78"/>
      <c r="V840" s="78"/>
      <c r="W840" s="78"/>
      <c r="X840" s="78"/>
    </row>
    <row r="841" spans="1:24">
      <c r="A841" s="34">
        <v>839</v>
      </c>
      <c r="I841" s="78"/>
      <c r="J841" s="78"/>
      <c r="K841" s="78"/>
      <c r="L841" s="78"/>
      <c r="V841" s="78"/>
      <c r="W841" s="78"/>
      <c r="X841" s="78"/>
    </row>
    <row r="842" spans="1:24">
      <c r="A842" s="34">
        <v>840</v>
      </c>
      <c r="I842" s="78"/>
      <c r="J842" s="78"/>
      <c r="K842" s="78"/>
      <c r="L842" s="78"/>
      <c r="V842" s="78"/>
      <c r="W842" s="78"/>
      <c r="X842" s="78"/>
    </row>
    <row r="843" spans="1:24">
      <c r="A843" s="34">
        <v>841</v>
      </c>
      <c r="I843" s="78"/>
      <c r="J843" s="78"/>
      <c r="K843" s="78"/>
      <c r="L843" s="78"/>
      <c r="V843" s="78"/>
      <c r="W843" s="78"/>
      <c r="X843" s="78"/>
    </row>
    <row r="844" spans="1:24">
      <c r="A844" s="34">
        <v>842</v>
      </c>
      <c r="I844" s="78"/>
      <c r="J844" s="78"/>
      <c r="K844" s="78"/>
      <c r="L844" s="78"/>
      <c r="V844" s="78"/>
      <c r="W844" s="78"/>
      <c r="X844" s="78"/>
    </row>
    <row r="845" spans="1:24">
      <c r="A845" s="34">
        <v>843</v>
      </c>
      <c r="I845" s="78"/>
      <c r="J845" s="78"/>
      <c r="K845" s="78"/>
      <c r="L845" s="78"/>
      <c r="V845" s="78"/>
      <c r="W845" s="78"/>
      <c r="X845" s="78"/>
    </row>
    <row r="846" spans="1:24">
      <c r="A846" s="34">
        <v>844</v>
      </c>
      <c r="I846" s="78"/>
      <c r="J846" s="78"/>
      <c r="K846" s="78"/>
      <c r="L846" s="78"/>
      <c r="V846" s="78"/>
      <c r="W846" s="78"/>
      <c r="X846" s="78"/>
    </row>
    <row r="847" spans="1:24">
      <c r="A847" s="34">
        <v>845</v>
      </c>
      <c r="I847" s="78"/>
      <c r="J847" s="78"/>
      <c r="K847" s="78"/>
      <c r="L847" s="78"/>
      <c r="V847" s="78"/>
      <c r="W847" s="78"/>
      <c r="X847" s="78"/>
    </row>
    <row r="848" spans="1:24">
      <c r="A848" s="34">
        <v>846</v>
      </c>
      <c r="I848" s="78"/>
      <c r="J848" s="78"/>
      <c r="K848" s="78"/>
      <c r="L848" s="78"/>
      <c r="V848" s="78"/>
      <c r="W848" s="78"/>
      <c r="X848" s="78"/>
    </row>
    <row r="849" spans="1:24">
      <c r="A849" s="34">
        <v>847</v>
      </c>
      <c r="I849" s="78"/>
      <c r="J849" s="78"/>
      <c r="K849" s="78"/>
      <c r="L849" s="78"/>
      <c r="V849" s="78"/>
      <c r="W849" s="78"/>
      <c r="X849" s="78"/>
    </row>
    <row r="850" spans="1:24">
      <c r="A850" s="34">
        <v>848</v>
      </c>
      <c r="I850" s="78"/>
      <c r="J850" s="78"/>
      <c r="K850" s="78"/>
      <c r="L850" s="78"/>
      <c r="V850" s="78"/>
      <c r="W850" s="78"/>
      <c r="X850" s="78"/>
    </row>
    <row r="851" spans="1:24">
      <c r="A851" s="34">
        <v>849</v>
      </c>
      <c r="I851" s="78"/>
      <c r="J851" s="78"/>
      <c r="K851" s="78"/>
      <c r="L851" s="78"/>
      <c r="V851" s="78"/>
      <c r="W851" s="78"/>
      <c r="X851" s="78"/>
    </row>
    <row r="852" spans="1:24">
      <c r="A852" s="34">
        <v>850</v>
      </c>
      <c r="I852" s="78"/>
      <c r="J852" s="78"/>
      <c r="K852" s="78"/>
      <c r="L852" s="78"/>
      <c r="V852" s="78"/>
      <c r="W852" s="78"/>
      <c r="X852" s="78"/>
    </row>
    <row r="853" spans="1:24">
      <c r="A853" s="34">
        <v>851</v>
      </c>
      <c r="I853" s="78"/>
      <c r="J853" s="78"/>
      <c r="K853" s="78"/>
      <c r="L853" s="78"/>
      <c r="V853" s="78"/>
      <c r="W853" s="78"/>
      <c r="X853" s="78"/>
    </row>
    <row r="854" spans="1:24">
      <c r="A854" s="34">
        <v>852</v>
      </c>
      <c r="I854" s="78"/>
      <c r="J854" s="78"/>
      <c r="K854" s="78"/>
      <c r="L854" s="78"/>
      <c r="V854" s="78"/>
      <c r="W854" s="78"/>
      <c r="X854" s="78"/>
    </row>
    <row r="855" spans="1:24">
      <c r="A855" s="34">
        <v>853</v>
      </c>
      <c r="I855" s="78"/>
      <c r="J855" s="78"/>
      <c r="K855" s="78"/>
      <c r="L855" s="78"/>
      <c r="V855" s="78"/>
      <c r="W855" s="78"/>
      <c r="X855" s="78"/>
    </row>
    <row r="856" spans="1:24">
      <c r="A856" s="34">
        <v>854</v>
      </c>
      <c r="I856" s="78"/>
      <c r="J856" s="78"/>
      <c r="K856" s="78"/>
      <c r="L856" s="78"/>
      <c r="V856" s="78"/>
      <c r="W856" s="78"/>
      <c r="X856" s="78"/>
    </row>
    <row r="857" spans="1:24">
      <c r="A857" s="34">
        <v>855</v>
      </c>
      <c r="I857" s="78"/>
      <c r="J857" s="78"/>
      <c r="K857" s="78"/>
      <c r="L857" s="78"/>
      <c r="V857" s="78"/>
      <c r="W857" s="78"/>
      <c r="X857" s="78"/>
    </row>
    <row r="858" spans="1:24">
      <c r="A858" s="34">
        <v>856</v>
      </c>
      <c r="I858" s="78"/>
      <c r="J858" s="78"/>
      <c r="K858" s="78"/>
      <c r="L858" s="78"/>
      <c r="V858" s="78"/>
      <c r="W858" s="78"/>
      <c r="X858" s="78"/>
    </row>
    <row r="859" spans="1:24">
      <c r="A859" s="34">
        <v>857</v>
      </c>
      <c r="I859" s="78"/>
      <c r="J859" s="78"/>
      <c r="K859" s="78"/>
      <c r="L859" s="78"/>
      <c r="V859" s="78"/>
      <c r="W859" s="78"/>
      <c r="X859" s="78"/>
    </row>
    <row r="860" spans="1:24">
      <c r="A860" s="34">
        <v>858</v>
      </c>
      <c r="I860" s="78"/>
      <c r="J860" s="78"/>
      <c r="K860" s="78"/>
      <c r="L860" s="78"/>
      <c r="V860" s="78"/>
      <c r="W860" s="78"/>
      <c r="X860" s="78"/>
    </row>
    <row r="861" spans="1:24">
      <c r="A861" s="34">
        <v>859</v>
      </c>
      <c r="I861" s="78"/>
      <c r="J861" s="78"/>
      <c r="K861" s="78"/>
      <c r="L861" s="78"/>
      <c r="V861" s="78"/>
      <c r="W861" s="78"/>
      <c r="X861" s="78"/>
    </row>
    <row r="862" spans="1:24">
      <c r="A862" s="34">
        <v>860</v>
      </c>
      <c r="I862" s="78"/>
      <c r="J862" s="78"/>
      <c r="K862" s="78"/>
      <c r="L862" s="78"/>
      <c r="V862" s="78"/>
      <c r="W862" s="78"/>
      <c r="X862" s="78"/>
    </row>
    <row r="863" spans="1:24">
      <c r="A863" s="34">
        <v>861</v>
      </c>
      <c r="I863" s="78"/>
      <c r="J863" s="78"/>
      <c r="K863" s="78"/>
      <c r="L863" s="78"/>
      <c r="V863" s="78"/>
      <c r="W863" s="78"/>
      <c r="X863" s="78"/>
    </row>
    <row r="864" spans="1:24">
      <c r="A864" s="34">
        <v>862</v>
      </c>
      <c r="I864" s="78"/>
      <c r="J864" s="78"/>
      <c r="K864" s="78"/>
      <c r="L864" s="78"/>
      <c r="V864" s="78"/>
      <c r="W864" s="78"/>
      <c r="X864" s="78"/>
    </row>
    <row r="865" spans="1:24">
      <c r="A865" s="34">
        <v>863</v>
      </c>
      <c r="I865" s="78"/>
      <c r="J865" s="78"/>
      <c r="K865" s="78"/>
      <c r="L865" s="78"/>
      <c r="V865" s="78"/>
      <c r="W865" s="78"/>
      <c r="X865" s="78"/>
    </row>
    <row r="866" spans="1:24">
      <c r="A866" s="34">
        <v>864</v>
      </c>
      <c r="I866" s="78"/>
      <c r="J866" s="78"/>
      <c r="K866" s="78"/>
      <c r="L866" s="78"/>
      <c r="V866" s="78"/>
      <c r="W866" s="78"/>
      <c r="X866" s="78"/>
    </row>
    <row r="867" spans="1:24">
      <c r="A867" s="34">
        <v>865</v>
      </c>
      <c r="I867" s="78"/>
      <c r="J867" s="78"/>
      <c r="K867" s="78"/>
      <c r="L867" s="78"/>
      <c r="V867" s="78"/>
      <c r="W867" s="78"/>
      <c r="X867" s="78"/>
    </row>
    <row r="868" spans="1:24">
      <c r="A868" s="34">
        <v>866</v>
      </c>
      <c r="I868" s="78"/>
      <c r="J868" s="78"/>
      <c r="K868" s="78"/>
      <c r="L868" s="78"/>
      <c r="V868" s="78"/>
      <c r="W868" s="78"/>
      <c r="X868" s="78"/>
    </row>
    <row r="869" spans="1:24">
      <c r="A869" s="34">
        <v>867</v>
      </c>
      <c r="I869" s="78"/>
      <c r="J869" s="78"/>
      <c r="K869" s="78"/>
      <c r="L869" s="78"/>
      <c r="V869" s="78"/>
      <c r="W869" s="78"/>
      <c r="X869" s="78"/>
    </row>
    <row r="870" spans="1:24">
      <c r="A870" s="34">
        <v>868</v>
      </c>
      <c r="I870" s="78"/>
      <c r="J870" s="78"/>
      <c r="K870" s="78"/>
      <c r="L870" s="78"/>
      <c r="V870" s="78"/>
      <c r="W870" s="78"/>
      <c r="X870" s="78"/>
    </row>
    <row r="871" spans="1:24">
      <c r="A871" s="34">
        <v>869</v>
      </c>
      <c r="I871" s="78"/>
      <c r="J871" s="78"/>
      <c r="K871" s="78"/>
      <c r="L871" s="78"/>
      <c r="V871" s="78"/>
      <c r="W871" s="78"/>
      <c r="X871" s="78"/>
    </row>
    <row r="872" spans="1:24">
      <c r="A872" s="34">
        <v>870</v>
      </c>
      <c r="I872" s="78"/>
      <c r="J872" s="78"/>
      <c r="K872" s="78"/>
      <c r="L872" s="78"/>
      <c r="V872" s="78"/>
      <c r="W872" s="78"/>
      <c r="X872" s="78"/>
    </row>
    <row r="873" spans="1:24">
      <c r="A873" s="34">
        <v>871</v>
      </c>
      <c r="I873" s="78"/>
      <c r="J873" s="78"/>
      <c r="K873" s="78"/>
      <c r="L873" s="78"/>
      <c r="V873" s="78"/>
      <c r="W873" s="78"/>
      <c r="X873" s="78"/>
    </row>
    <row r="874" spans="1:24">
      <c r="A874" s="34">
        <v>872</v>
      </c>
      <c r="I874" s="78"/>
      <c r="J874" s="78"/>
      <c r="K874" s="78"/>
      <c r="L874" s="78"/>
      <c r="V874" s="78"/>
      <c r="W874" s="78"/>
      <c r="X874" s="78"/>
    </row>
    <row r="875" spans="1:24">
      <c r="A875" s="34">
        <v>873</v>
      </c>
      <c r="I875" s="78"/>
      <c r="J875" s="78"/>
      <c r="K875" s="78"/>
      <c r="L875" s="78"/>
      <c r="V875" s="78"/>
      <c r="W875" s="78"/>
      <c r="X875" s="78"/>
    </row>
    <row r="876" spans="1:24">
      <c r="A876" s="34">
        <v>874</v>
      </c>
      <c r="I876" s="78"/>
      <c r="J876" s="78"/>
      <c r="K876" s="78"/>
      <c r="L876" s="78"/>
      <c r="V876" s="78"/>
      <c r="W876" s="78"/>
      <c r="X876" s="78"/>
    </row>
    <row r="877" spans="1:24">
      <c r="A877" s="34">
        <v>875</v>
      </c>
      <c r="I877" s="78"/>
      <c r="J877" s="78"/>
      <c r="K877" s="78"/>
      <c r="L877" s="78"/>
      <c r="V877" s="78"/>
      <c r="W877" s="78"/>
      <c r="X877" s="78"/>
    </row>
    <row r="878" spans="1:24">
      <c r="A878" s="34">
        <v>876</v>
      </c>
      <c r="I878" s="78"/>
      <c r="J878" s="78"/>
      <c r="K878" s="78"/>
      <c r="L878" s="78"/>
      <c r="V878" s="78"/>
      <c r="W878" s="78"/>
      <c r="X878" s="78"/>
    </row>
    <row r="879" spans="1:24">
      <c r="A879" s="34">
        <v>877</v>
      </c>
      <c r="I879" s="78"/>
      <c r="J879" s="78"/>
      <c r="K879" s="78"/>
      <c r="L879" s="78"/>
      <c r="V879" s="78"/>
      <c r="W879" s="78"/>
      <c r="X879" s="78"/>
    </row>
    <row r="880" spans="1:24">
      <c r="A880" s="34">
        <v>878</v>
      </c>
      <c r="I880" s="78"/>
      <c r="J880" s="78"/>
      <c r="K880" s="78"/>
      <c r="L880" s="78"/>
      <c r="V880" s="78"/>
      <c r="W880" s="78"/>
      <c r="X880" s="78"/>
    </row>
    <row r="881" spans="1:24">
      <c r="A881" s="34">
        <v>879</v>
      </c>
      <c r="I881" s="78"/>
      <c r="J881" s="78"/>
      <c r="K881" s="78"/>
      <c r="L881" s="78"/>
      <c r="V881" s="78"/>
      <c r="W881" s="78"/>
      <c r="X881" s="78"/>
    </row>
    <row r="882" spans="1:24">
      <c r="A882" s="34">
        <v>880</v>
      </c>
      <c r="I882" s="78"/>
      <c r="J882" s="78"/>
      <c r="K882" s="78"/>
      <c r="L882" s="78"/>
      <c r="V882" s="78"/>
      <c r="W882" s="78"/>
      <c r="X882" s="78"/>
    </row>
    <row r="883" spans="1:24">
      <c r="A883" s="34">
        <v>881</v>
      </c>
      <c r="I883" s="78"/>
      <c r="J883" s="78"/>
      <c r="K883" s="78"/>
      <c r="L883" s="78"/>
      <c r="V883" s="78"/>
      <c r="W883" s="78"/>
      <c r="X883" s="78"/>
    </row>
    <row r="884" spans="1:24">
      <c r="A884" s="34">
        <v>882</v>
      </c>
      <c r="I884" s="78"/>
      <c r="J884" s="78"/>
      <c r="K884" s="78"/>
      <c r="L884" s="78"/>
      <c r="V884" s="78"/>
      <c r="W884" s="78"/>
      <c r="X884" s="78"/>
    </row>
    <row r="885" spans="1:24">
      <c r="A885" s="34">
        <v>883</v>
      </c>
      <c r="I885" s="78"/>
      <c r="J885" s="78"/>
      <c r="K885" s="78"/>
      <c r="L885" s="78"/>
      <c r="V885" s="78"/>
      <c r="W885" s="78"/>
      <c r="X885" s="78"/>
    </row>
    <row r="886" spans="1:24">
      <c r="A886" s="34">
        <v>884</v>
      </c>
      <c r="I886" s="78"/>
      <c r="J886" s="78"/>
      <c r="K886" s="78"/>
      <c r="L886" s="78"/>
      <c r="V886" s="78"/>
      <c r="W886" s="78"/>
      <c r="X886" s="78"/>
    </row>
    <row r="887" spans="1:24">
      <c r="A887" s="34">
        <v>885</v>
      </c>
      <c r="I887" s="78"/>
      <c r="J887" s="78"/>
      <c r="K887" s="78"/>
      <c r="L887" s="78"/>
      <c r="V887" s="78"/>
      <c r="W887" s="78"/>
      <c r="X887" s="78"/>
    </row>
    <row r="888" spans="1:24">
      <c r="A888" s="34">
        <v>886</v>
      </c>
      <c r="I888" s="78"/>
      <c r="J888" s="78"/>
      <c r="K888" s="78"/>
      <c r="L888" s="78"/>
      <c r="V888" s="78"/>
      <c r="W888" s="78"/>
      <c r="X888" s="78"/>
    </row>
    <row r="889" spans="1:24">
      <c r="A889" s="34">
        <v>887</v>
      </c>
      <c r="I889" s="78"/>
      <c r="J889" s="78"/>
      <c r="K889" s="78"/>
      <c r="L889" s="78"/>
      <c r="V889" s="78"/>
      <c r="W889" s="78"/>
      <c r="X889" s="78"/>
    </row>
    <row r="890" spans="1:24">
      <c r="A890" s="34">
        <v>888</v>
      </c>
      <c r="I890" s="78"/>
      <c r="J890" s="78"/>
      <c r="K890" s="78"/>
      <c r="L890" s="78"/>
      <c r="V890" s="78"/>
      <c r="W890" s="78"/>
      <c r="X890" s="78"/>
    </row>
    <row r="891" spans="1:24">
      <c r="A891" s="34">
        <v>889</v>
      </c>
      <c r="I891" s="78"/>
      <c r="J891" s="78"/>
      <c r="K891" s="78"/>
      <c r="L891" s="78"/>
      <c r="V891" s="78"/>
      <c r="W891" s="78"/>
      <c r="X891" s="78"/>
    </row>
    <row r="892" spans="1:24">
      <c r="A892" s="34">
        <v>890</v>
      </c>
      <c r="I892" s="78"/>
      <c r="J892" s="78"/>
      <c r="K892" s="78"/>
      <c r="L892" s="78"/>
      <c r="V892" s="78"/>
      <c r="W892" s="78"/>
      <c r="X892" s="78"/>
    </row>
    <row r="893" spans="1:24">
      <c r="A893" s="34">
        <v>891</v>
      </c>
      <c r="I893" s="78"/>
      <c r="J893" s="78"/>
      <c r="K893" s="78"/>
      <c r="L893" s="78"/>
      <c r="V893" s="78"/>
      <c r="W893" s="78"/>
      <c r="X893" s="78"/>
    </row>
    <row r="894" spans="1:24">
      <c r="A894" s="34">
        <v>892</v>
      </c>
      <c r="I894" s="78"/>
      <c r="J894" s="78"/>
      <c r="K894" s="78"/>
      <c r="L894" s="78"/>
      <c r="V894" s="78"/>
      <c r="W894" s="78"/>
      <c r="X894" s="78"/>
    </row>
    <row r="895" spans="1:24">
      <c r="A895" s="34">
        <v>893</v>
      </c>
      <c r="I895" s="78"/>
      <c r="J895" s="78"/>
      <c r="K895" s="78"/>
      <c r="L895" s="78"/>
      <c r="V895" s="78"/>
      <c r="W895" s="78"/>
      <c r="X895" s="78"/>
    </row>
    <row r="896" spans="1:24">
      <c r="A896" s="34">
        <v>894</v>
      </c>
      <c r="I896" s="78"/>
      <c r="J896" s="78"/>
      <c r="K896" s="78"/>
      <c r="L896" s="78"/>
      <c r="V896" s="78"/>
      <c r="W896" s="78"/>
      <c r="X896" s="78"/>
    </row>
    <row r="897" spans="1:24">
      <c r="A897" s="34">
        <v>895</v>
      </c>
      <c r="I897" s="78"/>
      <c r="J897" s="78"/>
      <c r="K897" s="78"/>
      <c r="L897" s="78"/>
      <c r="V897" s="78"/>
      <c r="W897" s="78"/>
      <c r="X897" s="78"/>
    </row>
    <row r="898" spans="1:24">
      <c r="A898" s="34">
        <v>896</v>
      </c>
      <c r="I898" s="78"/>
      <c r="J898" s="78"/>
      <c r="K898" s="78"/>
      <c r="L898" s="78"/>
      <c r="V898" s="78"/>
      <c r="W898" s="78"/>
      <c r="X898" s="78"/>
    </row>
    <row r="899" spans="1:24">
      <c r="A899" s="34">
        <v>897</v>
      </c>
      <c r="I899" s="78"/>
      <c r="J899" s="78"/>
      <c r="K899" s="78"/>
      <c r="L899" s="78"/>
      <c r="V899" s="78"/>
      <c r="W899" s="78"/>
      <c r="X899" s="78"/>
    </row>
    <row r="900" spans="1:24">
      <c r="A900" s="34">
        <v>898</v>
      </c>
      <c r="I900" s="78"/>
      <c r="J900" s="78"/>
      <c r="K900" s="78"/>
      <c r="L900" s="78"/>
      <c r="V900" s="78"/>
      <c r="W900" s="78"/>
      <c r="X900" s="78"/>
    </row>
    <row r="901" spans="1:24">
      <c r="A901" s="34">
        <v>899</v>
      </c>
      <c r="I901" s="78"/>
      <c r="J901" s="78"/>
      <c r="K901" s="78"/>
      <c r="L901" s="78"/>
      <c r="V901" s="78"/>
      <c r="W901" s="78"/>
      <c r="X901" s="78"/>
    </row>
    <row r="902" spans="1:24">
      <c r="A902" s="34">
        <v>900</v>
      </c>
      <c r="I902" s="78"/>
      <c r="J902" s="78"/>
      <c r="K902" s="78"/>
      <c r="L902" s="78"/>
      <c r="V902" s="78"/>
      <c r="W902" s="78"/>
      <c r="X902" s="78"/>
    </row>
    <row r="903" spans="1:24">
      <c r="A903" s="34">
        <v>901</v>
      </c>
      <c r="I903" s="78"/>
      <c r="J903" s="78"/>
      <c r="K903" s="78"/>
      <c r="L903" s="78"/>
      <c r="V903" s="78"/>
      <c r="W903" s="78"/>
      <c r="X903" s="78"/>
    </row>
    <row r="904" spans="1:24">
      <c r="A904" s="34">
        <v>902</v>
      </c>
      <c r="I904" s="78"/>
      <c r="J904" s="78"/>
      <c r="K904" s="78"/>
      <c r="L904" s="78"/>
      <c r="V904" s="78"/>
      <c r="W904" s="78"/>
      <c r="X904" s="78"/>
    </row>
    <row r="905" spans="1:24">
      <c r="A905" s="34">
        <v>903</v>
      </c>
      <c r="I905" s="78"/>
      <c r="J905" s="78"/>
      <c r="K905" s="78"/>
      <c r="L905" s="78"/>
      <c r="V905" s="78"/>
      <c r="W905" s="78"/>
      <c r="X905" s="78"/>
    </row>
    <row r="906" spans="1:24">
      <c r="A906" s="34">
        <v>904</v>
      </c>
      <c r="I906" s="78"/>
      <c r="J906" s="78"/>
      <c r="K906" s="78"/>
      <c r="L906" s="78"/>
      <c r="V906" s="78"/>
      <c r="W906" s="78"/>
      <c r="X906" s="78"/>
    </row>
    <row r="907" spans="1:24">
      <c r="A907" s="34">
        <v>905</v>
      </c>
      <c r="I907" s="78"/>
      <c r="J907" s="78"/>
      <c r="K907" s="78"/>
      <c r="L907" s="78"/>
      <c r="V907" s="78"/>
      <c r="W907" s="78"/>
      <c r="X907" s="78"/>
    </row>
    <row r="908" spans="1:24">
      <c r="A908" s="34">
        <v>906</v>
      </c>
      <c r="I908" s="78"/>
      <c r="J908" s="78"/>
      <c r="K908" s="78"/>
      <c r="L908" s="78"/>
      <c r="V908" s="78"/>
      <c r="W908" s="78"/>
      <c r="X908" s="78"/>
    </row>
    <row r="909" spans="1:24">
      <c r="A909" s="34">
        <v>907</v>
      </c>
      <c r="I909" s="78"/>
      <c r="J909" s="78"/>
      <c r="K909" s="78"/>
      <c r="L909" s="78"/>
      <c r="V909" s="78"/>
      <c r="W909" s="78"/>
      <c r="X909" s="78"/>
    </row>
    <row r="910" spans="1:24">
      <c r="A910" s="34">
        <v>908</v>
      </c>
      <c r="I910" s="78"/>
      <c r="J910" s="78"/>
      <c r="K910" s="78"/>
      <c r="L910" s="78"/>
      <c r="V910" s="78"/>
      <c r="W910" s="78"/>
      <c r="X910" s="78"/>
    </row>
    <row r="911" spans="1:24">
      <c r="A911" s="34">
        <v>909</v>
      </c>
      <c r="I911" s="78"/>
      <c r="J911" s="78"/>
      <c r="K911" s="78"/>
      <c r="L911" s="78"/>
      <c r="V911" s="78"/>
      <c r="W911" s="78"/>
      <c r="X911" s="78"/>
    </row>
    <row r="912" spans="1:24">
      <c r="A912" s="34">
        <v>910</v>
      </c>
      <c r="I912" s="78"/>
      <c r="J912" s="78"/>
      <c r="K912" s="78"/>
      <c r="L912" s="78"/>
      <c r="V912" s="78"/>
      <c r="W912" s="78"/>
      <c r="X912" s="78"/>
    </row>
    <row r="913" spans="1:24">
      <c r="A913" s="34">
        <v>911</v>
      </c>
      <c r="I913" s="78"/>
      <c r="J913" s="78"/>
      <c r="K913" s="78"/>
      <c r="L913" s="78"/>
      <c r="V913" s="78"/>
      <c r="W913" s="78"/>
      <c r="X913" s="78"/>
    </row>
    <row r="914" spans="1:24">
      <c r="A914" s="34">
        <v>912</v>
      </c>
      <c r="I914" s="78"/>
      <c r="J914" s="78"/>
      <c r="K914" s="78"/>
      <c r="L914" s="78"/>
      <c r="V914" s="78"/>
      <c r="W914" s="78"/>
      <c r="X914" s="78"/>
    </row>
    <row r="915" spans="1:24">
      <c r="A915" s="34">
        <v>913</v>
      </c>
      <c r="I915" s="78"/>
      <c r="J915" s="78"/>
      <c r="K915" s="78"/>
      <c r="L915" s="78"/>
      <c r="V915" s="78"/>
      <c r="W915" s="78"/>
      <c r="X915" s="78"/>
    </row>
    <row r="916" spans="1:24">
      <c r="A916" s="34">
        <v>914</v>
      </c>
      <c r="I916" s="78"/>
      <c r="J916" s="78"/>
      <c r="K916" s="78"/>
      <c r="L916" s="78"/>
      <c r="V916" s="78"/>
      <c r="W916" s="78"/>
      <c r="X916" s="78"/>
    </row>
    <row r="917" spans="1:24">
      <c r="A917" s="34">
        <v>915</v>
      </c>
      <c r="I917" s="78"/>
      <c r="J917" s="78"/>
      <c r="K917" s="78"/>
      <c r="L917" s="78"/>
      <c r="V917" s="78"/>
      <c r="W917" s="78"/>
      <c r="X917" s="78"/>
    </row>
    <row r="918" spans="1:24">
      <c r="A918" s="34">
        <v>916</v>
      </c>
      <c r="I918" s="78"/>
      <c r="J918" s="78"/>
      <c r="K918" s="78"/>
      <c r="L918" s="78"/>
      <c r="V918" s="78"/>
      <c r="W918" s="78"/>
      <c r="X918" s="78"/>
    </row>
    <row r="919" spans="1:24">
      <c r="A919" s="34">
        <v>917</v>
      </c>
      <c r="I919" s="78"/>
      <c r="J919" s="78"/>
      <c r="K919" s="78"/>
      <c r="L919" s="78"/>
      <c r="V919" s="78"/>
      <c r="W919" s="78"/>
      <c r="X919" s="78"/>
    </row>
    <row r="920" spans="1:24">
      <c r="A920" s="34">
        <v>918</v>
      </c>
      <c r="I920" s="78"/>
      <c r="J920" s="78"/>
      <c r="K920" s="78"/>
      <c r="L920" s="78"/>
      <c r="V920" s="78"/>
      <c r="W920" s="78"/>
      <c r="X920" s="78"/>
    </row>
    <row r="921" spans="1:24">
      <c r="A921" s="34">
        <v>919</v>
      </c>
      <c r="I921" s="78"/>
      <c r="J921" s="78"/>
      <c r="K921" s="78"/>
      <c r="L921" s="78"/>
      <c r="V921" s="78"/>
      <c r="W921" s="78"/>
      <c r="X921" s="78"/>
    </row>
    <row r="922" spans="1:24">
      <c r="A922" s="34">
        <v>920</v>
      </c>
      <c r="I922" s="78"/>
      <c r="J922" s="78"/>
      <c r="K922" s="78"/>
      <c r="L922" s="78"/>
      <c r="V922" s="78"/>
      <c r="W922" s="78"/>
      <c r="X922" s="78"/>
    </row>
    <row r="923" spans="1:24">
      <c r="A923" s="34">
        <v>921</v>
      </c>
      <c r="I923" s="78"/>
      <c r="J923" s="78"/>
      <c r="K923" s="78"/>
      <c r="L923" s="78"/>
      <c r="V923" s="78"/>
      <c r="W923" s="78"/>
      <c r="X923" s="78"/>
    </row>
    <row r="924" spans="1:24">
      <c r="A924" s="34">
        <v>922</v>
      </c>
      <c r="I924" s="78"/>
      <c r="J924" s="78"/>
      <c r="K924" s="78"/>
      <c r="L924" s="78"/>
      <c r="V924" s="78"/>
      <c r="W924" s="78"/>
      <c r="X924" s="78"/>
    </row>
    <row r="925" spans="1:24">
      <c r="A925" s="34">
        <v>923</v>
      </c>
      <c r="I925" s="78"/>
      <c r="J925" s="78"/>
      <c r="K925" s="78"/>
      <c r="L925" s="78"/>
      <c r="V925" s="78"/>
      <c r="W925" s="78"/>
      <c r="X925" s="78"/>
    </row>
    <row r="926" spans="1:24">
      <c r="A926" s="34">
        <v>924</v>
      </c>
      <c r="I926" s="78"/>
      <c r="J926" s="78"/>
      <c r="K926" s="78"/>
      <c r="L926" s="78"/>
      <c r="V926" s="78"/>
      <c r="W926" s="78"/>
      <c r="X926" s="78"/>
    </row>
    <row r="927" spans="1:24">
      <c r="A927" s="34">
        <v>925</v>
      </c>
      <c r="I927" s="78"/>
      <c r="J927" s="78"/>
      <c r="K927" s="78"/>
      <c r="L927" s="78"/>
      <c r="V927" s="78"/>
      <c r="W927" s="78"/>
      <c r="X927" s="78"/>
    </row>
    <row r="928" spans="1:24">
      <c r="A928" s="34">
        <v>926</v>
      </c>
      <c r="I928" s="78"/>
      <c r="J928" s="78"/>
      <c r="K928" s="78"/>
      <c r="L928" s="78"/>
      <c r="V928" s="78"/>
      <c r="W928" s="78"/>
      <c r="X928" s="78"/>
    </row>
    <row r="929" spans="1:24">
      <c r="A929" s="34">
        <v>927</v>
      </c>
      <c r="I929" s="78"/>
      <c r="J929" s="78"/>
      <c r="K929" s="78"/>
      <c r="L929" s="78"/>
      <c r="V929" s="78"/>
      <c r="W929" s="78"/>
      <c r="X929" s="78"/>
    </row>
    <row r="930" spans="1:24">
      <c r="A930" s="34">
        <v>928</v>
      </c>
      <c r="I930" s="78"/>
      <c r="J930" s="78"/>
      <c r="K930" s="78"/>
      <c r="L930" s="78"/>
      <c r="V930" s="78"/>
      <c r="W930" s="78"/>
      <c r="X930" s="78"/>
    </row>
    <row r="931" spans="1:24">
      <c r="A931" s="34">
        <v>929</v>
      </c>
      <c r="I931" s="78"/>
      <c r="J931" s="78"/>
      <c r="K931" s="78"/>
      <c r="L931" s="78"/>
      <c r="V931" s="78"/>
      <c r="W931" s="78"/>
      <c r="X931" s="78"/>
    </row>
    <row r="932" spans="1:24">
      <c r="A932" s="34">
        <v>930</v>
      </c>
      <c r="I932" s="78"/>
      <c r="J932" s="78"/>
      <c r="K932" s="78"/>
      <c r="L932" s="78"/>
      <c r="V932" s="78"/>
      <c r="W932" s="78"/>
      <c r="X932" s="78"/>
    </row>
    <row r="933" spans="1:24">
      <c r="A933" s="34">
        <v>931</v>
      </c>
      <c r="I933" s="78"/>
      <c r="J933" s="78"/>
      <c r="K933" s="78"/>
      <c r="L933" s="78"/>
      <c r="V933" s="78"/>
      <c r="W933" s="78"/>
      <c r="X933" s="78"/>
    </row>
    <row r="934" spans="1:24">
      <c r="A934" s="34">
        <v>932</v>
      </c>
      <c r="I934" s="78"/>
      <c r="J934" s="78"/>
      <c r="K934" s="78"/>
      <c r="L934" s="78"/>
      <c r="V934" s="78"/>
      <c r="W934" s="78"/>
      <c r="X934" s="78"/>
    </row>
    <row r="935" spans="1:24">
      <c r="A935" s="34">
        <v>933</v>
      </c>
      <c r="I935" s="78"/>
      <c r="J935" s="78"/>
      <c r="K935" s="78"/>
      <c r="L935" s="78"/>
      <c r="V935" s="78"/>
      <c r="W935" s="78"/>
      <c r="X935" s="78"/>
    </row>
    <row r="936" spans="1:24">
      <c r="A936" s="34">
        <v>934</v>
      </c>
      <c r="I936" s="78"/>
      <c r="J936" s="78"/>
      <c r="K936" s="78"/>
      <c r="L936" s="78"/>
      <c r="V936" s="78"/>
      <c r="W936" s="78"/>
      <c r="X936" s="78"/>
    </row>
    <row r="937" spans="1:24">
      <c r="A937" s="34">
        <v>935</v>
      </c>
      <c r="I937" s="78"/>
      <c r="J937" s="78"/>
      <c r="K937" s="78"/>
      <c r="L937" s="78"/>
      <c r="V937" s="78"/>
      <c r="W937" s="78"/>
      <c r="X937" s="78"/>
    </row>
    <row r="938" spans="1:24">
      <c r="A938" s="34">
        <v>936</v>
      </c>
      <c r="I938" s="78"/>
      <c r="J938" s="78"/>
      <c r="K938" s="78"/>
      <c r="L938" s="78"/>
      <c r="V938" s="78"/>
      <c r="W938" s="78"/>
      <c r="X938" s="78"/>
    </row>
    <row r="939" spans="1:24">
      <c r="A939" s="34">
        <v>937</v>
      </c>
      <c r="I939" s="78"/>
      <c r="J939" s="78"/>
      <c r="K939" s="78"/>
      <c r="L939" s="78"/>
      <c r="V939" s="78"/>
      <c r="W939" s="78"/>
      <c r="X939" s="78"/>
    </row>
    <row r="940" spans="1:24">
      <c r="A940" s="34">
        <v>938</v>
      </c>
      <c r="I940" s="78"/>
      <c r="J940" s="78"/>
      <c r="K940" s="78"/>
      <c r="L940" s="78"/>
      <c r="V940" s="78"/>
      <c r="W940" s="78"/>
      <c r="X940" s="78"/>
    </row>
    <row r="941" spans="1:24">
      <c r="A941" s="34">
        <v>939</v>
      </c>
      <c r="I941" s="78"/>
      <c r="J941" s="78"/>
      <c r="K941" s="78"/>
      <c r="L941" s="78"/>
      <c r="V941" s="78"/>
      <c r="W941" s="78"/>
      <c r="X941" s="78"/>
    </row>
    <row r="942" spans="1:24">
      <c r="A942" s="34">
        <v>940</v>
      </c>
      <c r="I942" s="78"/>
      <c r="J942" s="78"/>
      <c r="K942" s="78"/>
      <c r="L942" s="78"/>
      <c r="V942" s="78"/>
      <c r="W942" s="78"/>
      <c r="X942" s="78"/>
    </row>
    <row r="943" spans="1:24">
      <c r="A943" s="34">
        <v>941</v>
      </c>
      <c r="I943" s="78"/>
      <c r="J943" s="78"/>
      <c r="K943" s="78"/>
      <c r="L943" s="78"/>
      <c r="V943" s="78"/>
      <c r="W943" s="78"/>
      <c r="X943" s="78"/>
    </row>
    <row r="944" spans="1:24">
      <c r="A944" s="34">
        <v>942</v>
      </c>
      <c r="I944" s="78"/>
      <c r="J944" s="78"/>
      <c r="K944" s="78"/>
      <c r="L944" s="78"/>
      <c r="V944" s="78"/>
      <c r="W944" s="78"/>
      <c r="X944" s="78"/>
    </row>
    <row r="945" spans="1:24">
      <c r="A945" s="34">
        <v>943</v>
      </c>
      <c r="I945" s="78"/>
      <c r="J945" s="78"/>
      <c r="K945" s="78"/>
      <c r="L945" s="78"/>
      <c r="V945" s="78"/>
      <c r="W945" s="78"/>
      <c r="X945" s="78"/>
    </row>
    <row r="946" spans="1:24">
      <c r="A946" s="34">
        <v>944</v>
      </c>
      <c r="I946" s="78"/>
      <c r="J946" s="78"/>
      <c r="K946" s="78"/>
      <c r="L946" s="78"/>
      <c r="V946" s="78"/>
      <c r="W946" s="78"/>
      <c r="X946" s="78"/>
    </row>
    <row r="947" spans="1:24">
      <c r="A947" s="34">
        <v>945</v>
      </c>
      <c r="I947" s="78"/>
      <c r="J947" s="78"/>
      <c r="K947" s="78"/>
      <c r="L947" s="78"/>
      <c r="V947" s="78"/>
      <c r="W947" s="78"/>
      <c r="X947" s="78"/>
    </row>
    <row r="948" spans="1:24">
      <c r="A948" s="34">
        <v>946</v>
      </c>
      <c r="I948" s="78"/>
      <c r="J948" s="78"/>
      <c r="K948" s="78"/>
      <c r="L948" s="78"/>
      <c r="V948" s="78"/>
      <c r="W948" s="78"/>
      <c r="X948" s="78"/>
    </row>
    <row r="949" spans="1:24">
      <c r="A949" s="34">
        <v>947</v>
      </c>
      <c r="I949" s="78"/>
      <c r="J949" s="78"/>
      <c r="K949" s="78"/>
      <c r="L949" s="78"/>
      <c r="V949" s="78"/>
      <c r="W949" s="78"/>
      <c r="X949" s="78"/>
    </row>
    <row r="950" spans="1:24">
      <c r="A950" s="34">
        <v>948</v>
      </c>
      <c r="I950" s="78"/>
      <c r="J950" s="78"/>
      <c r="K950" s="78"/>
      <c r="L950" s="78"/>
      <c r="V950" s="78"/>
      <c r="W950" s="78"/>
      <c r="X950" s="78"/>
    </row>
    <row r="951" spans="1:24">
      <c r="A951" s="34">
        <v>949</v>
      </c>
      <c r="I951" s="78"/>
      <c r="J951" s="78"/>
      <c r="K951" s="78"/>
      <c r="L951" s="78"/>
      <c r="V951" s="78"/>
      <c r="W951" s="78"/>
      <c r="X951" s="78"/>
    </row>
    <row r="952" spans="1:24">
      <c r="A952" s="34">
        <v>950</v>
      </c>
      <c r="I952" s="78"/>
      <c r="J952" s="78"/>
      <c r="K952" s="78"/>
      <c r="L952" s="78"/>
      <c r="V952" s="78"/>
      <c r="W952" s="78"/>
      <c r="X952" s="78"/>
    </row>
    <row r="953" spans="1:24">
      <c r="A953" s="34">
        <v>951</v>
      </c>
      <c r="I953" s="78"/>
      <c r="J953" s="78"/>
      <c r="K953" s="78"/>
      <c r="L953" s="78"/>
      <c r="V953" s="78"/>
      <c r="W953" s="78"/>
      <c r="X953" s="78"/>
    </row>
    <row r="954" spans="1:24">
      <c r="A954" s="34">
        <v>952</v>
      </c>
      <c r="I954" s="78"/>
      <c r="J954" s="78"/>
      <c r="K954" s="78"/>
      <c r="L954" s="78"/>
      <c r="V954" s="78"/>
      <c r="W954" s="78"/>
      <c r="X954" s="78"/>
    </row>
    <row r="955" spans="1:24">
      <c r="A955" s="34">
        <v>953</v>
      </c>
      <c r="I955" s="78"/>
      <c r="J955" s="78"/>
      <c r="K955" s="78"/>
      <c r="L955" s="78"/>
      <c r="V955" s="78"/>
      <c r="W955" s="78"/>
      <c r="X955" s="78"/>
    </row>
    <row r="956" spans="1:24">
      <c r="A956" s="34">
        <v>954</v>
      </c>
      <c r="I956" s="78"/>
      <c r="J956" s="78"/>
      <c r="K956" s="78"/>
      <c r="L956" s="78"/>
      <c r="V956" s="78"/>
      <c r="W956" s="78"/>
      <c r="X956" s="78"/>
    </row>
    <row r="957" spans="1:24">
      <c r="A957" s="34">
        <v>955</v>
      </c>
      <c r="I957" s="78"/>
      <c r="J957" s="78"/>
      <c r="K957" s="78"/>
      <c r="L957" s="78"/>
      <c r="V957" s="78"/>
      <c r="W957" s="78"/>
      <c r="X957" s="78"/>
    </row>
    <row r="958" spans="1:24">
      <c r="A958" s="34">
        <v>956</v>
      </c>
      <c r="I958" s="78"/>
      <c r="J958" s="78"/>
      <c r="K958" s="78"/>
      <c r="L958" s="78"/>
      <c r="V958" s="78"/>
      <c r="W958" s="78"/>
      <c r="X958" s="78"/>
    </row>
    <row r="959" spans="1:24">
      <c r="A959" s="34">
        <v>957</v>
      </c>
      <c r="I959" s="78"/>
      <c r="J959" s="78"/>
      <c r="K959" s="78"/>
      <c r="L959" s="78"/>
      <c r="V959" s="78"/>
      <c r="W959" s="78"/>
      <c r="X959" s="78"/>
    </row>
    <row r="960" spans="1:24">
      <c r="A960" s="34">
        <v>958</v>
      </c>
      <c r="I960" s="78"/>
      <c r="J960" s="78"/>
      <c r="K960" s="78"/>
      <c r="L960" s="78"/>
      <c r="V960" s="78"/>
      <c r="W960" s="78"/>
      <c r="X960" s="78"/>
    </row>
    <row r="961" spans="1:24">
      <c r="A961" s="34">
        <v>959</v>
      </c>
      <c r="I961" s="78"/>
      <c r="J961" s="78"/>
      <c r="K961" s="78"/>
      <c r="L961" s="78"/>
      <c r="V961" s="78"/>
      <c r="W961" s="78"/>
      <c r="X961" s="78"/>
    </row>
    <row r="962" spans="1:24">
      <c r="A962" s="34">
        <v>960</v>
      </c>
      <c r="I962" s="78"/>
      <c r="J962" s="78"/>
      <c r="K962" s="78"/>
      <c r="L962" s="78"/>
      <c r="V962" s="78"/>
      <c r="W962" s="78"/>
      <c r="X962" s="78"/>
    </row>
    <row r="963" spans="1:24">
      <c r="A963" s="34">
        <v>961</v>
      </c>
      <c r="I963" s="78"/>
      <c r="J963" s="78"/>
      <c r="K963" s="78"/>
      <c r="L963" s="78"/>
      <c r="V963" s="78"/>
      <c r="W963" s="78"/>
      <c r="X963" s="78"/>
    </row>
    <row r="964" spans="1:24">
      <c r="A964" s="34">
        <v>962</v>
      </c>
      <c r="I964" s="78"/>
      <c r="J964" s="78"/>
      <c r="K964" s="78"/>
      <c r="L964" s="78"/>
      <c r="V964" s="78"/>
      <c r="W964" s="78"/>
      <c r="X964" s="78"/>
    </row>
    <row r="965" spans="1:24">
      <c r="A965" s="34">
        <v>963</v>
      </c>
      <c r="I965" s="78"/>
      <c r="J965" s="78"/>
      <c r="K965" s="78"/>
      <c r="L965" s="78"/>
      <c r="V965" s="78"/>
      <c r="W965" s="78"/>
      <c r="X965" s="78"/>
    </row>
    <row r="966" spans="1:24">
      <c r="A966" s="34">
        <v>964</v>
      </c>
      <c r="I966" s="78"/>
      <c r="J966" s="78"/>
      <c r="K966" s="78"/>
      <c r="L966" s="78"/>
      <c r="V966" s="78"/>
      <c r="W966" s="78"/>
      <c r="X966" s="78"/>
    </row>
    <row r="967" spans="1:24">
      <c r="A967" s="34">
        <v>965</v>
      </c>
      <c r="I967" s="78"/>
      <c r="J967" s="78"/>
      <c r="K967" s="78"/>
      <c r="L967" s="78"/>
      <c r="V967" s="78"/>
      <c r="W967" s="78"/>
      <c r="X967" s="78"/>
    </row>
    <row r="968" spans="1:24">
      <c r="A968" s="34">
        <v>966</v>
      </c>
      <c r="I968" s="78"/>
      <c r="J968" s="78"/>
      <c r="K968" s="78"/>
      <c r="L968" s="78"/>
      <c r="V968" s="78"/>
      <c r="W968" s="78"/>
      <c r="X968" s="78"/>
    </row>
    <row r="969" spans="1:24">
      <c r="A969" s="34">
        <v>967</v>
      </c>
      <c r="I969" s="78"/>
      <c r="J969" s="78"/>
      <c r="K969" s="78"/>
      <c r="L969" s="78"/>
      <c r="V969" s="78"/>
      <c r="W969" s="78"/>
      <c r="X969" s="78"/>
    </row>
    <row r="970" spans="1:24">
      <c r="A970" s="34">
        <v>968</v>
      </c>
      <c r="I970" s="78"/>
      <c r="J970" s="78"/>
      <c r="K970" s="78"/>
      <c r="L970" s="78"/>
      <c r="V970" s="78"/>
      <c r="W970" s="78"/>
      <c r="X970" s="78"/>
    </row>
    <row r="971" spans="1:24">
      <c r="A971" s="34">
        <v>969</v>
      </c>
      <c r="I971" s="78"/>
      <c r="J971" s="78"/>
      <c r="K971" s="78"/>
      <c r="L971" s="78"/>
      <c r="V971" s="78"/>
      <c r="W971" s="78"/>
      <c r="X971" s="78"/>
    </row>
    <row r="972" spans="1:24">
      <c r="A972" s="34">
        <v>970</v>
      </c>
      <c r="I972" s="78"/>
      <c r="J972" s="78"/>
      <c r="K972" s="78"/>
      <c r="L972" s="78"/>
      <c r="V972" s="78"/>
      <c r="W972" s="78"/>
      <c r="X972" s="78"/>
    </row>
    <row r="973" spans="1:24">
      <c r="A973" s="34">
        <v>971</v>
      </c>
      <c r="I973" s="78"/>
      <c r="J973" s="78"/>
      <c r="K973" s="78"/>
      <c r="L973" s="78"/>
      <c r="V973" s="78"/>
      <c r="W973" s="78"/>
      <c r="X973" s="78"/>
    </row>
    <row r="974" spans="1:24">
      <c r="A974" s="34">
        <v>972</v>
      </c>
      <c r="I974" s="78"/>
      <c r="J974" s="78"/>
      <c r="K974" s="78"/>
      <c r="L974" s="78"/>
      <c r="V974" s="78"/>
      <c r="W974" s="78"/>
      <c r="X974" s="78"/>
    </row>
    <row r="975" spans="1:24">
      <c r="A975" s="34">
        <v>973</v>
      </c>
      <c r="I975" s="78"/>
      <c r="J975" s="78"/>
      <c r="K975" s="78"/>
      <c r="L975" s="78"/>
      <c r="V975" s="78"/>
      <c r="W975" s="78"/>
      <c r="X975" s="78"/>
    </row>
    <row r="976" spans="1:24">
      <c r="A976" s="34">
        <v>974</v>
      </c>
      <c r="I976" s="78"/>
      <c r="J976" s="78"/>
      <c r="K976" s="78"/>
      <c r="L976" s="78"/>
      <c r="V976" s="78"/>
      <c r="W976" s="78"/>
      <c r="X976" s="78"/>
    </row>
    <row r="977" spans="1:24">
      <c r="A977" s="34">
        <v>975</v>
      </c>
      <c r="I977" s="78"/>
      <c r="J977" s="78"/>
      <c r="K977" s="78"/>
      <c r="L977" s="78"/>
      <c r="V977" s="78"/>
      <c r="W977" s="78"/>
      <c r="X977" s="78"/>
    </row>
    <row r="978" spans="1:24">
      <c r="A978" s="34">
        <v>976</v>
      </c>
      <c r="I978" s="78"/>
      <c r="J978" s="78"/>
      <c r="K978" s="78"/>
      <c r="L978" s="78"/>
      <c r="V978" s="78"/>
      <c r="W978" s="78"/>
      <c r="X978" s="78"/>
    </row>
    <row r="979" spans="1:24">
      <c r="A979" s="34">
        <v>977</v>
      </c>
      <c r="I979" s="78"/>
      <c r="J979" s="78"/>
      <c r="K979" s="78"/>
      <c r="L979" s="78"/>
      <c r="V979" s="78"/>
      <c r="W979" s="78"/>
      <c r="X979" s="78"/>
    </row>
    <row r="980" spans="1:24">
      <c r="A980" s="34">
        <v>978</v>
      </c>
      <c r="I980" s="78"/>
      <c r="J980" s="78"/>
      <c r="K980" s="78"/>
      <c r="L980" s="78"/>
      <c r="V980" s="78"/>
      <c r="W980" s="78"/>
      <c r="X980" s="78"/>
    </row>
    <row r="981" spans="1:24">
      <c r="A981" s="34">
        <v>979</v>
      </c>
      <c r="I981" s="78"/>
      <c r="J981" s="78"/>
      <c r="K981" s="78"/>
      <c r="L981" s="78"/>
      <c r="V981" s="78"/>
      <c r="W981" s="78"/>
      <c r="X981" s="78"/>
    </row>
    <row r="982" spans="1:24">
      <c r="A982" s="34">
        <v>980</v>
      </c>
      <c r="I982" s="78"/>
      <c r="J982" s="78"/>
      <c r="K982" s="78"/>
      <c r="L982" s="78"/>
      <c r="V982" s="78"/>
      <c r="W982" s="78"/>
      <c r="X982" s="78"/>
    </row>
    <row r="983" spans="1:24">
      <c r="A983" s="34">
        <v>981</v>
      </c>
      <c r="I983" s="78"/>
      <c r="J983" s="78"/>
      <c r="K983" s="78"/>
      <c r="L983" s="78"/>
      <c r="V983" s="78"/>
      <c r="W983" s="78"/>
      <c r="X983" s="78"/>
    </row>
    <row r="984" spans="1:24">
      <c r="A984" s="34">
        <v>982</v>
      </c>
      <c r="I984" s="78"/>
      <c r="J984" s="78"/>
      <c r="K984" s="78"/>
      <c r="L984" s="78"/>
      <c r="V984" s="78"/>
      <c r="W984" s="78"/>
      <c r="X984" s="78"/>
    </row>
    <row r="985" spans="1:24">
      <c r="A985" s="34">
        <v>983</v>
      </c>
      <c r="I985" s="78"/>
      <c r="J985" s="78"/>
      <c r="K985" s="78"/>
      <c r="L985" s="78"/>
      <c r="V985" s="78"/>
      <c r="W985" s="78"/>
      <c r="X985" s="78"/>
    </row>
    <row r="986" spans="1:24">
      <c r="A986" s="34">
        <v>984</v>
      </c>
      <c r="I986" s="78"/>
      <c r="J986" s="78"/>
      <c r="K986" s="78"/>
      <c r="L986" s="78"/>
      <c r="V986" s="78"/>
      <c r="W986" s="78"/>
      <c r="X986" s="78"/>
    </row>
    <row r="987" spans="1:24">
      <c r="A987" s="34">
        <v>985</v>
      </c>
      <c r="I987" s="78"/>
      <c r="J987" s="78"/>
      <c r="K987" s="78"/>
      <c r="L987" s="78"/>
      <c r="V987" s="78"/>
      <c r="W987" s="78"/>
      <c r="X987" s="78"/>
    </row>
    <row r="988" spans="1:24">
      <c r="A988" s="34">
        <v>986</v>
      </c>
      <c r="I988" s="78"/>
      <c r="J988" s="78"/>
      <c r="K988" s="78"/>
      <c r="L988" s="78"/>
      <c r="V988" s="78"/>
      <c r="W988" s="78"/>
      <c r="X988" s="78"/>
    </row>
    <row r="989" spans="1:24">
      <c r="A989" s="34">
        <v>987</v>
      </c>
      <c r="I989" s="78"/>
      <c r="J989" s="78"/>
      <c r="K989" s="78"/>
      <c r="L989" s="78"/>
      <c r="V989" s="78"/>
      <c r="W989" s="78"/>
      <c r="X989" s="78"/>
    </row>
    <row r="990" spans="1:24">
      <c r="A990" s="34">
        <v>988</v>
      </c>
      <c r="I990" s="78"/>
      <c r="J990" s="78"/>
      <c r="K990" s="78"/>
      <c r="L990" s="78"/>
      <c r="V990" s="78"/>
      <c r="W990" s="78"/>
      <c r="X990" s="78"/>
    </row>
    <row r="991" spans="1:24">
      <c r="A991" s="34">
        <v>989</v>
      </c>
      <c r="I991" s="78"/>
      <c r="J991" s="78"/>
      <c r="K991" s="78"/>
      <c r="L991" s="78"/>
      <c r="V991" s="78"/>
      <c r="W991" s="78"/>
      <c r="X991" s="78"/>
    </row>
    <row r="992" spans="1:24">
      <c r="A992" s="34">
        <v>990</v>
      </c>
      <c r="I992" s="78"/>
      <c r="J992" s="78"/>
      <c r="K992" s="78"/>
      <c r="L992" s="78"/>
      <c r="V992" s="78"/>
      <c r="W992" s="78"/>
      <c r="X992" s="78"/>
    </row>
    <row r="993" spans="1:24">
      <c r="A993" s="34">
        <v>991</v>
      </c>
      <c r="I993" s="78"/>
      <c r="J993" s="78"/>
      <c r="K993" s="78"/>
      <c r="L993" s="78"/>
      <c r="V993" s="78"/>
      <c r="W993" s="78"/>
      <c r="X993" s="78"/>
    </row>
    <row r="994" spans="1:24">
      <c r="A994" s="34">
        <v>992</v>
      </c>
      <c r="I994" s="78"/>
      <c r="J994" s="78"/>
      <c r="K994" s="78"/>
      <c r="L994" s="78"/>
      <c r="V994" s="78"/>
      <c r="W994" s="78"/>
      <c r="X994" s="78"/>
    </row>
    <row r="995" spans="1:24">
      <c r="A995" s="34">
        <v>993</v>
      </c>
      <c r="I995" s="78"/>
      <c r="J995" s="78"/>
      <c r="K995" s="78"/>
      <c r="L995" s="78"/>
      <c r="V995" s="78"/>
      <c r="W995" s="78"/>
      <c r="X995" s="78"/>
    </row>
    <row r="996" spans="1:24">
      <c r="A996" s="34">
        <v>994</v>
      </c>
      <c r="I996" s="78"/>
      <c r="J996" s="78"/>
      <c r="K996" s="78"/>
      <c r="L996" s="78"/>
      <c r="V996" s="78"/>
      <c r="W996" s="78"/>
      <c r="X996" s="78"/>
    </row>
    <row r="997" spans="1:24">
      <c r="A997" s="34">
        <v>995</v>
      </c>
      <c r="I997" s="78"/>
      <c r="J997" s="78"/>
      <c r="K997" s="78"/>
      <c r="L997" s="78"/>
      <c r="V997" s="78"/>
      <c r="W997" s="78"/>
      <c r="X997" s="78"/>
    </row>
    <row r="998" spans="1:24">
      <c r="A998" s="34">
        <v>996</v>
      </c>
      <c r="I998" s="78"/>
      <c r="J998" s="78"/>
      <c r="K998" s="78"/>
      <c r="L998" s="78"/>
      <c r="V998" s="78"/>
      <c r="W998" s="78"/>
      <c r="X998" s="78"/>
    </row>
    <row r="999" spans="1:24">
      <c r="A999" s="34">
        <v>997</v>
      </c>
      <c r="I999" s="78"/>
      <c r="J999" s="78"/>
      <c r="K999" s="78"/>
      <c r="L999" s="78"/>
      <c r="V999" s="78"/>
      <c r="W999" s="78"/>
      <c r="X999" s="78"/>
    </row>
    <row r="1000" spans="1:24">
      <c r="A1000" s="34">
        <v>998</v>
      </c>
      <c r="I1000" s="78"/>
      <c r="J1000" s="78"/>
      <c r="K1000" s="78"/>
      <c r="L1000" s="78"/>
      <c r="V1000" s="78"/>
      <c r="W1000" s="78"/>
      <c r="X1000" s="78"/>
    </row>
    <row r="1001" spans="1:24">
      <c r="A1001" s="34">
        <v>999</v>
      </c>
      <c r="I1001" s="78"/>
      <c r="J1001" s="78"/>
      <c r="K1001" s="78"/>
      <c r="L1001" s="78"/>
      <c r="V1001" s="78"/>
      <c r="W1001" s="78"/>
      <c r="X1001" s="78"/>
    </row>
    <row r="1002" spans="1:24">
      <c r="A1002" s="34">
        <v>1000</v>
      </c>
      <c r="I1002" s="78"/>
      <c r="J1002" s="78"/>
      <c r="K1002" s="78"/>
      <c r="L1002" s="78"/>
      <c r="V1002" s="78"/>
      <c r="W1002" s="78"/>
      <c r="X1002" s="78"/>
    </row>
    <row r="1003" spans="1:24">
      <c r="A1003" s="34">
        <v>1001</v>
      </c>
      <c r="I1003" s="78"/>
      <c r="J1003" s="78"/>
      <c r="K1003" s="78"/>
      <c r="L1003" s="78"/>
      <c r="V1003" s="78"/>
      <c r="W1003" s="78"/>
      <c r="X1003" s="78"/>
    </row>
    <row r="1004" spans="1:24">
      <c r="A1004" s="34">
        <v>1002</v>
      </c>
      <c r="I1004" s="78"/>
      <c r="J1004" s="78"/>
      <c r="K1004" s="78"/>
      <c r="L1004" s="78"/>
      <c r="V1004" s="78"/>
      <c r="W1004" s="78"/>
      <c r="X1004" s="78"/>
    </row>
    <row r="1005" spans="1:24">
      <c r="A1005" s="34">
        <v>1003</v>
      </c>
      <c r="I1005" s="78"/>
      <c r="J1005" s="78"/>
      <c r="K1005" s="78"/>
      <c r="L1005" s="78"/>
      <c r="V1005" s="78"/>
      <c r="W1005" s="78"/>
      <c r="X1005" s="78"/>
    </row>
    <row r="1006" spans="1:24">
      <c r="A1006" s="34">
        <v>1004</v>
      </c>
      <c r="I1006" s="78"/>
      <c r="J1006" s="78"/>
      <c r="K1006" s="78"/>
      <c r="L1006" s="78"/>
      <c r="V1006" s="78"/>
      <c r="W1006" s="78"/>
      <c r="X1006" s="78"/>
    </row>
    <row r="1007" spans="1:24">
      <c r="A1007" s="34">
        <v>1005</v>
      </c>
      <c r="I1007" s="78"/>
      <c r="J1007" s="78"/>
      <c r="K1007" s="78"/>
      <c r="L1007" s="78"/>
      <c r="V1007" s="78"/>
      <c r="W1007" s="78"/>
      <c r="X1007" s="78"/>
    </row>
    <row r="1008" spans="1:24">
      <c r="A1008" s="34">
        <v>1006</v>
      </c>
      <c r="I1008" s="78"/>
      <c r="J1008" s="78"/>
      <c r="K1008" s="78"/>
      <c r="L1008" s="78"/>
      <c r="V1008" s="78"/>
      <c r="W1008" s="78"/>
      <c r="X1008" s="78"/>
    </row>
    <row r="1009" spans="1:24">
      <c r="A1009" s="34">
        <v>1007</v>
      </c>
      <c r="I1009" s="78"/>
      <c r="J1009" s="78"/>
      <c r="K1009" s="78"/>
      <c r="L1009" s="78"/>
      <c r="V1009" s="78"/>
      <c r="W1009" s="78"/>
      <c r="X1009" s="78"/>
    </row>
    <row r="1010" spans="1:24">
      <c r="A1010" s="34">
        <v>1008</v>
      </c>
      <c r="I1010" s="78"/>
      <c r="J1010" s="78"/>
      <c r="K1010" s="78"/>
      <c r="L1010" s="78"/>
      <c r="V1010" s="78"/>
      <c r="W1010" s="78"/>
      <c r="X1010" s="78"/>
    </row>
    <row r="1011" spans="1:24">
      <c r="A1011" s="34">
        <v>1009</v>
      </c>
      <c r="I1011" s="78"/>
      <c r="J1011" s="78"/>
      <c r="K1011" s="78"/>
      <c r="L1011" s="78"/>
      <c r="V1011" s="78"/>
      <c r="W1011" s="78"/>
      <c r="X1011" s="78"/>
    </row>
    <row r="1012" spans="1:24">
      <c r="A1012" s="34">
        <v>1010</v>
      </c>
      <c r="I1012" s="78"/>
      <c r="J1012" s="78"/>
      <c r="K1012" s="78"/>
      <c r="L1012" s="78"/>
      <c r="V1012" s="78"/>
      <c r="W1012" s="78"/>
      <c r="X1012" s="78"/>
    </row>
    <row r="1013" spans="1:24">
      <c r="A1013" s="34">
        <v>1011</v>
      </c>
      <c r="I1013" s="78"/>
      <c r="J1013" s="78"/>
      <c r="K1013" s="78"/>
      <c r="L1013" s="78"/>
      <c r="V1013" s="78"/>
      <c r="W1013" s="78"/>
      <c r="X1013" s="78"/>
    </row>
    <row r="1014" spans="1:24">
      <c r="A1014" s="34">
        <v>1012</v>
      </c>
      <c r="I1014" s="78"/>
      <c r="J1014" s="78"/>
      <c r="K1014" s="78"/>
      <c r="L1014" s="78"/>
      <c r="V1014" s="78"/>
      <c r="W1014" s="78"/>
      <c r="X1014" s="78"/>
    </row>
    <row r="1015" spans="1:24">
      <c r="A1015" s="34">
        <v>1013</v>
      </c>
      <c r="I1015" s="78"/>
      <c r="J1015" s="78"/>
      <c r="K1015" s="78"/>
      <c r="L1015" s="78"/>
      <c r="V1015" s="78"/>
      <c r="W1015" s="78"/>
      <c r="X1015" s="78"/>
    </row>
    <row r="1016" spans="1:24">
      <c r="A1016" s="34">
        <v>1014</v>
      </c>
      <c r="I1016" s="78"/>
      <c r="J1016" s="78"/>
      <c r="K1016" s="78"/>
      <c r="L1016" s="78"/>
      <c r="V1016" s="78"/>
      <c r="W1016" s="78"/>
      <c r="X1016" s="78"/>
    </row>
    <row r="1017" spans="1:24">
      <c r="A1017" s="34">
        <v>1015</v>
      </c>
      <c r="I1017" s="78"/>
      <c r="J1017" s="78"/>
      <c r="K1017" s="78"/>
      <c r="L1017" s="78"/>
      <c r="V1017" s="78"/>
      <c r="W1017" s="78"/>
      <c r="X1017" s="78"/>
    </row>
    <row r="1018" spans="1:24">
      <c r="A1018" s="34">
        <v>1016</v>
      </c>
      <c r="I1018" s="78"/>
      <c r="J1018" s="78"/>
      <c r="K1018" s="78"/>
      <c r="L1018" s="78"/>
      <c r="V1018" s="78"/>
      <c r="W1018" s="78"/>
      <c r="X1018" s="78"/>
    </row>
    <row r="1019" spans="1:24">
      <c r="A1019" s="34">
        <v>1017</v>
      </c>
      <c r="I1019" s="78"/>
      <c r="J1019" s="78"/>
      <c r="K1019" s="78"/>
      <c r="L1019" s="78"/>
      <c r="V1019" s="78"/>
      <c r="W1019" s="78"/>
      <c r="X1019" s="78"/>
    </row>
    <row r="1020" spans="1:24">
      <c r="A1020" s="34">
        <v>1018</v>
      </c>
      <c r="I1020" s="78"/>
      <c r="J1020" s="78"/>
      <c r="K1020" s="78"/>
      <c r="L1020" s="78"/>
      <c r="V1020" s="78"/>
      <c r="W1020" s="78"/>
      <c r="X1020" s="78"/>
    </row>
    <row r="1021" spans="1:24">
      <c r="A1021" s="34">
        <v>1019</v>
      </c>
      <c r="I1021" s="78"/>
      <c r="J1021" s="78"/>
      <c r="K1021" s="78"/>
      <c r="L1021" s="78"/>
      <c r="V1021" s="78"/>
      <c r="W1021" s="78"/>
      <c r="X1021" s="78"/>
    </row>
    <row r="1022" spans="1:24">
      <c r="A1022" s="34">
        <v>1020</v>
      </c>
      <c r="I1022" s="78"/>
      <c r="J1022" s="78"/>
      <c r="K1022" s="78"/>
      <c r="L1022" s="78"/>
      <c r="V1022" s="78"/>
      <c r="W1022" s="78"/>
      <c r="X1022" s="78"/>
    </row>
    <row r="1023" spans="1:24">
      <c r="A1023" s="34">
        <v>1021</v>
      </c>
      <c r="I1023" s="78"/>
      <c r="J1023" s="78"/>
      <c r="K1023" s="78"/>
      <c r="L1023" s="78"/>
      <c r="V1023" s="78"/>
      <c r="W1023" s="78"/>
      <c r="X1023" s="78"/>
    </row>
    <row r="1024" spans="1:24">
      <c r="A1024" s="34">
        <v>1022</v>
      </c>
      <c r="I1024" s="78"/>
      <c r="J1024" s="78"/>
      <c r="K1024" s="78"/>
      <c r="L1024" s="78"/>
      <c r="V1024" s="78"/>
      <c r="W1024" s="78"/>
      <c r="X1024" s="78"/>
    </row>
    <row r="1025" spans="1:24">
      <c r="A1025" s="34">
        <v>1023</v>
      </c>
      <c r="I1025" s="78"/>
      <c r="J1025" s="78"/>
      <c r="K1025" s="78"/>
      <c r="L1025" s="78"/>
      <c r="V1025" s="78"/>
      <c r="W1025" s="78"/>
      <c r="X1025" s="78"/>
    </row>
    <row r="1026" spans="1:24">
      <c r="A1026" s="34">
        <v>1024</v>
      </c>
      <c r="I1026" s="78"/>
      <c r="J1026" s="78"/>
      <c r="K1026" s="78"/>
      <c r="L1026" s="78"/>
      <c r="V1026" s="78"/>
      <c r="W1026" s="78"/>
      <c r="X1026" s="78"/>
    </row>
    <row r="1027" spans="1:24">
      <c r="A1027" s="34">
        <v>1025</v>
      </c>
      <c r="I1027" s="78"/>
      <c r="J1027" s="78"/>
      <c r="K1027" s="78"/>
      <c r="L1027" s="78"/>
      <c r="V1027" s="78"/>
      <c r="W1027" s="78"/>
      <c r="X1027" s="78"/>
    </row>
    <row r="1028" spans="1:24">
      <c r="A1028" s="34">
        <v>1026</v>
      </c>
      <c r="I1028" s="78"/>
      <c r="J1028" s="78"/>
      <c r="K1028" s="78"/>
      <c r="L1028" s="78"/>
      <c r="V1028" s="78"/>
      <c r="W1028" s="78"/>
      <c r="X1028" s="78"/>
    </row>
    <row r="1029" spans="1:24">
      <c r="A1029" s="34">
        <v>1027</v>
      </c>
      <c r="I1029" s="78"/>
      <c r="J1029" s="78"/>
      <c r="K1029" s="78"/>
      <c r="L1029" s="78"/>
      <c r="V1029" s="78"/>
      <c r="W1029" s="78"/>
      <c r="X1029" s="78"/>
    </row>
    <row r="1030" spans="1:24">
      <c r="A1030" s="34">
        <v>1028</v>
      </c>
      <c r="I1030" s="78"/>
      <c r="J1030" s="78"/>
      <c r="K1030" s="78"/>
      <c r="L1030" s="78"/>
      <c r="V1030" s="78"/>
      <c r="W1030" s="78"/>
      <c r="X1030" s="78"/>
    </row>
    <row r="1031" spans="1:24">
      <c r="A1031" s="34">
        <v>1029</v>
      </c>
      <c r="I1031" s="78"/>
      <c r="J1031" s="78"/>
      <c r="K1031" s="78"/>
      <c r="L1031" s="78"/>
      <c r="V1031" s="78"/>
      <c r="W1031" s="78"/>
      <c r="X1031" s="78"/>
    </row>
    <row r="1032" spans="1:24">
      <c r="A1032" s="34">
        <v>1030</v>
      </c>
      <c r="I1032" s="78"/>
      <c r="J1032" s="78"/>
      <c r="K1032" s="78"/>
      <c r="L1032" s="78"/>
      <c r="V1032" s="78"/>
      <c r="W1032" s="78"/>
      <c r="X1032" s="78"/>
    </row>
    <row r="1033" spans="1:24">
      <c r="A1033" s="34">
        <v>1031</v>
      </c>
      <c r="I1033" s="78"/>
      <c r="J1033" s="78"/>
      <c r="K1033" s="78"/>
      <c r="L1033" s="78"/>
      <c r="V1033" s="78"/>
      <c r="W1033" s="78"/>
      <c r="X1033" s="78"/>
    </row>
    <row r="1034" spans="1:24">
      <c r="A1034" s="34">
        <v>1032</v>
      </c>
      <c r="I1034" s="78"/>
      <c r="J1034" s="78"/>
      <c r="K1034" s="78"/>
      <c r="L1034" s="78"/>
      <c r="V1034" s="78"/>
      <c r="W1034" s="78"/>
      <c r="X1034" s="78"/>
    </row>
    <row r="1035" spans="1:24">
      <c r="A1035" s="34">
        <v>1033</v>
      </c>
      <c r="I1035" s="78"/>
      <c r="J1035" s="78"/>
      <c r="K1035" s="78"/>
      <c r="L1035" s="78"/>
      <c r="V1035" s="78"/>
      <c r="W1035" s="78"/>
      <c r="X1035" s="78"/>
    </row>
    <row r="1036" spans="1:24">
      <c r="A1036" s="34">
        <v>1034</v>
      </c>
      <c r="I1036" s="78"/>
      <c r="J1036" s="78"/>
      <c r="K1036" s="78"/>
      <c r="L1036" s="78"/>
      <c r="V1036" s="78"/>
      <c r="W1036" s="78"/>
      <c r="X1036" s="78"/>
    </row>
    <row r="1037" spans="1:24">
      <c r="A1037" s="34">
        <v>1035</v>
      </c>
      <c r="I1037" s="78"/>
      <c r="J1037" s="78"/>
      <c r="K1037" s="78"/>
      <c r="L1037" s="78"/>
      <c r="V1037" s="78"/>
      <c r="W1037" s="78"/>
      <c r="X1037" s="78"/>
    </row>
    <row r="1038" spans="1:24">
      <c r="A1038" s="34">
        <v>1036</v>
      </c>
      <c r="I1038" s="78"/>
      <c r="J1038" s="78"/>
      <c r="K1038" s="78"/>
      <c r="L1038" s="78"/>
      <c r="V1038" s="78"/>
      <c r="W1038" s="78"/>
      <c r="X1038" s="78"/>
    </row>
    <row r="1039" spans="1:24">
      <c r="A1039" s="34">
        <v>1037</v>
      </c>
      <c r="I1039" s="78"/>
      <c r="J1039" s="78"/>
      <c r="K1039" s="78"/>
      <c r="L1039" s="78"/>
      <c r="V1039" s="78"/>
      <c r="W1039" s="78"/>
      <c r="X1039" s="78"/>
    </row>
    <row r="1040" spans="1:24">
      <c r="A1040" s="34">
        <v>1038</v>
      </c>
      <c r="I1040" s="78"/>
      <c r="J1040" s="78"/>
      <c r="K1040" s="78"/>
      <c r="L1040" s="78"/>
      <c r="V1040" s="78"/>
      <c r="W1040" s="78"/>
      <c r="X1040" s="78"/>
    </row>
    <row r="1041" spans="1:24">
      <c r="A1041" s="34">
        <v>1039</v>
      </c>
      <c r="I1041" s="78"/>
      <c r="J1041" s="78"/>
      <c r="K1041" s="78"/>
      <c r="L1041" s="78"/>
      <c r="V1041" s="78"/>
      <c r="W1041" s="78"/>
      <c r="X1041" s="78"/>
    </row>
    <row r="1042" spans="1:24">
      <c r="A1042" s="34">
        <v>1040</v>
      </c>
      <c r="I1042" s="78"/>
      <c r="J1042" s="78"/>
      <c r="K1042" s="78"/>
      <c r="L1042" s="78"/>
      <c r="V1042" s="78"/>
      <c r="W1042" s="78"/>
      <c r="X1042" s="78"/>
    </row>
    <row r="1043" spans="1:24">
      <c r="A1043" s="34">
        <v>1041</v>
      </c>
      <c r="I1043" s="78"/>
      <c r="J1043" s="78"/>
      <c r="K1043" s="78"/>
      <c r="L1043" s="78"/>
      <c r="V1043" s="78"/>
      <c r="W1043" s="78"/>
      <c r="X1043" s="78"/>
    </row>
    <row r="1044" spans="1:24">
      <c r="A1044" s="34">
        <v>1042</v>
      </c>
      <c r="I1044" s="78"/>
      <c r="J1044" s="78"/>
      <c r="K1044" s="78"/>
      <c r="L1044" s="78"/>
      <c r="V1044" s="78"/>
      <c r="W1044" s="78"/>
      <c r="X1044" s="78"/>
    </row>
    <row r="1045" spans="1:24">
      <c r="A1045" s="34">
        <v>1043</v>
      </c>
      <c r="I1045" s="78"/>
      <c r="J1045" s="78"/>
      <c r="K1045" s="78"/>
      <c r="L1045" s="78"/>
      <c r="V1045" s="78"/>
      <c r="W1045" s="78"/>
      <c r="X1045" s="78"/>
    </row>
    <row r="1046" spans="1:24">
      <c r="A1046" s="34">
        <v>1044</v>
      </c>
      <c r="I1046" s="78"/>
      <c r="J1046" s="78"/>
      <c r="K1046" s="78"/>
      <c r="L1046" s="78"/>
      <c r="V1046" s="78"/>
      <c r="W1046" s="78"/>
      <c r="X1046" s="78"/>
    </row>
    <row r="1047" spans="1:24">
      <c r="A1047" s="34">
        <v>1045</v>
      </c>
      <c r="I1047" s="78"/>
      <c r="J1047" s="78"/>
      <c r="K1047" s="78"/>
      <c r="L1047" s="78"/>
      <c r="V1047" s="78"/>
      <c r="W1047" s="78"/>
      <c r="X1047" s="78"/>
    </row>
    <row r="1048" spans="1:24">
      <c r="A1048" s="34">
        <v>1046</v>
      </c>
      <c r="I1048" s="78"/>
      <c r="J1048" s="78"/>
      <c r="K1048" s="78"/>
      <c r="L1048" s="78"/>
      <c r="V1048" s="78"/>
      <c r="W1048" s="78"/>
      <c r="X1048" s="78"/>
    </row>
    <row r="1049" spans="1:24">
      <c r="A1049" s="34">
        <v>1047</v>
      </c>
      <c r="I1049" s="78"/>
      <c r="J1049" s="78"/>
      <c r="K1049" s="78"/>
      <c r="L1049" s="78"/>
      <c r="V1049" s="78"/>
      <c r="W1049" s="78"/>
      <c r="X1049" s="78"/>
    </row>
    <row r="1050" spans="1:24">
      <c r="A1050" s="34">
        <v>1048</v>
      </c>
      <c r="I1050" s="78"/>
      <c r="J1050" s="78"/>
      <c r="K1050" s="78"/>
      <c r="L1050" s="78"/>
      <c r="V1050" s="78"/>
      <c r="W1050" s="78"/>
      <c r="X1050" s="78"/>
    </row>
    <row r="1051" spans="1:24">
      <c r="A1051" s="34">
        <v>1049</v>
      </c>
      <c r="I1051" s="78"/>
      <c r="J1051" s="78"/>
      <c r="K1051" s="78"/>
      <c r="L1051" s="78"/>
      <c r="V1051" s="78"/>
      <c r="W1051" s="78"/>
      <c r="X1051" s="78"/>
    </row>
    <row r="1052" spans="1:24">
      <c r="A1052" s="34">
        <v>1050</v>
      </c>
      <c r="I1052" s="78"/>
      <c r="J1052" s="78"/>
      <c r="K1052" s="78"/>
      <c r="L1052" s="78"/>
      <c r="V1052" s="78"/>
      <c r="W1052" s="78"/>
      <c r="X1052" s="78"/>
    </row>
    <row r="1053" spans="1:24">
      <c r="A1053" s="34">
        <v>1051</v>
      </c>
      <c r="I1053" s="78"/>
      <c r="J1053" s="78"/>
      <c r="K1053" s="78"/>
      <c r="L1053" s="78"/>
      <c r="V1053" s="78"/>
      <c r="W1053" s="78"/>
      <c r="X1053" s="78"/>
    </row>
    <row r="1054" spans="1:24">
      <c r="A1054" s="34">
        <v>1052</v>
      </c>
      <c r="I1054" s="78"/>
      <c r="J1054" s="78"/>
      <c r="K1054" s="78"/>
      <c r="L1054" s="78"/>
      <c r="V1054" s="78"/>
      <c r="W1054" s="78"/>
      <c r="X1054" s="78"/>
    </row>
    <row r="1055" spans="1:24">
      <c r="A1055" s="34">
        <v>1053</v>
      </c>
      <c r="I1055" s="78"/>
      <c r="J1055" s="78"/>
      <c r="K1055" s="78"/>
      <c r="L1055" s="78"/>
      <c r="V1055" s="78"/>
      <c r="W1055" s="78"/>
      <c r="X1055" s="78"/>
    </row>
    <row r="1056" spans="1:24">
      <c r="A1056" s="34">
        <v>1054</v>
      </c>
      <c r="I1056" s="78"/>
      <c r="J1056" s="78"/>
      <c r="K1056" s="78"/>
      <c r="L1056" s="78"/>
      <c r="V1056" s="78"/>
      <c r="W1056" s="78"/>
      <c r="X1056" s="78"/>
    </row>
    <row r="1057" spans="1:24">
      <c r="A1057" s="34">
        <v>1055</v>
      </c>
      <c r="I1057" s="78"/>
      <c r="J1057" s="78"/>
      <c r="K1057" s="78"/>
      <c r="L1057" s="78"/>
      <c r="V1057" s="78"/>
      <c r="W1057" s="78"/>
      <c r="X1057" s="78"/>
    </row>
    <row r="1058" spans="1:24">
      <c r="A1058" s="34">
        <v>1056</v>
      </c>
      <c r="I1058" s="78"/>
      <c r="J1058" s="78"/>
      <c r="K1058" s="78"/>
      <c r="L1058" s="78"/>
      <c r="V1058" s="78"/>
      <c r="W1058" s="78"/>
      <c r="X1058" s="78"/>
    </row>
    <row r="1059" spans="1:24">
      <c r="A1059" s="34">
        <v>1057</v>
      </c>
      <c r="I1059" s="78"/>
      <c r="J1059" s="78"/>
      <c r="K1059" s="78"/>
      <c r="L1059" s="78"/>
      <c r="V1059" s="78"/>
      <c r="W1059" s="78"/>
      <c r="X1059" s="78"/>
    </row>
    <row r="1060" spans="1:24">
      <c r="A1060" s="34">
        <v>1058</v>
      </c>
      <c r="I1060" s="78"/>
      <c r="J1060" s="78"/>
      <c r="K1060" s="78"/>
      <c r="L1060" s="78"/>
      <c r="V1060" s="78"/>
      <c r="W1060" s="78"/>
      <c r="X1060" s="78"/>
    </row>
    <row r="1061" spans="1:24">
      <c r="A1061" s="34">
        <v>1059</v>
      </c>
      <c r="I1061" s="78"/>
      <c r="J1061" s="78"/>
      <c r="K1061" s="78"/>
      <c r="L1061" s="78"/>
      <c r="V1061" s="78"/>
      <c r="W1061" s="78"/>
      <c r="X1061" s="78"/>
    </row>
    <row r="1062" spans="1:24">
      <c r="A1062" s="34">
        <v>1060</v>
      </c>
      <c r="I1062" s="78"/>
      <c r="J1062" s="78"/>
      <c r="K1062" s="78"/>
      <c r="L1062" s="78"/>
      <c r="V1062" s="78"/>
      <c r="W1062" s="78"/>
      <c r="X1062" s="78"/>
    </row>
    <row r="1063" spans="1:24">
      <c r="A1063" s="34">
        <v>1061</v>
      </c>
      <c r="I1063" s="78"/>
      <c r="J1063" s="78"/>
      <c r="K1063" s="78"/>
      <c r="L1063" s="78"/>
      <c r="V1063" s="78"/>
      <c r="W1063" s="78"/>
      <c r="X1063" s="78"/>
    </row>
    <row r="1064" spans="1:24">
      <c r="A1064" s="34">
        <v>1062</v>
      </c>
      <c r="I1064" s="78"/>
      <c r="J1064" s="78"/>
      <c r="K1064" s="78"/>
      <c r="L1064" s="78"/>
      <c r="V1064" s="78"/>
      <c r="W1064" s="78"/>
      <c r="X1064" s="78"/>
    </row>
    <row r="1065" spans="1:24">
      <c r="A1065" s="34">
        <v>1063</v>
      </c>
      <c r="I1065" s="78"/>
      <c r="J1065" s="78"/>
      <c r="K1065" s="78"/>
      <c r="L1065" s="78"/>
      <c r="V1065" s="78"/>
      <c r="W1065" s="78"/>
      <c r="X1065" s="78"/>
    </row>
    <row r="1066" spans="1:24">
      <c r="A1066" s="34">
        <v>1064</v>
      </c>
      <c r="I1066" s="78"/>
      <c r="J1066" s="78"/>
      <c r="K1066" s="78"/>
      <c r="L1066" s="78"/>
      <c r="V1066" s="78"/>
      <c r="W1066" s="78"/>
      <c r="X1066" s="78"/>
    </row>
    <row r="1067" spans="1:24">
      <c r="A1067" s="34">
        <v>1065</v>
      </c>
      <c r="I1067" s="78"/>
      <c r="J1067" s="78"/>
      <c r="K1067" s="78"/>
      <c r="L1067" s="78"/>
      <c r="V1067" s="78"/>
      <c r="W1067" s="78"/>
      <c r="X1067" s="78"/>
    </row>
    <row r="1068" spans="1:24">
      <c r="A1068" s="34">
        <v>1066</v>
      </c>
      <c r="I1068" s="78"/>
      <c r="J1068" s="78"/>
      <c r="K1068" s="78"/>
      <c r="L1068" s="78"/>
      <c r="V1068" s="78"/>
      <c r="W1068" s="78"/>
      <c r="X1068" s="78"/>
    </row>
    <row r="1069" spans="1:24">
      <c r="A1069" s="34">
        <v>1067</v>
      </c>
      <c r="I1069" s="78"/>
      <c r="J1069" s="78"/>
      <c r="K1069" s="78"/>
      <c r="L1069" s="78"/>
      <c r="V1069" s="78"/>
      <c r="W1069" s="78"/>
      <c r="X1069" s="78"/>
    </row>
    <row r="1070" spans="1:24">
      <c r="A1070" s="34">
        <v>1068</v>
      </c>
      <c r="I1070" s="78"/>
      <c r="J1070" s="78"/>
      <c r="K1070" s="78"/>
      <c r="L1070" s="78"/>
      <c r="V1070" s="78"/>
      <c r="W1070" s="78"/>
      <c r="X1070" s="78"/>
    </row>
    <row r="1071" spans="1:24">
      <c r="A1071" s="34">
        <v>1069</v>
      </c>
      <c r="I1071" s="78"/>
      <c r="J1071" s="78"/>
      <c r="K1071" s="78"/>
      <c r="L1071" s="78"/>
      <c r="V1071" s="78"/>
      <c r="W1071" s="78"/>
      <c r="X1071" s="78"/>
    </row>
    <row r="1072" spans="1:24">
      <c r="A1072" s="34">
        <v>1070</v>
      </c>
      <c r="I1072" s="78"/>
      <c r="J1072" s="78"/>
      <c r="K1072" s="78"/>
      <c r="L1072" s="78"/>
      <c r="V1072" s="78"/>
      <c r="W1072" s="78"/>
      <c r="X1072" s="78"/>
    </row>
    <row r="1073" spans="1:24">
      <c r="A1073" s="34">
        <v>1071</v>
      </c>
      <c r="I1073" s="78"/>
      <c r="J1073" s="78"/>
      <c r="K1073" s="78"/>
      <c r="L1073" s="78"/>
      <c r="V1073" s="78"/>
      <c r="W1073" s="78"/>
      <c r="X1073" s="78"/>
    </row>
    <row r="1074" spans="1:24">
      <c r="A1074" s="34">
        <v>1072</v>
      </c>
      <c r="I1074" s="78"/>
      <c r="J1074" s="78"/>
      <c r="K1074" s="78"/>
      <c r="L1074" s="78"/>
      <c r="V1074" s="78"/>
      <c r="W1074" s="78"/>
      <c r="X1074" s="78"/>
    </row>
    <row r="1075" spans="1:24">
      <c r="A1075" s="34">
        <v>1073</v>
      </c>
      <c r="I1075" s="78"/>
      <c r="J1075" s="78"/>
      <c r="K1075" s="78"/>
      <c r="L1075" s="78"/>
      <c r="V1075" s="78"/>
      <c r="W1075" s="78"/>
      <c r="X1075" s="78"/>
    </row>
    <row r="1076" spans="1:24">
      <c r="A1076" s="34">
        <v>1074</v>
      </c>
      <c r="I1076" s="78"/>
      <c r="J1076" s="78"/>
      <c r="K1076" s="78"/>
      <c r="L1076" s="78"/>
      <c r="V1076" s="78"/>
      <c r="W1076" s="78"/>
      <c r="X1076" s="78"/>
    </row>
    <row r="1077" spans="1:24">
      <c r="A1077" s="34">
        <v>1075</v>
      </c>
      <c r="I1077" s="78"/>
      <c r="J1077" s="78"/>
      <c r="K1077" s="78"/>
      <c r="L1077" s="78"/>
      <c r="V1077" s="78"/>
      <c r="W1077" s="78"/>
      <c r="X1077" s="78"/>
    </row>
    <row r="1078" spans="1:24">
      <c r="A1078" s="34">
        <v>1076</v>
      </c>
      <c r="I1078" s="78"/>
      <c r="J1078" s="78"/>
      <c r="K1078" s="78"/>
      <c r="L1078" s="78"/>
      <c r="V1078" s="78"/>
      <c r="W1078" s="78"/>
      <c r="X1078" s="78"/>
    </row>
    <row r="1079" spans="1:24">
      <c r="A1079" s="34">
        <v>1077</v>
      </c>
      <c r="I1079" s="78"/>
      <c r="J1079" s="78"/>
      <c r="K1079" s="78"/>
      <c r="L1079" s="78"/>
      <c r="V1079" s="78"/>
      <c r="W1079" s="78"/>
      <c r="X1079" s="78"/>
    </row>
    <row r="1080" spans="1:24">
      <c r="A1080" s="34">
        <v>1078</v>
      </c>
      <c r="I1080" s="78"/>
      <c r="J1080" s="78"/>
      <c r="K1080" s="78"/>
      <c r="L1080" s="78"/>
      <c r="V1080" s="78"/>
      <c r="W1080" s="78"/>
      <c r="X1080" s="78"/>
    </row>
    <row r="1081" spans="1:24">
      <c r="A1081" s="34">
        <v>1079</v>
      </c>
      <c r="I1081" s="78"/>
      <c r="J1081" s="78"/>
      <c r="K1081" s="78"/>
      <c r="L1081" s="78"/>
      <c r="V1081" s="78"/>
      <c r="W1081" s="78"/>
      <c r="X1081" s="78"/>
    </row>
    <row r="1082" spans="1:24">
      <c r="A1082" s="34">
        <v>1080</v>
      </c>
      <c r="I1082" s="78"/>
      <c r="J1082" s="78"/>
      <c r="K1082" s="78"/>
      <c r="L1082" s="78"/>
      <c r="V1082" s="78"/>
      <c r="W1082" s="78"/>
      <c r="X1082" s="78"/>
    </row>
    <row r="1083" spans="1:24">
      <c r="A1083" s="34">
        <v>1081</v>
      </c>
      <c r="I1083" s="78"/>
      <c r="J1083" s="78"/>
      <c r="K1083" s="78"/>
      <c r="L1083" s="78"/>
      <c r="V1083" s="78"/>
      <c r="W1083" s="78"/>
      <c r="X1083" s="78"/>
    </row>
    <row r="1084" spans="1:24">
      <c r="A1084" s="34">
        <v>1082</v>
      </c>
      <c r="I1084" s="78"/>
      <c r="J1084" s="78"/>
      <c r="K1084" s="78"/>
      <c r="L1084" s="78"/>
      <c r="V1084" s="78"/>
      <c r="W1084" s="78"/>
      <c r="X1084" s="78"/>
    </row>
    <row r="1085" spans="1:24">
      <c r="A1085" s="34">
        <v>1083</v>
      </c>
      <c r="I1085" s="78"/>
      <c r="J1085" s="78"/>
      <c r="K1085" s="78"/>
      <c r="L1085" s="78"/>
      <c r="V1085" s="78"/>
      <c r="W1085" s="78"/>
      <c r="X1085" s="78"/>
    </row>
    <row r="1086" spans="1:24">
      <c r="A1086" s="34">
        <v>1084</v>
      </c>
      <c r="I1086" s="78"/>
      <c r="J1086" s="78"/>
      <c r="K1086" s="78"/>
      <c r="L1086" s="78"/>
      <c r="V1086" s="78"/>
      <c r="W1086" s="78"/>
      <c r="X1086" s="78"/>
    </row>
    <row r="1087" spans="1:24">
      <c r="A1087" s="34">
        <v>1085</v>
      </c>
      <c r="I1087" s="78"/>
      <c r="J1087" s="78"/>
      <c r="K1087" s="78"/>
      <c r="L1087" s="78"/>
      <c r="V1087" s="78"/>
      <c r="W1087" s="78"/>
      <c r="X1087" s="78"/>
    </row>
    <row r="1088" spans="1:24">
      <c r="A1088" s="34">
        <v>1086</v>
      </c>
      <c r="I1088" s="78"/>
      <c r="J1088" s="78"/>
      <c r="K1088" s="78"/>
      <c r="L1088" s="78"/>
      <c r="V1088" s="78"/>
      <c r="W1088" s="78"/>
      <c r="X1088" s="78"/>
    </row>
    <row r="1089" spans="1:24">
      <c r="A1089" s="34">
        <v>1087</v>
      </c>
      <c r="I1089" s="78"/>
      <c r="J1089" s="78"/>
      <c r="K1089" s="78"/>
      <c r="L1089" s="78"/>
      <c r="V1089" s="78"/>
      <c r="W1089" s="78"/>
      <c r="X1089" s="78"/>
    </row>
    <row r="1090" spans="1:24">
      <c r="A1090" s="34">
        <v>1088</v>
      </c>
      <c r="I1090" s="78"/>
      <c r="J1090" s="78"/>
      <c r="K1090" s="78"/>
      <c r="L1090" s="78"/>
      <c r="V1090" s="78"/>
      <c r="W1090" s="78"/>
      <c r="X1090" s="78"/>
    </row>
    <row r="1091" spans="1:24">
      <c r="A1091" s="34">
        <v>1089</v>
      </c>
      <c r="I1091" s="78"/>
      <c r="J1091" s="78"/>
      <c r="K1091" s="78"/>
      <c r="L1091" s="78"/>
      <c r="V1091" s="78"/>
      <c r="W1091" s="78"/>
      <c r="X1091" s="78"/>
    </row>
    <row r="1092" spans="1:24">
      <c r="A1092" s="34">
        <v>1090</v>
      </c>
      <c r="I1092" s="78"/>
      <c r="J1092" s="78"/>
      <c r="K1092" s="78"/>
      <c r="L1092" s="78"/>
      <c r="V1092" s="78"/>
      <c r="W1092" s="78"/>
      <c r="X1092" s="78"/>
    </row>
    <row r="1093" spans="1:24">
      <c r="A1093" s="34">
        <v>1091</v>
      </c>
      <c r="I1093" s="78"/>
      <c r="J1093" s="78"/>
      <c r="K1093" s="78"/>
      <c r="L1093" s="78"/>
      <c r="V1093" s="78"/>
      <c r="W1093" s="78"/>
      <c r="X1093" s="78"/>
    </row>
    <row r="1094" spans="1:24">
      <c r="A1094" s="34">
        <v>1092</v>
      </c>
      <c r="I1094" s="78"/>
      <c r="J1094" s="78"/>
      <c r="K1094" s="78"/>
      <c r="L1094" s="78"/>
      <c r="V1094" s="78"/>
      <c r="W1094" s="78"/>
      <c r="X1094" s="78"/>
    </row>
    <row r="1095" spans="1:24">
      <c r="A1095" s="34">
        <v>1093</v>
      </c>
      <c r="I1095" s="78"/>
      <c r="J1095" s="78"/>
      <c r="K1095" s="78"/>
      <c r="L1095" s="78"/>
      <c r="V1095" s="78"/>
      <c r="W1095" s="78"/>
      <c r="X1095" s="78"/>
    </row>
    <row r="1096" spans="1:24">
      <c r="A1096" s="34">
        <v>1094</v>
      </c>
      <c r="I1096" s="78"/>
      <c r="J1096" s="78"/>
      <c r="K1096" s="78"/>
      <c r="L1096" s="78"/>
      <c r="V1096" s="78"/>
      <c r="W1096" s="78"/>
      <c r="X1096" s="78"/>
    </row>
    <row r="1097" spans="1:24">
      <c r="A1097" s="34">
        <v>1095</v>
      </c>
      <c r="I1097" s="78"/>
      <c r="J1097" s="78"/>
      <c r="K1097" s="78"/>
      <c r="L1097" s="78"/>
      <c r="V1097" s="78"/>
      <c r="W1097" s="78"/>
      <c r="X1097" s="78"/>
    </row>
    <row r="1098" spans="1:24">
      <c r="A1098" s="34">
        <v>1096</v>
      </c>
      <c r="I1098" s="78"/>
      <c r="J1098" s="78"/>
      <c r="K1098" s="78"/>
      <c r="L1098" s="78"/>
      <c r="V1098" s="78"/>
      <c r="W1098" s="78"/>
      <c r="X1098" s="78"/>
    </row>
    <row r="1099" spans="1:24">
      <c r="A1099" s="34">
        <v>1097</v>
      </c>
      <c r="I1099" s="78"/>
      <c r="J1099" s="78"/>
      <c r="K1099" s="78"/>
      <c r="L1099" s="78"/>
      <c r="V1099" s="78"/>
      <c r="W1099" s="78"/>
      <c r="X1099" s="78"/>
    </row>
    <row r="1100" spans="1:24">
      <c r="A1100" s="34">
        <v>1098</v>
      </c>
      <c r="I1100" s="78"/>
      <c r="J1100" s="78"/>
      <c r="K1100" s="78"/>
      <c r="L1100" s="78"/>
      <c r="V1100" s="78"/>
      <c r="W1100" s="78"/>
      <c r="X1100" s="78"/>
    </row>
    <row r="1101" spans="1:24">
      <c r="A1101" s="34">
        <v>1099</v>
      </c>
      <c r="I1101" s="78"/>
      <c r="J1101" s="78"/>
      <c r="K1101" s="78"/>
      <c r="L1101" s="78"/>
      <c r="V1101" s="78"/>
      <c r="W1101" s="78"/>
      <c r="X1101" s="78"/>
    </row>
    <row r="1102" spans="1:24">
      <c r="A1102" s="34">
        <v>1100</v>
      </c>
      <c r="I1102" s="78"/>
      <c r="J1102" s="78"/>
      <c r="K1102" s="78"/>
      <c r="L1102" s="78"/>
      <c r="V1102" s="78"/>
      <c r="W1102" s="78"/>
      <c r="X1102" s="78"/>
    </row>
    <row r="1103" spans="1:24">
      <c r="A1103" s="34">
        <v>1101</v>
      </c>
      <c r="I1103" s="78"/>
      <c r="J1103" s="78"/>
      <c r="K1103" s="78"/>
      <c r="L1103" s="78"/>
      <c r="V1103" s="78"/>
      <c r="W1103" s="78"/>
      <c r="X1103" s="78"/>
    </row>
    <row r="1104" spans="1:24">
      <c r="A1104" s="34">
        <v>1102</v>
      </c>
      <c r="I1104" s="78"/>
      <c r="J1104" s="78"/>
      <c r="K1104" s="78"/>
      <c r="L1104" s="78"/>
      <c r="V1104" s="78"/>
      <c r="W1104" s="78"/>
      <c r="X1104" s="78"/>
    </row>
    <row r="1105" spans="1:24">
      <c r="A1105" s="34">
        <v>1103</v>
      </c>
      <c r="I1105" s="78"/>
      <c r="J1105" s="78"/>
      <c r="K1105" s="78"/>
      <c r="L1105" s="78"/>
      <c r="V1105" s="78"/>
      <c r="W1105" s="78"/>
      <c r="X1105" s="78"/>
    </row>
    <row r="1106" spans="1:24">
      <c r="A1106" s="34">
        <v>1104</v>
      </c>
      <c r="I1106" s="78"/>
      <c r="J1106" s="78"/>
      <c r="K1106" s="78"/>
      <c r="L1106" s="78"/>
      <c r="V1106" s="78"/>
      <c r="W1106" s="78"/>
      <c r="X1106" s="78"/>
    </row>
    <row r="1107" spans="1:24">
      <c r="A1107" s="34">
        <v>1105</v>
      </c>
      <c r="I1107" s="78"/>
      <c r="J1107" s="78"/>
      <c r="K1107" s="78"/>
      <c r="L1107" s="78"/>
      <c r="V1107" s="78"/>
      <c r="W1107" s="78"/>
      <c r="X1107" s="78"/>
    </row>
    <row r="1108" spans="1:24">
      <c r="A1108" s="34">
        <v>1106</v>
      </c>
      <c r="I1108" s="78"/>
      <c r="J1108" s="78"/>
      <c r="K1108" s="78"/>
      <c r="L1108" s="78"/>
      <c r="V1108" s="78"/>
      <c r="W1108" s="78"/>
      <c r="X1108" s="78"/>
    </row>
    <row r="1109" spans="1:24">
      <c r="A1109" s="34">
        <v>1107</v>
      </c>
      <c r="I1109" s="78"/>
      <c r="J1109" s="78"/>
      <c r="K1109" s="78"/>
      <c r="L1109" s="78"/>
      <c r="V1109" s="78"/>
      <c r="W1109" s="78"/>
      <c r="X1109" s="78"/>
    </row>
    <row r="1110" spans="1:24">
      <c r="A1110" s="34">
        <v>1108</v>
      </c>
      <c r="I1110" s="78"/>
      <c r="J1110" s="78"/>
      <c r="K1110" s="78"/>
      <c r="L1110" s="78"/>
      <c r="V1110" s="78"/>
      <c r="W1110" s="78"/>
      <c r="X1110" s="78"/>
    </row>
    <row r="1111" spans="1:24">
      <c r="A1111" s="34">
        <v>1109</v>
      </c>
      <c r="I1111" s="78"/>
      <c r="J1111" s="78"/>
      <c r="K1111" s="78"/>
      <c r="L1111" s="78"/>
      <c r="V1111" s="78"/>
      <c r="W1111" s="78"/>
      <c r="X1111" s="78"/>
    </row>
    <row r="1112" spans="1:24">
      <c r="A1112" s="34">
        <v>1110</v>
      </c>
      <c r="I1112" s="78"/>
      <c r="J1112" s="78"/>
      <c r="K1112" s="78"/>
      <c r="L1112" s="78"/>
      <c r="V1112" s="78"/>
      <c r="W1112" s="78"/>
      <c r="X1112" s="78"/>
    </row>
    <row r="1113" spans="1:24">
      <c r="A1113" s="34">
        <v>1111</v>
      </c>
      <c r="I1113" s="78"/>
      <c r="J1113" s="78"/>
      <c r="K1113" s="78"/>
      <c r="L1113" s="78"/>
      <c r="V1113" s="78"/>
      <c r="W1113" s="78"/>
      <c r="X1113" s="78"/>
    </row>
    <row r="1114" spans="1:24">
      <c r="A1114" s="34">
        <v>1112</v>
      </c>
      <c r="I1114" s="78"/>
      <c r="J1114" s="78"/>
      <c r="K1114" s="78"/>
      <c r="L1114" s="78"/>
      <c r="V1114" s="78"/>
      <c r="W1114" s="78"/>
      <c r="X1114" s="78"/>
    </row>
    <row r="1115" spans="1:24">
      <c r="A1115" s="34">
        <v>1113</v>
      </c>
      <c r="I1115" s="78"/>
      <c r="J1115" s="78"/>
      <c r="K1115" s="78"/>
      <c r="L1115" s="78"/>
      <c r="V1115" s="78"/>
      <c r="W1115" s="78"/>
      <c r="X1115" s="78"/>
    </row>
    <row r="1116" spans="1:24">
      <c r="A1116" s="34">
        <v>1114</v>
      </c>
      <c r="I1116" s="78"/>
      <c r="J1116" s="78"/>
      <c r="K1116" s="78"/>
      <c r="L1116" s="78"/>
      <c r="V1116" s="78"/>
      <c r="W1116" s="78"/>
      <c r="X1116" s="78"/>
    </row>
    <row r="1117" spans="1:24">
      <c r="A1117" s="34">
        <v>1115</v>
      </c>
      <c r="I1117" s="78"/>
      <c r="J1117" s="78"/>
      <c r="K1117" s="78"/>
      <c r="L1117" s="78"/>
      <c r="V1117" s="78"/>
      <c r="W1117" s="78"/>
      <c r="X1117" s="78"/>
    </row>
    <row r="1118" spans="1:24">
      <c r="A1118" s="34">
        <v>1116</v>
      </c>
      <c r="I1118" s="78"/>
      <c r="J1118" s="78"/>
      <c r="K1118" s="78"/>
      <c r="L1118" s="78"/>
      <c r="V1118" s="78"/>
      <c r="W1118" s="78"/>
      <c r="X1118" s="78"/>
    </row>
    <row r="1119" spans="1:24">
      <c r="A1119" s="34">
        <v>1117</v>
      </c>
      <c r="I1119" s="78"/>
      <c r="J1119" s="78"/>
      <c r="K1119" s="78"/>
      <c r="L1119" s="78"/>
      <c r="V1119" s="78"/>
      <c r="W1119" s="78"/>
      <c r="X1119" s="78"/>
    </row>
    <row r="1120" spans="1:24">
      <c r="A1120" s="34">
        <v>1118</v>
      </c>
      <c r="I1120" s="78"/>
      <c r="J1120" s="78"/>
      <c r="K1120" s="78"/>
      <c r="L1120" s="78"/>
      <c r="V1120" s="78"/>
      <c r="W1120" s="78"/>
      <c r="X1120" s="78"/>
    </row>
    <row r="1121" spans="1:24">
      <c r="A1121" s="34">
        <v>1119</v>
      </c>
      <c r="I1121" s="78"/>
      <c r="J1121" s="78"/>
      <c r="K1121" s="78"/>
      <c r="L1121" s="78"/>
      <c r="V1121" s="78"/>
      <c r="W1121" s="78"/>
      <c r="X1121" s="78"/>
    </row>
    <row r="1122" spans="1:24">
      <c r="A1122" s="34">
        <v>1120</v>
      </c>
      <c r="I1122" s="78"/>
      <c r="J1122" s="78"/>
      <c r="K1122" s="78"/>
      <c r="L1122" s="78"/>
      <c r="V1122" s="78"/>
      <c r="W1122" s="78"/>
      <c r="X1122" s="78"/>
    </row>
    <row r="1123" spans="1:24">
      <c r="A1123" s="34">
        <v>1121</v>
      </c>
      <c r="I1123" s="78"/>
      <c r="J1123" s="78"/>
      <c r="K1123" s="78"/>
      <c r="L1123" s="78"/>
      <c r="V1123" s="78"/>
      <c r="W1123" s="78"/>
      <c r="X1123" s="78"/>
    </row>
    <row r="1124" spans="1:24">
      <c r="A1124" s="34">
        <v>1122</v>
      </c>
      <c r="I1124" s="78"/>
      <c r="J1124" s="78"/>
      <c r="K1124" s="78"/>
      <c r="L1124" s="78"/>
      <c r="V1124" s="78"/>
      <c r="W1124" s="78"/>
      <c r="X1124" s="78"/>
    </row>
    <row r="1125" spans="1:24">
      <c r="A1125" s="34">
        <v>1123</v>
      </c>
      <c r="I1125" s="78"/>
      <c r="J1125" s="78"/>
      <c r="K1125" s="78"/>
      <c r="L1125" s="78"/>
      <c r="V1125" s="78"/>
      <c r="W1125" s="78"/>
      <c r="X1125" s="78"/>
    </row>
    <row r="1126" spans="1:24">
      <c r="A1126" s="34">
        <v>1124</v>
      </c>
      <c r="I1126" s="78"/>
      <c r="J1126" s="78"/>
      <c r="K1126" s="78"/>
      <c r="L1126" s="78"/>
      <c r="V1126" s="78"/>
      <c r="W1126" s="78"/>
      <c r="X1126" s="78"/>
    </row>
    <row r="1127" spans="1:24">
      <c r="A1127" s="34">
        <v>1125</v>
      </c>
      <c r="I1127" s="78"/>
      <c r="J1127" s="78"/>
      <c r="K1127" s="78"/>
      <c r="L1127" s="78"/>
      <c r="V1127" s="78"/>
      <c r="W1127" s="78"/>
      <c r="X1127" s="78"/>
    </row>
    <row r="1128" spans="1:24">
      <c r="A1128" s="34">
        <v>1126</v>
      </c>
      <c r="I1128" s="78"/>
      <c r="J1128" s="78"/>
      <c r="K1128" s="78"/>
      <c r="L1128" s="78"/>
      <c r="V1128" s="78"/>
      <c r="W1128" s="78"/>
      <c r="X1128" s="78"/>
    </row>
    <row r="1129" spans="1:24">
      <c r="A1129" s="34">
        <v>1127</v>
      </c>
      <c r="I1129" s="78"/>
      <c r="J1129" s="78"/>
      <c r="K1129" s="78"/>
      <c r="L1129" s="78"/>
      <c r="V1129" s="78"/>
      <c r="W1129" s="78"/>
      <c r="X1129" s="78"/>
    </row>
    <row r="1130" spans="1:24">
      <c r="A1130" s="34">
        <v>1128</v>
      </c>
      <c r="I1130" s="78"/>
      <c r="J1130" s="78"/>
      <c r="K1130" s="78"/>
      <c r="L1130" s="78"/>
      <c r="V1130" s="78"/>
      <c r="W1130" s="78"/>
      <c r="X1130" s="78"/>
    </row>
    <row r="1131" spans="1:24">
      <c r="A1131" s="34">
        <v>1129</v>
      </c>
      <c r="I1131" s="78"/>
      <c r="J1131" s="78"/>
      <c r="K1131" s="78"/>
      <c r="L1131" s="78"/>
      <c r="V1131" s="78"/>
      <c r="W1131" s="78"/>
      <c r="X1131" s="78"/>
    </row>
    <row r="1132" spans="1:24">
      <c r="A1132" s="34">
        <v>1130</v>
      </c>
      <c r="I1132" s="78"/>
      <c r="J1132" s="78"/>
      <c r="K1132" s="78"/>
      <c r="L1132" s="78"/>
      <c r="V1132" s="78"/>
      <c r="W1132" s="78"/>
      <c r="X1132" s="78"/>
    </row>
    <row r="1133" spans="1:24">
      <c r="A1133" s="34">
        <v>1131</v>
      </c>
      <c r="I1133" s="78"/>
      <c r="J1133" s="78"/>
      <c r="K1133" s="78"/>
      <c r="L1133" s="78"/>
      <c r="V1133" s="78"/>
      <c r="W1133" s="78"/>
      <c r="X1133" s="78"/>
    </row>
    <row r="1134" spans="1:24">
      <c r="A1134" s="34">
        <v>1132</v>
      </c>
      <c r="I1134" s="78"/>
      <c r="J1134" s="78"/>
      <c r="K1134" s="78"/>
      <c r="L1134" s="78"/>
      <c r="V1134" s="78"/>
      <c r="W1134" s="78"/>
      <c r="X1134" s="78"/>
    </row>
    <row r="1135" spans="1:24">
      <c r="A1135" s="34">
        <v>1133</v>
      </c>
      <c r="I1135" s="78"/>
      <c r="J1135" s="78"/>
      <c r="K1135" s="78"/>
      <c r="L1135" s="78"/>
      <c r="V1135" s="78"/>
      <c r="W1135" s="78"/>
      <c r="X1135" s="78"/>
    </row>
    <row r="1136" spans="1:24">
      <c r="A1136" s="34">
        <v>1134</v>
      </c>
      <c r="I1136" s="78"/>
      <c r="J1136" s="78"/>
      <c r="K1136" s="78"/>
      <c r="L1136" s="78"/>
      <c r="V1136" s="78"/>
      <c r="W1136" s="78"/>
      <c r="X1136" s="78"/>
    </row>
    <row r="1137" spans="1:24">
      <c r="A1137" s="34">
        <v>1135</v>
      </c>
      <c r="I1137" s="78"/>
      <c r="J1137" s="78"/>
      <c r="K1137" s="78"/>
      <c r="L1137" s="78"/>
      <c r="V1137" s="78"/>
      <c r="W1137" s="78"/>
      <c r="X1137" s="78"/>
    </row>
    <row r="1138" spans="1:24">
      <c r="A1138" s="34">
        <v>1136</v>
      </c>
      <c r="I1138" s="78"/>
      <c r="J1138" s="78"/>
      <c r="K1138" s="78"/>
      <c r="L1138" s="78"/>
      <c r="V1138" s="78"/>
      <c r="W1138" s="78"/>
      <c r="X1138" s="78"/>
    </row>
    <row r="1139" spans="1:24">
      <c r="A1139" s="34">
        <v>1137</v>
      </c>
      <c r="I1139" s="78"/>
      <c r="J1139" s="78"/>
      <c r="K1139" s="78"/>
      <c r="L1139" s="78"/>
      <c r="V1139" s="78"/>
      <c r="W1139" s="78"/>
      <c r="X1139" s="78"/>
    </row>
    <row r="1140" spans="1:24">
      <c r="A1140" s="34">
        <v>1138</v>
      </c>
      <c r="I1140" s="78"/>
      <c r="J1140" s="78"/>
      <c r="K1140" s="78"/>
      <c r="L1140" s="78"/>
      <c r="V1140" s="78"/>
      <c r="W1140" s="78"/>
      <c r="X1140" s="78"/>
    </row>
    <row r="1141" spans="1:24">
      <c r="A1141" s="34">
        <v>1139</v>
      </c>
      <c r="I1141" s="78"/>
      <c r="J1141" s="78"/>
      <c r="K1141" s="78"/>
      <c r="L1141" s="78"/>
      <c r="V1141" s="78"/>
      <c r="W1141" s="78"/>
      <c r="X1141" s="78"/>
    </row>
    <row r="1142" spans="1:24">
      <c r="A1142" s="34">
        <v>1140</v>
      </c>
      <c r="I1142" s="78"/>
      <c r="J1142" s="78"/>
      <c r="K1142" s="78"/>
      <c r="L1142" s="78"/>
      <c r="V1142" s="78"/>
      <c r="W1142" s="78"/>
      <c r="X1142" s="78"/>
    </row>
    <row r="1143" spans="1:24">
      <c r="A1143" s="34">
        <v>1141</v>
      </c>
      <c r="I1143" s="78"/>
      <c r="J1143" s="78"/>
      <c r="K1143" s="78"/>
      <c r="L1143" s="78"/>
      <c r="V1143" s="78"/>
      <c r="W1143" s="78"/>
      <c r="X1143" s="78"/>
    </row>
    <row r="1144" spans="1:24">
      <c r="A1144" s="34">
        <v>1142</v>
      </c>
      <c r="I1144" s="78"/>
      <c r="J1144" s="78"/>
      <c r="K1144" s="78"/>
      <c r="L1144" s="78"/>
      <c r="V1144" s="78"/>
      <c r="W1144" s="78"/>
      <c r="X1144" s="78"/>
    </row>
    <row r="1145" spans="1:24">
      <c r="A1145" s="34">
        <v>1143</v>
      </c>
      <c r="I1145" s="78"/>
      <c r="J1145" s="78"/>
      <c r="K1145" s="78"/>
      <c r="L1145" s="78"/>
      <c r="V1145" s="78"/>
      <c r="W1145" s="78"/>
      <c r="X1145" s="78"/>
    </row>
    <row r="1146" spans="1:24">
      <c r="A1146" s="34">
        <v>1144</v>
      </c>
      <c r="I1146" s="78"/>
      <c r="J1146" s="78"/>
      <c r="K1146" s="78"/>
      <c r="L1146" s="78"/>
      <c r="V1146" s="78"/>
      <c r="W1146" s="78"/>
      <c r="X1146" s="78"/>
    </row>
    <row r="1147" spans="1:24">
      <c r="A1147" s="34">
        <v>1145</v>
      </c>
      <c r="I1147" s="78"/>
      <c r="J1147" s="78"/>
      <c r="K1147" s="78"/>
      <c r="L1147" s="78"/>
      <c r="V1147" s="78"/>
      <c r="W1147" s="78"/>
      <c r="X1147" s="78"/>
    </row>
    <row r="1148" spans="1:24">
      <c r="A1148" s="34">
        <v>1146</v>
      </c>
      <c r="I1148" s="78"/>
      <c r="J1148" s="78"/>
      <c r="K1148" s="78"/>
      <c r="L1148" s="78"/>
      <c r="V1148" s="78"/>
      <c r="W1148" s="78"/>
      <c r="X1148" s="78"/>
    </row>
    <row r="1149" spans="1:24">
      <c r="A1149" s="34">
        <v>1147</v>
      </c>
      <c r="I1149" s="78"/>
      <c r="J1149" s="78"/>
      <c r="K1149" s="78"/>
      <c r="L1149" s="78"/>
      <c r="V1149" s="78"/>
      <c r="W1149" s="78"/>
      <c r="X1149" s="78"/>
    </row>
    <row r="1150" spans="1:24">
      <c r="A1150" s="34">
        <v>1148</v>
      </c>
      <c r="I1150" s="78"/>
      <c r="J1150" s="78"/>
      <c r="K1150" s="78"/>
      <c r="L1150" s="78"/>
      <c r="V1150" s="78"/>
      <c r="W1150" s="78"/>
      <c r="X1150" s="78"/>
    </row>
    <row r="1151" spans="1:24">
      <c r="A1151" s="34">
        <v>1149</v>
      </c>
      <c r="I1151" s="78"/>
      <c r="J1151" s="78"/>
      <c r="K1151" s="78"/>
      <c r="L1151" s="78"/>
      <c r="V1151" s="78"/>
      <c r="W1151" s="78"/>
      <c r="X1151" s="78"/>
    </row>
    <row r="1152" spans="1:24">
      <c r="A1152" s="34">
        <v>1150</v>
      </c>
      <c r="I1152" s="78"/>
      <c r="J1152" s="78"/>
      <c r="K1152" s="78"/>
      <c r="L1152" s="78"/>
      <c r="V1152" s="78"/>
      <c r="W1152" s="78"/>
      <c r="X1152" s="78"/>
    </row>
    <row r="1153" spans="1:24">
      <c r="A1153" s="34">
        <v>1151</v>
      </c>
      <c r="I1153" s="78"/>
      <c r="J1153" s="78"/>
      <c r="K1153" s="78"/>
      <c r="L1153" s="78"/>
      <c r="V1153" s="78"/>
      <c r="W1153" s="78"/>
      <c r="X1153" s="78"/>
    </row>
    <row r="1154" spans="1:24">
      <c r="A1154" s="34">
        <v>1152</v>
      </c>
      <c r="I1154" s="78"/>
      <c r="J1154" s="78"/>
      <c r="K1154" s="78"/>
      <c r="L1154" s="78"/>
      <c r="V1154" s="78"/>
      <c r="W1154" s="78"/>
      <c r="X1154" s="78"/>
    </row>
    <row r="1155" spans="1:24">
      <c r="A1155" s="34">
        <v>1153</v>
      </c>
      <c r="I1155" s="78"/>
      <c r="J1155" s="78"/>
      <c r="K1155" s="78"/>
      <c r="L1155" s="78"/>
      <c r="V1155" s="78"/>
      <c r="W1155" s="78"/>
      <c r="X1155" s="78"/>
    </row>
    <row r="1156" spans="1:24">
      <c r="A1156" s="34">
        <v>1154</v>
      </c>
      <c r="I1156" s="78"/>
      <c r="J1156" s="78"/>
      <c r="K1156" s="78"/>
      <c r="L1156" s="78"/>
      <c r="V1156" s="78"/>
      <c r="W1156" s="78"/>
      <c r="X1156" s="78"/>
    </row>
    <row r="1157" spans="1:24">
      <c r="A1157" s="34">
        <v>1155</v>
      </c>
      <c r="I1157" s="78"/>
      <c r="J1157" s="78"/>
      <c r="K1157" s="78"/>
      <c r="L1157" s="78"/>
      <c r="V1157" s="78"/>
      <c r="W1157" s="78"/>
      <c r="X1157" s="78"/>
    </row>
    <row r="1158" spans="1:24">
      <c r="A1158" s="34">
        <v>1156</v>
      </c>
      <c r="I1158" s="78"/>
      <c r="J1158" s="78"/>
      <c r="K1158" s="78"/>
      <c r="L1158" s="78"/>
      <c r="V1158" s="78"/>
      <c r="W1158" s="78"/>
      <c r="X1158" s="78"/>
    </row>
    <row r="1159" spans="1:24">
      <c r="A1159" s="34">
        <v>1157</v>
      </c>
      <c r="I1159" s="78"/>
      <c r="J1159" s="78"/>
      <c r="K1159" s="78"/>
      <c r="L1159" s="78"/>
      <c r="V1159" s="78"/>
      <c r="W1159" s="78"/>
      <c r="X1159" s="78"/>
    </row>
    <row r="1160" spans="1:24">
      <c r="A1160" s="34">
        <v>1158</v>
      </c>
      <c r="I1160" s="78"/>
      <c r="J1160" s="78"/>
      <c r="K1160" s="78"/>
      <c r="L1160" s="78"/>
      <c r="V1160" s="78"/>
      <c r="W1160" s="78"/>
      <c r="X1160" s="78"/>
    </row>
    <row r="1161" spans="1:24">
      <c r="A1161" s="34">
        <v>1159</v>
      </c>
      <c r="I1161" s="78"/>
      <c r="J1161" s="78"/>
      <c r="K1161" s="78"/>
      <c r="L1161" s="78"/>
      <c r="V1161" s="78"/>
      <c r="W1161" s="78"/>
      <c r="X1161" s="78"/>
    </row>
    <row r="1162" spans="1:24">
      <c r="A1162" s="34">
        <v>1160</v>
      </c>
      <c r="I1162" s="78"/>
      <c r="J1162" s="78"/>
      <c r="K1162" s="78"/>
      <c r="L1162" s="78"/>
      <c r="V1162" s="78"/>
      <c r="W1162" s="78"/>
      <c r="X1162" s="78"/>
    </row>
    <row r="1163" spans="1:24">
      <c r="A1163" s="34">
        <v>1161</v>
      </c>
      <c r="I1163" s="78"/>
      <c r="J1163" s="78"/>
      <c r="K1163" s="78"/>
      <c r="L1163" s="78"/>
      <c r="V1163" s="78"/>
      <c r="W1163" s="78"/>
      <c r="X1163" s="78"/>
    </row>
    <row r="1164" spans="1:24">
      <c r="A1164" s="34">
        <v>1162</v>
      </c>
      <c r="I1164" s="78"/>
      <c r="J1164" s="78"/>
      <c r="K1164" s="78"/>
      <c r="L1164" s="78"/>
      <c r="V1164" s="78"/>
      <c r="W1164" s="78"/>
      <c r="X1164" s="78"/>
    </row>
    <row r="1165" spans="1:24">
      <c r="A1165" s="34">
        <v>1163</v>
      </c>
      <c r="I1165" s="78"/>
      <c r="J1165" s="78"/>
      <c r="K1165" s="78"/>
      <c r="L1165" s="78"/>
      <c r="V1165" s="78"/>
      <c r="W1165" s="78"/>
      <c r="X1165" s="78"/>
    </row>
    <row r="1166" spans="1:24">
      <c r="A1166" s="34">
        <v>1164</v>
      </c>
      <c r="I1166" s="78"/>
      <c r="J1166" s="78"/>
      <c r="K1166" s="78"/>
      <c r="L1166" s="78"/>
      <c r="V1166" s="78"/>
      <c r="W1166" s="78"/>
      <c r="X1166" s="78"/>
    </row>
    <row r="1167" spans="1:24">
      <c r="A1167" s="34">
        <v>1165</v>
      </c>
      <c r="I1167" s="78"/>
      <c r="J1167" s="78"/>
      <c r="K1167" s="78"/>
      <c r="L1167" s="78"/>
      <c r="V1167" s="78"/>
      <c r="W1167" s="78"/>
      <c r="X1167" s="78"/>
    </row>
    <row r="1168" spans="1:24">
      <c r="A1168" s="34">
        <v>1166</v>
      </c>
      <c r="I1168" s="78"/>
      <c r="J1168" s="78"/>
      <c r="K1168" s="78"/>
      <c r="L1168" s="78"/>
      <c r="V1168" s="78"/>
      <c r="W1168" s="78"/>
      <c r="X1168" s="78"/>
    </row>
    <row r="1169" spans="1:24">
      <c r="A1169" s="34">
        <v>1167</v>
      </c>
      <c r="I1169" s="78"/>
      <c r="J1169" s="78"/>
      <c r="K1169" s="78"/>
      <c r="L1169" s="78"/>
      <c r="V1169" s="78"/>
      <c r="W1169" s="78"/>
      <c r="X1169" s="78"/>
    </row>
    <row r="1170" spans="1:24">
      <c r="A1170" s="34">
        <v>1168</v>
      </c>
      <c r="I1170" s="78"/>
      <c r="J1170" s="78"/>
      <c r="K1170" s="78"/>
      <c r="L1170" s="78"/>
      <c r="V1170" s="78"/>
      <c r="W1170" s="78"/>
      <c r="X1170" s="78"/>
    </row>
    <row r="1171" spans="1:24">
      <c r="A1171" s="34">
        <v>1169</v>
      </c>
      <c r="I1171" s="78"/>
      <c r="J1171" s="78"/>
      <c r="K1171" s="78"/>
      <c r="L1171" s="78"/>
      <c r="V1171" s="78"/>
      <c r="W1171" s="78"/>
      <c r="X1171" s="78"/>
    </row>
    <row r="1172" spans="1:24">
      <c r="A1172" s="34">
        <v>1170</v>
      </c>
      <c r="I1172" s="78"/>
      <c r="J1172" s="78"/>
      <c r="K1172" s="78"/>
      <c r="L1172" s="78"/>
      <c r="V1172" s="78"/>
      <c r="W1172" s="78"/>
      <c r="X1172" s="78"/>
    </row>
    <row r="1173" spans="1:24">
      <c r="A1173" s="34">
        <v>1171</v>
      </c>
      <c r="I1173" s="78"/>
      <c r="J1173" s="78"/>
      <c r="K1173" s="78"/>
      <c r="L1173" s="78"/>
      <c r="V1173" s="78"/>
      <c r="W1173" s="78"/>
      <c r="X1173" s="78"/>
    </row>
    <row r="1174" spans="1:24">
      <c r="A1174" s="34">
        <v>1172</v>
      </c>
      <c r="I1174" s="78"/>
      <c r="J1174" s="78"/>
      <c r="K1174" s="78"/>
      <c r="L1174" s="78"/>
      <c r="V1174" s="78"/>
      <c r="W1174" s="78"/>
      <c r="X1174" s="78"/>
    </row>
    <row r="1175" spans="1:24">
      <c r="A1175" s="34">
        <v>1173</v>
      </c>
      <c r="I1175" s="78"/>
      <c r="J1175" s="78"/>
      <c r="K1175" s="78"/>
      <c r="L1175" s="78"/>
      <c r="V1175" s="78"/>
      <c r="W1175" s="78"/>
      <c r="X1175" s="78"/>
    </row>
    <row r="1176" spans="1:24">
      <c r="A1176" s="34">
        <v>1174</v>
      </c>
      <c r="I1176" s="78"/>
      <c r="J1176" s="78"/>
      <c r="K1176" s="78"/>
      <c r="L1176" s="78"/>
      <c r="V1176" s="78"/>
      <c r="W1176" s="78"/>
      <c r="X1176" s="78"/>
    </row>
    <row r="1177" spans="1:24">
      <c r="A1177" s="34">
        <v>1175</v>
      </c>
      <c r="I1177" s="78"/>
      <c r="J1177" s="78"/>
      <c r="K1177" s="78"/>
      <c r="L1177" s="78"/>
      <c r="V1177" s="78"/>
      <c r="W1177" s="78"/>
      <c r="X1177" s="78"/>
    </row>
    <row r="1178" spans="1:24">
      <c r="A1178" s="34">
        <v>1176</v>
      </c>
      <c r="I1178" s="78"/>
      <c r="J1178" s="78"/>
      <c r="K1178" s="78"/>
      <c r="L1178" s="78"/>
      <c r="V1178" s="78"/>
      <c r="W1178" s="78"/>
      <c r="X1178" s="78"/>
    </row>
    <row r="1179" spans="1:24">
      <c r="A1179" s="34">
        <v>1177</v>
      </c>
      <c r="I1179" s="78"/>
      <c r="J1179" s="78"/>
      <c r="K1179" s="78"/>
      <c r="L1179" s="78"/>
      <c r="V1179" s="78"/>
      <c r="W1179" s="78"/>
      <c r="X1179" s="78"/>
    </row>
    <row r="1180" spans="1:24">
      <c r="A1180" s="34">
        <v>1178</v>
      </c>
      <c r="I1180" s="78"/>
      <c r="J1180" s="78"/>
      <c r="K1180" s="78"/>
      <c r="L1180" s="78"/>
      <c r="V1180" s="78"/>
      <c r="W1180" s="78"/>
      <c r="X1180" s="78"/>
    </row>
    <row r="1181" spans="1:24">
      <c r="A1181" s="34">
        <v>1179</v>
      </c>
      <c r="I1181" s="78"/>
      <c r="J1181" s="78"/>
      <c r="K1181" s="78"/>
      <c r="L1181" s="78"/>
      <c r="V1181" s="78"/>
      <c r="W1181" s="78"/>
      <c r="X1181" s="78"/>
    </row>
    <row r="1182" spans="1:24">
      <c r="A1182" s="34">
        <v>1180</v>
      </c>
      <c r="I1182" s="78"/>
      <c r="J1182" s="78"/>
      <c r="K1182" s="78"/>
      <c r="L1182" s="78"/>
      <c r="V1182" s="78"/>
      <c r="W1182" s="78"/>
      <c r="X1182" s="78"/>
    </row>
    <row r="1183" spans="1:24">
      <c r="A1183" s="34">
        <v>1181</v>
      </c>
      <c r="I1183" s="78"/>
      <c r="J1183" s="78"/>
      <c r="K1183" s="78"/>
      <c r="L1183" s="78"/>
      <c r="V1183" s="78"/>
      <c r="W1183" s="78"/>
      <c r="X1183" s="78"/>
    </row>
    <row r="1184" spans="1:24">
      <c r="A1184" s="34">
        <v>1182</v>
      </c>
      <c r="I1184" s="78"/>
      <c r="J1184" s="78"/>
      <c r="K1184" s="78"/>
      <c r="L1184" s="78"/>
      <c r="V1184" s="78"/>
      <c r="W1184" s="78"/>
      <c r="X1184" s="78"/>
    </row>
    <row r="1185" spans="1:24">
      <c r="A1185" s="34">
        <v>1183</v>
      </c>
      <c r="I1185" s="78"/>
      <c r="J1185" s="78"/>
      <c r="K1185" s="78"/>
      <c r="L1185" s="78"/>
      <c r="V1185" s="78"/>
      <c r="W1185" s="78"/>
      <c r="X1185" s="78"/>
    </row>
    <row r="1186" spans="1:24">
      <c r="A1186" s="34">
        <v>1184</v>
      </c>
      <c r="I1186" s="78"/>
      <c r="J1186" s="78"/>
      <c r="K1186" s="78"/>
      <c r="L1186" s="78"/>
      <c r="V1186" s="78"/>
      <c r="W1186" s="78"/>
      <c r="X1186" s="78"/>
    </row>
    <row r="1187" spans="1:24">
      <c r="A1187" s="34">
        <v>1185</v>
      </c>
      <c r="I1187" s="78"/>
      <c r="J1187" s="78"/>
      <c r="K1187" s="78"/>
      <c r="L1187" s="78"/>
      <c r="V1187" s="78"/>
      <c r="W1187" s="78"/>
      <c r="X1187" s="78"/>
    </row>
    <row r="1188" spans="1:24">
      <c r="A1188" s="34">
        <v>1186</v>
      </c>
      <c r="I1188" s="78"/>
      <c r="J1188" s="78"/>
      <c r="K1188" s="78"/>
      <c r="L1188" s="78"/>
      <c r="V1188" s="78"/>
      <c r="W1188" s="78"/>
      <c r="X1188" s="78"/>
    </row>
    <row r="1189" spans="1:24">
      <c r="A1189" s="34">
        <v>1187</v>
      </c>
      <c r="I1189" s="78"/>
      <c r="J1189" s="78"/>
      <c r="K1189" s="78"/>
      <c r="L1189" s="78"/>
      <c r="V1189" s="78"/>
      <c r="W1189" s="78"/>
      <c r="X1189" s="78"/>
    </row>
    <row r="1190" spans="1:24">
      <c r="A1190" s="34">
        <v>1188</v>
      </c>
      <c r="I1190" s="78"/>
      <c r="J1190" s="78"/>
      <c r="K1190" s="78"/>
      <c r="L1190" s="78"/>
      <c r="V1190" s="78"/>
      <c r="W1190" s="78"/>
      <c r="X1190" s="78"/>
    </row>
    <row r="1191" spans="1:24">
      <c r="A1191" s="34">
        <v>1189</v>
      </c>
      <c r="I1191" s="78"/>
      <c r="J1191" s="78"/>
      <c r="K1191" s="78"/>
      <c r="L1191" s="78"/>
      <c r="V1191" s="78"/>
      <c r="W1191" s="78"/>
      <c r="X1191" s="78"/>
    </row>
    <row r="1192" spans="1:24">
      <c r="A1192" s="34">
        <v>1190</v>
      </c>
      <c r="I1192" s="78"/>
      <c r="J1192" s="78"/>
      <c r="K1192" s="78"/>
      <c r="L1192" s="78"/>
      <c r="V1192" s="78"/>
      <c r="W1192" s="78"/>
      <c r="X1192" s="78"/>
    </row>
    <row r="1193" spans="1:24">
      <c r="A1193" s="34">
        <v>1191</v>
      </c>
      <c r="I1193" s="78"/>
      <c r="J1193" s="78"/>
      <c r="K1193" s="78"/>
      <c r="L1193" s="78"/>
      <c r="V1193" s="78"/>
      <c r="W1193" s="78"/>
      <c r="X1193" s="78"/>
    </row>
    <row r="1194" spans="1:24">
      <c r="A1194" s="34">
        <v>1192</v>
      </c>
      <c r="I1194" s="78"/>
      <c r="J1194" s="78"/>
      <c r="K1194" s="78"/>
      <c r="L1194" s="78"/>
      <c r="V1194" s="78"/>
      <c r="W1194" s="78"/>
      <c r="X1194" s="78"/>
    </row>
    <row r="1195" spans="1:24">
      <c r="A1195" s="34">
        <v>1193</v>
      </c>
      <c r="I1195" s="78"/>
      <c r="J1195" s="78"/>
      <c r="K1195" s="78"/>
      <c r="L1195" s="78"/>
      <c r="V1195" s="78"/>
      <c r="W1195" s="78"/>
      <c r="X1195" s="78"/>
    </row>
    <row r="1196" spans="1:24">
      <c r="A1196" s="34">
        <v>1194</v>
      </c>
      <c r="I1196" s="78"/>
      <c r="J1196" s="78"/>
      <c r="K1196" s="78"/>
      <c r="L1196" s="78"/>
      <c r="V1196" s="78"/>
      <c r="W1196" s="78"/>
      <c r="X1196" s="78"/>
    </row>
    <row r="1197" spans="1:24">
      <c r="A1197" s="34">
        <v>1195</v>
      </c>
      <c r="I1197" s="78"/>
      <c r="J1197" s="78"/>
      <c r="K1197" s="78"/>
      <c r="L1197" s="78"/>
      <c r="V1197" s="78"/>
      <c r="W1197" s="78"/>
      <c r="X1197" s="78"/>
    </row>
    <row r="1198" spans="1:24">
      <c r="A1198" s="34">
        <v>1196</v>
      </c>
      <c r="I1198" s="78"/>
      <c r="J1198" s="78"/>
      <c r="K1198" s="78"/>
      <c r="L1198" s="78"/>
      <c r="V1198" s="78"/>
      <c r="W1198" s="78"/>
      <c r="X1198" s="78"/>
    </row>
    <row r="1199" spans="1:24">
      <c r="A1199" s="34">
        <v>1197</v>
      </c>
      <c r="I1199" s="78"/>
      <c r="J1199" s="78"/>
      <c r="K1199" s="78"/>
      <c r="L1199" s="78"/>
      <c r="V1199" s="78"/>
      <c r="W1199" s="78"/>
      <c r="X1199" s="78"/>
    </row>
    <row r="1200" spans="1:24">
      <c r="A1200" s="34">
        <v>1198</v>
      </c>
      <c r="I1200" s="78"/>
      <c r="J1200" s="78"/>
      <c r="K1200" s="78"/>
      <c r="L1200" s="78"/>
      <c r="V1200" s="78"/>
      <c r="W1200" s="78"/>
      <c r="X1200" s="78"/>
    </row>
    <row r="1201" spans="1:24">
      <c r="A1201" s="34">
        <v>1199</v>
      </c>
      <c r="I1201" s="78"/>
      <c r="J1201" s="78"/>
      <c r="K1201" s="78"/>
      <c r="L1201" s="78"/>
      <c r="V1201" s="78"/>
      <c r="W1201" s="78"/>
      <c r="X1201" s="78"/>
    </row>
    <row r="1202" spans="1:24">
      <c r="A1202" s="34">
        <v>1200</v>
      </c>
      <c r="I1202" s="78"/>
      <c r="J1202" s="78"/>
      <c r="K1202" s="78"/>
      <c r="L1202" s="78"/>
      <c r="V1202" s="78"/>
      <c r="W1202" s="78"/>
      <c r="X1202" s="78"/>
    </row>
    <row r="1203" spans="1:24">
      <c r="A1203" s="34">
        <v>1201</v>
      </c>
      <c r="I1203" s="78"/>
      <c r="J1203" s="78"/>
      <c r="K1203" s="78"/>
      <c r="L1203" s="78"/>
      <c r="V1203" s="78"/>
      <c r="W1203" s="78"/>
      <c r="X1203" s="78"/>
    </row>
    <row r="1204" spans="1:24">
      <c r="A1204" s="34">
        <v>1202</v>
      </c>
      <c r="I1204" s="78"/>
      <c r="J1204" s="78"/>
      <c r="K1204" s="78"/>
      <c r="L1204" s="78"/>
      <c r="V1204" s="78"/>
      <c r="W1204" s="78"/>
      <c r="X1204" s="78"/>
    </row>
    <row r="1205" spans="1:24">
      <c r="A1205" s="34">
        <v>1203</v>
      </c>
      <c r="I1205" s="78"/>
      <c r="J1205" s="78"/>
      <c r="K1205" s="78"/>
      <c r="L1205" s="78"/>
      <c r="V1205" s="78"/>
      <c r="W1205" s="78"/>
      <c r="X1205" s="78"/>
    </row>
    <row r="1206" spans="1:24">
      <c r="A1206" s="34">
        <v>1204</v>
      </c>
      <c r="I1206" s="78"/>
      <c r="J1206" s="78"/>
      <c r="K1206" s="78"/>
      <c r="L1206" s="78"/>
      <c r="V1206" s="78"/>
      <c r="W1206" s="78"/>
      <c r="X1206" s="78"/>
    </row>
    <row r="1207" spans="1:24">
      <c r="A1207" s="34">
        <v>1205</v>
      </c>
      <c r="I1207" s="78"/>
      <c r="J1207" s="78"/>
      <c r="K1207" s="78"/>
      <c r="L1207" s="78"/>
      <c r="V1207" s="78"/>
      <c r="W1207" s="78"/>
      <c r="X1207" s="78"/>
    </row>
    <row r="1208" spans="1:24">
      <c r="A1208" s="34">
        <v>1206</v>
      </c>
      <c r="I1208" s="78"/>
      <c r="J1208" s="78"/>
      <c r="K1208" s="78"/>
      <c r="L1208" s="78"/>
      <c r="V1208" s="78"/>
      <c r="W1208" s="78"/>
      <c r="X1208" s="78"/>
    </row>
    <row r="1209" spans="1:24">
      <c r="A1209" s="34">
        <v>1207</v>
      </c>
      <c r="I1209" s="78"/>
      <c r="J1209" s="78"/>
      <c r="K1209" s="78"/>
      <c r="L1209" s="78"/>
      <c r="V1209" s="78"/>
      <c r="W1209" s="78"/>
      <c r="X1209" s="78"/>
    </row>
    <row r="1210" spans="1:24">
      <c r="A1210" s="34">
        <v>1208</v>
      </c>
      <c r="I1210" s="78"/>
      <c r="J1210" s="78"/>
      <c r="K1210" s="78"/>
      <c r="L1210" s="78"/>
      <c r="V1210" s="78"/>
      <c r="W1210" s="78"/>
      <c r="X1210" s="78"/>
    </row>
    <row r="1211" spans="1:24">
      <c r="A1211" s="34">
        <v>1209</v>
      </c>
      <c r="I1211" s="78"/>
      <c r="J1211" s="78"/>
      <c r="K1211" s="78"/>
      <c r="L1211" s="78"/>
      <c r="V1211" s="78"/>
      <c r="W1211" s="78"/>
      <c r="X1211" s="78"/>
    </row>
    <row r="1212" spans="1:24">
      <c r="A1212" s="34">
        <v>1210</v>
      </c>
      <c r="I1212" s="78"/>
      <c r="J1212" s="78"/>
      <c r="K1212" s="78"/>
      <c r="L1212" s="78"/>
      <c r="V1212" s="78"/>
      <c r="W1212" s="78"/>
      <c r="X1212" s="78"/>
    </row>
    <row r="1213" spans="1:24">
      <c r="A1213" s="34">
        <v>1211</v>
      </c>
      <c r="I1213" s="78"/>
      <c r="J1213" s="78"/>
      <c r="K1213" s="78"/>
      <c r="L1213" s="78"/>
      <c r="V1213" s="78"/>
      <c r="W1213" s="78"/>
      <c r="X1213" s="78"/>
    </row>
    <row r="1214" spans="1:24">
      <c r="A1214" s="34">
        <v>1212</v>
      </c>
      <c r="I1214" s="78"/>
      <c r="J1214" s="78"/>
      <c r="K1214" s="78"/>
      <c r="L1214" s="78"/>
      <c r="V1214" s="78"/>
      <c r="W1214" s="78"/>
      <c r="X1214" s="78"/>
    </row>
    <row r="1215" spans="1:24">
      <c r="A1215" s="34">
        <v>1213</v>
      </c>
      <c r="I1215" s="78"/>
      <c r="J1215" s="78"/>
      <c r="K1215" s="78"/>
      <c r="L1215" s="78"/>
      <c r="V1215" s="78"/>
      <c r="W1215" s="78"/>
      <c r="X1215" s="78"/>
    </row>
    <row r="1216" spans="1:24">
      <c r="A1216" s="34"/>
      <c r="I1216" s="78"/>
      <c r="J1216" s="78"/>
      <c r="K1216" s="78"/>
      <c r="L1216" s="78"/>
      <c r="V1216" s="78"/>
      <c r="W1216" s="78"/>
      <c r="X1216" s="78"/>
    </row>
    <row r="1217" spans="1:24">
      <c r="A1217" s="34"/>
      <c r="I1217" s="78"/>
      <c r="J1217" s="78"/>
      <c r="K1217" s="78"/>
      <c r="L1217" s="78"/>
      <c r="V1217" s="78"/>
      <c r="W1217" s="78"/>
      <c r="X1217" s="78"/>
    </row>
    <row r="1218" spans="1:24">
      <c r="A1218" s="34"/>
      <c r="I1218" s="78"/>
      <c r="J1218" s="78"/>
      <c r="K1218" s="78"/>
      <c r="L1218" s="78"/>
      <c r="V1218" s="78"/>
      <c r="W1218" s="78"/>
      <c r="X1218" s="78"/>
    </row>
    <row r="1219" spans="1:24">
      <c r="A1219" s="34"/>
      <c r="I1219" s="78"/>
      <c r="J1219" s="78"/>
      <c r="K1219" s="78"/>
      <c r="L1219" s="78"/>
      <c r="V1219" s="78"/>
      <c r="W1219" s="78"/>
      <c r="X1219" s="78"/>
    </row>
    <row r="1220" spans="1:24">
      <c r="A1220" s="34"/>
      <c r="I1220" s="78"/>
      <c r="J1220" s="78"/>
      <c r="K1220" s="78"/>
      <c r="L1220" s="78"/>
      <c r="V1220" s="78"/>
      <c r="W1220" s="78"/>
      <c r="X1220" s="78"/>
    </row>
    <row r="1221" spans="1:24">
      <c r="A1221" s="34"/>
      <c r="I1221" s="78"/>
      <c r="J1221" s="78"/>
      <c r="K1221" s="78"/>
      <c r="L1221" s="78"/>
      <c r="V1221" s="78"/>
      <c r="W1221" s="78"/>
      <c r="X1221" s="78"/>
    </row>
    <row r="1222" spans="1:24">
      <c r="A1222" s="34"/>
      <c r="I1222" s="78"/>
      <c r="J1222" s="78"/>
      <c r="K1222" s="78"/>
      <c r="L1222" s="78"/>
      <c r="V1222" s="78"/>
      <c r="W1222" s="78"/>
      <c r="X1222" s="78"/>
    </row>
    <row r="1223" spans="1:24">
      <c r="A1223" s="34"/>
      <c r="I1223" s="78"/>
      <c r="J1223" s="78"/>
      <c r="K1223" s="78"/>
      <c r="L1223" s="78"/>
      <c r="V1223" s="78"/>
      <c r="W1223" s="78"/>
      <c r="X1223" s="78"/>
    </row>
    <row r="1224" spans="1:24">
      <c r="A1224" s="34"/>
      <c r="I1224" s="78"/>
      <c r="J1224" s="78"/>
      <c r="K1224" s="78"/>
      <c r="L1224" s="78"/>
      <c r="V1224" s="78"/>
      <c r="W1224" s="78"/>
      <c r="X1224" s="78"/>
    </row>
    <row r="1225" spans="1:24">
      <c r="A1225" s="34"/>
      <c r="I1225" s="78"/>
      <c r="J1225" s="78"/>
      <c r="K1225" s="78"/>
      <c r="L1225" s="78"/>
      <c r="V1225" s="78"/>
      <c r="W1225" s="78"/>
      <c r="X1225" s="78"/>
    </row>
    <row r="1226" spans="1:24">
      <c r="A1226" s="34"/>
      <c r="I1226" s="78"/>
      <c r="J1226" s="78"/>
      <c r="K1226" s="78"/>
      <c r="L1226" s="78"/>
      <c r="V1226" s="78"/>
      <c r="W1226" s="78"/>
      <c r="X1226" s="78"/>
    </row>
    <row r="1227" spans="1:24">
      <c r="A1227" s="34"/>
      <c r="I1227" s="78"/>
      <c r="J1227" s="78"/>
      <c r="K1227" s="78"/>
      <c r="L1227" s="78"/>
      <c r="V1227" s="78"/>
      <c r="W1227" s="78"/>
      <c r="X1227" s="78"/>
    </row>
    <row r="1228" spans="1:24">
      <c r="A1228" s="34"/>
      <c r="I1228" s="78"/>
      <c r="J1228" s="78"/>
      <c r="K1228" s="78"/>
      <c r="L1228" s="78"/>
      <c r="V1228" s="78"/>
      <c r="W1228" s="78"/>
      <c r="X1228" s="78"/>
    </row>
    <row r="1229" spans="1:24">
      <c r="A1229" s="34"/>
      <c r="I1229" s="78"/>
      <c r="J1229" s="78"/>
      <c r="K1229" s="78"/>
      <c r="L1229" s="78"/>
      <c r="V1229" s="78"/>
      <c r="W1229" s="78"/>
      <c r="X1229" s="78"/>
    </row>
    <row r="1230" spans="1:24">
      <c r="A1230" s="34"/>
      <c r="I1230" s="78"/>
      <c r="J1230" s="78"/>
      <c r="K1230" s="78"/>
      <c r="L1230" s="78"/>
      <c r="V1230" s="78"/>
      <c r="W1230" s="78"/>
      <c r="X1230" s="78"/>
    </row>
    <row r="1231" spans="1:24">
      <c r="A1231" s="34"/>
      <c r="I1231" s="78"/>
      <c r="J1231" s="78"/>
      <c r="K1231" s="78"/>
      <c r="L1231" s="78"/>
      <c r="V1231" s="78"/>
      <c r="W1231" s="78"/>
      <c r="X1231" s="78"/>
    </row>
    <row r="1232" spans="1:24">
      <c r="A1232" s="34"/>
      <c r="I1232" s="78"/>
      <c r="J1232" s="78"/>
      <c r="K1232" s="78"/>
      <c r="L1232" s="78"/>
      <c r="V1232" s="78"/>
      <c r="W1232" s="78"/>
      <c r="X1232" s="78"/>
    </row>
    <row r="1233" spans="1:24">
      <c r="A1233" s="34"/>
      <c r="I1233" s="78"/>
      <c r="J1233" s="78"/>
      <c r="K1233" s="78"/>
      <c r="L1233" s="78"/>
      <c r="V1233" s="78"/>
      <c r="W1233" s="78"/>
      <c r="X1233" s="78"/>
    </row>
    <row r="1234" spans="1:24">
      <c r="A1234" s="34"/>
      <c r="I1234" s="78"/>
      <c r="J1234" s="78"/>
      <c r="K1234" s="78"/>
      <c r="L1234" s="78"/>
      <c r="V1234" s="78"/>
      <c r="W1234" s="78"/>
      <c r="X1234" s="78"/>
    </row>
    <row r="1235" spans="1:24">
      <c r="A1235" s="34"/>
      <c r="I1235" s="78"/>
      <c r="J1235" s="78"/>
      <c r="K1235" s="78"/>
      <c r="L1235" s="78"/>
      <c r="V1235" s="78"/>
      <c r="W1235" s="78"/>
      <c r="X1235" s="78"/>
    </row>
    <row r="1236" spans="1:24">
      <c r="A1236" s="34"/>
      <c r="I1236" s="78"/>
      <c r="J1236" s="78"/>
      <c r="K1236" s="78"/>
      <c r="L1236" s="78"/>
      <c r="V1236" s="78"/>
      <c r="W1236" s="78"/>
      <c r="X1236" s="78"/>
    </row>
    <row r="1237" spans="1:24">
      <c r="A1237" s="34"/>
      <c r="I1237" s="78"/>
      <c r="J1237" s="78"/>
      <c r="K1237" s="78"/>
      <c r="L1237" s="78"/>
      <c r="V1237" s="78"/>
      <c r="W1237" s="78"/>
      <c r="X1237" s="78"/>
    </row>
    <row r="1238" spans="1:24">
      <c r="A1238" s="34"/>
      <c r="I1238" s="78"/>
      <c r="J1238" s="78"/>
      <c r="K1238" s="78"/>
      <c r="L1238" s="78"/>
      <c r="V1238" s="78"/>
      <c r="W1238" s="78"/>
      <c r="X1238" s="78"/>
    </row>
    <row r="1239" spans="1:24">
      <c r="A1239" s="34"/>
      <c r="I1239" s="78"/>
      <c r="J1239" s="78"/>
      <c r="K1239" s="78"/>
      <c r="L1239" s="78"/>
      <c r="V1239" s="78"/>
      <c r="W1239" s="78"/>
      <c r="X1239" s="78"/>
    </row>
    <row r="1240" spans="1:24">
      <c r="A1240" s="34"/>
      <c r="I1240" s="78"/>
      <c r="J1240" s="78"/>
      <c r="K1240" s="78"/>
      <c r="L1240" s="78"/>
      <c r="V1240" s="78"/>
      <c r="W1240" s="78"/>
      <c r="X1240" s="78"/>
    </row>
    <row r="1241" spans="1:24">
      <c r="A1241" s="34"/>
      <c r="I1241" s="78"/>
      <c r="J1241" s="78"/>
      <c r="K1241" s="78"/>
      <c r="L1241" s="78"/>
      <c r="V1241" s="78"/>
      <c r="W1241" s="78"/>
      <c r="X1241" s="78"/>
    </row>
    <row r="1242" spans="1:24">
      <c r="A1242" s="34"/>
      <c r="I1242" s="78"/>
      <c r="J1242" s="78"/>
      <c r="K1242" s="78"/>
      <c r="L1242" s="78"/>
      <c r="V1242" s="78"/>
      <c r="W1242" s="78"/>
      <c r="X1242" s="78"/>
    </row>
    <row r="1243" spans="1:24">
      <c r="A1243" s="34"/>
      <c r="I1243" s="78"/>
      <c r="J1243" s="78"/>
      <c r="K1243" s="78"/>
      <c r="L1243" s="78"/>
      <c r="V1243" s="78"/>
      <c r="W1243" s="78"/>
      <c r="X1243" s="78"/>
    </row>
    <row r="1244" spans="1:24">
      <c r="A1244" s="34"/>
      <c r="I1244" s="78"/>
      <c r="J1244" s="78"/>
      <c r="K1244" s="78"/>
      <c r="L1244" s="78"/>
      <c r="V1244" s="78"/>
      <c r="W1244" s="78"/>
      <c r="X1244" s="78"/>
    </row>
    <row r="1245" spans="1:24">
      <c r="A1245" s="34"/>
      <c r="I1245" s="78"/>
      <c r="J1245" s="78"/>
      <c r="K1245" s="78"/>
      <c r="L1245" s="78"/>
      <c r="V1245" s="78"/>
      <c r="W1245" s="78"/>
      <c r="X1245" s="78"/>
    </row>
    <row r="1246" spans="1:24">
      <c r="A1246" s="34"/>
      <c r="I1246" s="78"/>
      <c r="J1246" s="78"/>
      <c r="K1246" s="78"/>
      <c r="L1246" s="78"/>
      <c r="V1246" s="78"/>
      <c r="W1246" s="78"/>
      <c r="X1246" s="78"/>
    </row>
    <row r="1247" spans="1:24">
      <c r="A1247" s="34"/>
      <c r="I1247" s="78"/>
      <c r="J1247" s="78"/>
      <c r="K1247" s="78"/>
      <c r="L1247" s="78"/>
      <c r="V1247" s="78"/>
      <c r="W1247" s="78"/>
      <c r="X1247" s="78"/>
    </row>
    <row r="1248" spans="1:24">
      <c r="A1248" s="34"/>
      <c r="I1248" s="78"/>
      <c r="J1248" s="78"/>
      <c r="K1248" s="78"/>
      <c r="L1248" s="78"/>
      <c r="V1248" s="78"/>
      <c r="W1248" s="78"/>
      <c r="X1248" s="78"/>
    </row>
    <row r="1249" spans="1:24">
      <c r="A1249" s="34"/>
      <c r="I1249" s="78"/>
      <c r="J1249" s="78"/>
      <c r="K1249" s="78"/>
      <c r="L1249" s="78"/>
      <c r="V1249" s="78"/>
      <c r="W1249" s="78"/>
      <c r="X1249" s="78"/>
    </row>
    <row r="1250" spans="1:24">
      <c r="A1250" s="34"/>
      <c r="I1250" s="78"/>
      <c r="J1250" s="78"/>
      <c r="K1250" s="78"/>
      <c r="L1250" s="78"/>
      <c r="V1250" s="78"/>
      <c r="W1250" s="78"/>
      <c r="X1250" s="78"/>
    </row>
    <row r="1251" spans="1:24">
      <c r="A1251" s="34"/>
      <c r="I1251" s="78"/>
      <c r="J1251" s="78"/>
      <c r="K1251" s="78"/>
      <c r="L1251" s="78"/>
      <c r="V1251" s="78"/>
      <c r="W1251" s="78"/>
      <c r="X1251" s="78"/>
    </row>
    <row r="1252" spans="1:24">
      <c r="A1252" s="34"/>
      <c r="I1252" s="78"/>
      <c r="J1252" s="78"/>
      <c r="K1252" s="78"/>
      <c r="L1252" s="78"/>
      <c r="V1252" s="78"/>
      <c r="W1252" s="78"/>
      <c r="X1252" s="78"/>
    </row>
    <row r="1253" spans="1:24">
      <c r="A1253" s="34"/>
      <c r="I1253" s="78"/>
      <c r="J1253" s="78"/>
      <c r="K1253" s="78"/>
      <c r="L1253" s="78"/>
      <c r="V1253" s="78"/>
      <c r="W1253" s="78"/>
      <c r="X1253" s="78"/>
    </row>
    <row r="1254" spans="1:24">
      <c r="A1254" s="34"/>
      <c r="I1254" s="78"/>
      <c r="J1254" s="78"/>
      <c r="K1254" s="78"/>
      <c r="L1254" s="78"/>
      <c r="V1254" s="78"/>
      <c r="W1254" s="78"/>
      <c r="X1254" s="78"/>
    </row>
    <row r="1255" spans="1:24">
      <c r="A1255" s="34"/>
      <c r="I1255" s="78"/>
      <c r="J1255" s="78"/>
      <c r="K1255" s="78"/>
      <c r="L1255" s="78"/>
      <c r="V1255" s="78"/>
      <c r="W1255" s="78"/>
      <c r="X1255" s="78"/>
    </row>
    <row r="1256" spans="1:24">
      <c r="A1256" s="34"/>
      <c r="I1256" s="78"/>
      <c r="J1256" s="78"/>
      <c r="K1256" s="78"/>
      <c r="L1256" s="78"/>
      <c r="V1256" s="78"/>
      <c r="W1256" s="78"/>
      <c r="X1256" s="78"/>
    </row>
    <row r="1257" spans="1:24">
      <c r="A1257" s="34"/>
      <c r="I1257" s="78"/>
      <c r="J1257" s="78"/>
      <c r="K1257" s="78"/>
      <c r="L1257" s="78"/>
      <c r="V1257" s="78"/>
      <c r="W1257" s="78"/>
      <c r="X1257" s="78"/>
    </row>
    <row r="1258" spans="1:24">
      <c r="A1258" s="34"/>
      <c r="I1258" s="78"/>
      <c r="J1258" s="78"/>
      <c r="K1258" s="78"/>
      <c r="L1258" s="78"/>
      <c r="V1258" s="78"/>
      <c r="W1258" s="78"/>
      <c r="X1258" s="78"/>
    </row>
    <row r="1259" spans="1:24">
      <c r="A1259" s="34"/>
      <c r="I1259" s="78"/>
      <c r="J1259" s="78"/>
      <c r="K1259" s="78"/>
      <c r="L1259" s="78"/>
      <c r="V1259" s="78"/>
      <c r="W1259" s="78"/>
      <c r="X1259" s="78"/>
    </row>
    <row r="1260" spans="1:24">
      <c r="A1260" s="34"/>
      <c r="I1260" s="78"/>
      <c r="J1260" s="78"/>
      <c r="K1260" s="78"/>
      <c r="L1260" s="78"/>
      <c r="V1260" s="78"/>
      <c r="W1260" s="78"/>
      <c r="X1260" s="78"/>
    </row>
    <row r="1261" spans="1:24">
      <c r="A1261" s="34"/>
      <c r="I1261" s="78"/>
      <c r="J1261" s="78"/>
      <c r="K1261" s="78"/>
      <c r="L1261" s="78"/>
      <c r="V1261" s="78"/>
      <c r="W1261" s="78"/>
      <c r="X1261" s="78"/>
    </row>
    <row r="1262" spans="1:24">
      <c r="A1262" s="34"/>
      <c r="I1262" s="78"/>
      <c r="J1262" s="78"/>
      <c r="K1262" s="78"/>
      <c r="L1262" s="78"/>
      <c r="V1262" s="78"/>
      <c r="W1262" s="78"/>
      <c r="X1262" s="78"/>
    </row>
    <row r="1263" spans="1:24">
      <c r="A1263" s="34"/>
      <c r="I1263" s="78"/>
      <c r="J1263" s="78"/>
      <c r="K1263" s="78"/>
      <c r="L1263" s="78"/>
      <c r="V1263" s="78"/>
      <c r="W1263" s="78"/>
      <c r="X1263" s="78"/>
    </row>
    <row r="1264" spans="1:24">
      <c r="A1264" s="34"/>
      <c r="I1264" s="78"/>
      <c r="J1264" s="78"/>
      <c r="K1264" s="78"/>
      <c r="L1264" s="78"/>
      <c r="V1264" s="78"/>
      <c r="W1264" s="78"/>
      <c r="X1264" s="78"/>
    </row>
    <row r="1265" spans="1:24">
      <c r="A1265" s="34"/>
      <c r="I1265" s="78"/>
      <c r="J1265" s="78"/>
      <c r="K1265" s="78"/>
      <c r="L1265" s="78"/>
      <c r="V1265" s="78"/>
      <c r="W1265" s="78"/>
      <c r="X1265" s="78"/>
    </row>
    <row r="1266" spans="1:24">
      <c r="A1266" s="34"/>
      <c r="I1266" s="78"/>
      <c r="J1266" s="78"/>
      <c r="K1266" s="78"/>
      <c r="L1266" s="78"/>
      <c r="V1266" s="78"/>
      <c r="W1266" s="78"/>
      <c r="X1266" s="78"/>
    </row>
    <row r="1267" spans="1:24">
      <c r="A1267" s="34"/>
      <c r="I1267" s="78"/>
      <c r="J1267" s="78"/>
      <c r="K1267" s="78"/>
      <c r="L1267" s="78"/>
      <c r="V1267" s="78"/>
      <c r="W1267" s="78"/>
      <c r="X1267" s="78"/>
    </row>
    <row r="1268" spans="1:24">
      <c r="A1268" s="34"/>
      <c r="I1268" s="78"/>
      <c r="J1268" s="78"/>
      <c r="K1268" s="78"/>
      <c r="L1268" s="78"/>
      <c r="V1268" s="78"/>
      <c r="W1268" s="78"/>
      <c r="X1268" s="78"/>
    </row>
    <row r="1269" spans="1:24">
      <c r="A1269" s="34"/>
      <c r="I1269" s="78"/>
      <c r="J1269" s="78"/>
      <c r="K1269" s="78"/>
      <c r="L1269" s="78"/>
      <c r="V1269" s="78"/>
      <c r="W1269" s="78"/>
      <c r="X1269" s="78"/>
    </row>
    <row r="1270" spans="1:24">
      <c r="A1270" s="34"/>
      <c r="I1270" s="78"/>
      <c r="J1270" s="78"/>
      <c r="K1270" s="78"/>
      <c r="L1270" s="78"/>
      <c r="V1270" s="78"/>
      <c r="W1270" s="78"/>
      <c r="X1270" s="78"/>
    </row>
    <row r="1271" spans="1:24">
      <c r="A1271" s="34"/>
      <c r="I1271" s="78"/>
      <c r="J1271" s="78"/>
      <c r="K1271" s="78"/>
      <c r="L1271" s="78"/>
      <c r="V1271" s="78"/>
      <c r="W1271" s="78"/>
      <c r="X1271" s="78"/>
    </row>
    <row r="1272" spans="1:24">
      <c r="A1272" s="34"/>
      <c r="I1272" s="78"/>
      <c r="J1272" s="78"/>
      <c r="K1272" s="78"/>
      <c r="L1272" s="78"/>
      <c r="V1272" s="78"/>
      <c r="W1272" s="78"/>
      <c r="X1272" s="78"/>
    </row>
    <row r="1273" spans="1:24">
      <c r="A1273" s="34"/>
      <c r="I1273" s="78"/>
      <c r="J1273" s="78"/>
      <c r="K1273" s="78"/>
      <c r="L1273" s="78"/>
      <c r="V1273" s="78"/>
      <c r="W1273" s="78"/>
      <c r="X1273" s="78"/>
    </row>
    <row r="1274" spans="1:24">
      <c r="A1274" s="34"/>
      <c r="I1274" s="78"/>
      <c r="J1274" s="78"/>
      <c r="K1274" s="78"/>
      <c r="L1274" s="78"/>
      <c r="V1274" s="78"/>
      <c r="W1274" s="78"/>
      <c r="X1274" s="78"/>
    </row>
    <row r="1275" spans="1:24">
      <c r="A1275" s="34"/>
      <c r="I1275" s="78"/>
      <c r="J1275" s="78"/>
      <c r="K1275" s="78"/>
      <c r="L1275" s="78"/>
      <c r="V1275" s="78"/>
      <c r="W1275" s="78"/>
      <c r="X1275" s="78"/>
    </row>
    <row r="1276" spans="1:24">
      <c r="A1276" s="34"/>
      <c r="I1276" s="78"/>
      <c r="J1276" s="78"/>
      <c r="K1276" s="78"/>
      <c r="L1276" s="78"/>
      <c r="V1276" s="78"/>
      <c r="W1276" s="78"/>
      <c r="X1276" s="78"/>
    </row>
    <row r="1277" spans="1:24">
      <c r="A1277" s="34"/>
      <c r="I1277" s="78"/>
      <c r="J1277" s="78"/>
      <c r="K1277" s="78"/>
      <c r="L1277" s="78"/>
      <c r="V1277" s="78"/>
      <c r="W1277" s="78"/>
      <c r="X1277" s="78"/>
    </row>
    <row r="1278" spans="1:24">
      <c r="A1278" s="34"/>
      <c r="I1278" s="78"/>
      <c r="J1278" s="78"/>
      <c r="K1278" s="78"/>
      <c r="L1278" s="78"/>
      <c r="V1278" s="78"/>
      <c r="W1278" s="78"/>
      <c r="X1278" s="78"/>
    </row>
    <row r="1279" spans="1:24">
      <c r="A1279" s="34"/>
      <c r="I1279" s="78"/>
      <c r="J1279" s="78"/>
      <c r="K1279" s="78"/>
      <c r="L1279" s="78"/>
      <c r="V1279" s="78"/>
      <c r="W1279" s="78"/>
      <c r="X1279" s="78"/>
    </row>
    <row r="1280" spans="1:24">
      <c r="A1280" s="34"/>
      <c r="I1280" s="78"/>
      <c r="J1280" s="78"/>
      <c r="K1280" s="78"/>
      <c r="L1280" s="78"/>
      <c r="V1280" s="78"/>
      <c r="W1280" s="78"/>
      <c r="X1280" s="78"/>
    </row>
    <row r="1281" spans="1:24">
      <c r="A1281" s="34"/>
      <c r="I1281" s="78"/>
      <c r="J1281" s="78"/>
      <c r="K1281" s="78"/>
      <c r="L1281" s="78"/>
      <c r="V1281" s="78"/>
      <c r="W1281" s="78"/>
      <c r="X1281" s="78"/>
    </row>
    <row r="1282" spans="1:24">
      <c r="A1282" s="34"/>
      <c r="I1282" s="78"/>
      <c r="J1282" s="78"/>
      <c r="K1282" s="78"/>
      <c r="L1282" s="78"/>
      <c r="V1282" s="78"/>
      <c r="W1282" s="78"/>
      <c r="X1282" s="78"/>
    </row>
    <row r="1283" spans="1:24">
      <c r="A1283" s="34"/>
      <c r="I1283" s="78"/>
      <c r="J1283" s="78"/>
      <c r="K1283" s="78"/>
      <c r="L1283" s="78"/>
      <c r="V1283" s="78"/>
      <c r="W1283" s="78"/>
      <c r="X1283" s="78"/>
    </row>
    <row r="1284" spans="1:24">
      <c r="A1284" s="34"/>
      <c r="I1284" s="78"/>
      <c r="J1284" s="78"/>
      <c r="K1284" s="78"/>
      <c r="L1284" s="78"/>
      <c r="V1284" s="78"/>
      <c r="W1284" s="78"/>
      <c r="X1284" s="78"/>
    </row>
    <row r="1285" spans="1:24">
      <c r="A1285" s="34"/>
      <c r="I1285" s="78"/>
      <c r="J1285" s="78"/>
      <c r="K1285" s="78"/>
      <c r="L1285" s="78"/>
      <c r="V1285" s="78"/>
      <c r="W1285" s="78"/>
      <c r="X1285" s="78"/>
    </row>
    <row r="1286" spans="1:24">
      <c r="A1286" s="34"/>
      <c r="I1286" s="78"/>
      <c r="J1286" s="78"/>
      <c r="K1286" s="78"/>
      <c r="L1286" s="78"/>
      <c r="V1286" s="78"/>
      <c r="W1286" s="78"/>
      <c r="X1286" s="78"/>
    </row>
    <row r="1287" spans="1:24">
      <c r="A1287" s="34"/>
      <c r="I1287" s="78"/>
      <c r="J1287" s="78"/>
      <c r="K1287" s="78"/>
      <c r="L1287" s="78"/>
      <c r="V1287" s="78"/>
      <c r="W1287" s="78"/>
      <c r="X1287" s="78"/>
    </row>
    <row r="1288" spans="1:24">
      <c r="A1288" s="34"/>
      <c r="I1288" s="78"/>
      <c r="J1288" s="78"/>
      <c r="K1288" s="78"/>
      <c r="L1288" s="78"/>
      <c r="V1288" s="78"/>
      <c r="W1288" s="78"/>
      <c r="X1288" s="78"/>
    </row>
    <row r="1289" spans="1:24">
      <c r="A1289" s="34"/>
      <c r="I1289" s="78"/>
      <c r="J1289" s="78"/>
      <c r="K1289" s="78"/>
      <c r="L1289" s="78"/>
      <c r="V1289" s="78"/>
      <c r="W1289" s="78"/>
      <c r="X1289" s="78"/>
    </row>
    <row r="1290" spans="1:24">
      <c r="A1290" s="34"/>
      <c r="I1290" s="78"/>
      <c r="J1290" s="78"/>
      <c r="K1290" s="78"/>
      <c r="L1290" s="78"/>
      <c r="V1290" s="78"/>
      <c r="W1290" s="78"/>
      <c r="X1290" s="78"/>
    </row>
    <row r="1291" spans="1:24">
      <c r="A1291" s="34"/>
      <c r="I1291" s="78"/>
      <c r="J1291" s="78"/>
      <c r="K1291" s="78"/>
      <c r="L1291" s="78"/>
      <c r="V1291" s="78"/>
      <c r="W1291" s="78"/>
      <c r="X1291" s="78"/>
    </row>
    <row r="1292" spans="1:24">
      <c r="A1292" s="34"/>
      <c r="I1292" s="78"/>
      <c r="J1292" s="78"/>
      <c r="K1292" s="78"/>
      <c r="L1292" s="78"/>
      <c r="V1292" s="78"/>
      <c r="W1292" s="78"/>
      <c r="X1292" s="78"/>
    </row>
    <row r="1293" spans="1:24">
      <c r="A1293" s="34"/>
      <c r="I1293" s="78"/>
      <c r="J1293" s="78"/>
      <c r="K1293" s="78"/>
      <c r="L1293" s="78"/>
      <c r="V1293" s="78"/>
      <c r="W1293" s="78"/>
      <c r="X1293" s="78"/>
    </row>
    <row r="1294" spans="1:24">
      <c r="A1294" s="34"/>
      <c r="I1294" s="78"/>
      <c r="J1294" s="78"/>
      <c r="K1294" s="78"/>
      <c r="L1294" s="78"/>
      <c r="V1294" s="78"/>
      <c r="W1294" s="78"/>
      <c r="X1294" s="78"/>
    </row>
    <row r="1295" spans="1:24">
      <c r="A1295" s="34"/>
      <c r="I1295" s="78"/>
      <c r="J1295" s="78"/>
      <c r="K1295" s="78"/>
      <c r="L1295" s="78"/>
      <c r="V1295" s="78"/>
      <c r="W1295" s="78"/>
      <c r="X1295" s="78"/>
    </row>
    <row r="1296" spans="1:24">
      <c r="A1296" s="34"/>
      <c r="I1296" s="78"/>
      <c r="J1296" s="78"/>
      <c r="K1296" s="78"/>
      <c r="L1296" s="78"/>
      <c r="V1296" s="78"/>
      <c r="W1296" s="78"/>
      <c r="X1296" s="78"/>
    </row>
    <row r="1297" spans="1:24">
      <c r="A1297" s="34"/>
      <c r="I1297" s="78"/>
      <c r="J1297" s="78"/>
      <c r="K1297" s="78"/>
      <c r="L1297" s="78"/>
      <c r="V1297" s="78"/>
      <c r="W1297" s="78"/>
      <c r="X1297" s="78"/>
    </row>
    <row r="1298" spans="1:24">
      <c r="A1298" s="34"/>
      <c r="I1298" s="78"/>
      <c r="J1298" s="78"/>
      <c r="K1298" s="78"/>
      <c r="L1298" s="78"/>
      <c r="V1298" s="78"/>
      <c r="W1298" s="78"/>
      <c r="X1298" s="78"/>
    </row>
    <row r="1299" spans="1:24">
      <c r="A1299" s="34"/>
      <c r="I1299" s="78"/>
      <c r="J1299" s="78"/>
      <c r="K1299" s="78"/>
      <c r="L1299" s="78"/>
      <c r="V1299" s="78"/>
      <c r="W1299" s="78"/>
      <c r="X1299" s="78"/>
    </row>
    <row r="1300" spans="1:24">
      <c r="A1300" s="34"/>
      <c r="I1300" s="78"/>
      <c r="J1300" s="78"/>
      <c r="K1300" s="78"/>
      <c r="L1300" s="78"/>
      <c r="V1300" s="78"/>
      <c r="W1300" s="78"/>
      <c r="X1300" s="78"/>
    </row>
    <row r="1301" spans="1:24">
      <c r="A1301" s="34"/>
      <c r="I1301" s="78"/>
      <c r="J1301" s="78"/>
      <c r="K1301" s="78"/>
      <c r="L1301" s="78"/>
      <c r="V1301" s="78"/>
      <c r="W1301" s="78"/>
      <c r="X1301" s="78"/>
    </row>
    <row r="1302" spans="1:24">
      <c r="A1302" s="34"/>
      <c r="I1302" s="78"/>
      <c r="J1302" s="78"/>
      <c r="K1302" s="78"/>
      <c r="L1302" s="78"/>
      <c r="V1302" s="78"/>
      <c r="W1302" s="78"/>
      <c r="X1302" s="78"/>
    </row>
    <row r="1303" spans="1:24">
      <c r="A1303" s="34"/>
      <c r="I1303" s="78"/>
      <c r="J1303" s="78"/>
      <c r="K1303" s="78"/>
      <c r="L1303" s="78"/>
      <c r="V1303" s="78"/>
      <c r="W1303" s="78"/>
      <c r="X1303" s="78"/>
    </row>
    <row r="1304" spans="1:24">
      <c r="A1304" s="34"/>
      <c r="I1304" s="78"/>
      <c r="J1304" s="78"/>
      <c r="K1304" s="78"/>
      <c r="L1304" s="78"/>
      <c r="V1304" s="78"/>
      <c r="W1304" s="78"/>
      <c r="X1304" s="78"/>
    </row>
    <row r="1305" spans="1:24">
      <c r="A1305" s="34"/>
      <c r="I1305" s="78"/>
      <c r="J1305" s="78"/>
      <c r="K1305" s="78"/>
      <c r="L1305" s="78"/>
      <c r="V1305" s="78"/>
      <c r="W1305" s="78"/>
      <c r="X1305" s="78"/>
    </row>
    <row r="1306" spans="1:24">
      <c r="A1306" s="34"/>
      <c r="I1306" s="78"/>
      <c r="J1306" s="78"/>
      <c r="K1306" s="78"/>
      <c r="L1306" s="78"/>
      <c r="V1306" s="78"/>
      <c r="W1306" s="78"/>
      <c r="X1306" s="78"/>
    </row>
    <row r="1307" spans="1:24">
      <c r="A1307" s="34"/>
      <c r="I1307" s="78"/>
      <c r="J1307" s="78"/>
      <c r="K1307" s="78"/>
      <c r="L1307" s="78"/>
      <c r="V1307" s="78"/>
      <c r="W1307" s="78"/>
      <c r="X1307" s="78"/>
    </row>
    <row r="1308" spans="1:24">
      <c r="A1308" s="34"/>
      <c r="I1308" s="78"/>
      <c r="J1308" s="78"/>
      <c r="K1308" s="78"/>
      <c r="L1308" s="78"/>
      <c r="V1308" s="78"/>
      <c r="W1308" s="78"/>
      <c r="X1308" s="78"/>
    </row>
    <row r="1309" spans="1:24">
      <c r="A1309" s="34"/>
      <c r="I1309" s="78"/>
      <c r="J1309" s="78"/>
      <c r="K1309" s="78"/>
      <c r="L1309" s="78"/>
      <c r="V1309" s="78"/>
      <c r="W1309" s="78"/>
      <c r="X1309" s="78"/>
    </row>
    <row r="1310" spans="1:24">
      <c r="A1310" s="34"/>
      <c r="I1310" s="78"/>
      <c r="J1310" s="78"/>
      <c r="K1310" s="78"/>
      <c r="L1310" s="78"/>
      <c r="V1310" s="78"/>
      <c r="W1310" s="78"/>
      <c r="X1310" s="78"/>
    </row>
    <row r="1311" spans="1:24">
      <c r="A1311" s="34"/>
      <c r="I1311" s="78"/>
      <c r="J1311" s="78"/>
      <c r="K1311" s="78"/>
      <c r="L1311" s="78"/>
      <c r="V1311" s="78"/>
      <c r="W1311" s="78"/>
      <c r="X1311" s="78"/>
    </row>
    <row r="1312" spans="1:24">
      <c r="A1312" s="34"/>
      <c r="I1312" s="78"/>
      <c r="J1312" s="78"/>
      <c r="K1312" s="78"/>
      <c r="L1312" s="78"/>
      <c r="V1312" s="78"/>
      <c r="W1312" s="78"/>
      <c r="X1312" s="78"/>
    </row>
    <row r="1313" spans="1:24">
      <c r="A1313" s="34"/>
      <c r="I1313" s="78"/>
      <c r="J1313" s="78"/>
      <c r="K1313" s="78"/>
      <c r="L1313" s="78"/>
      <c r="V1313" s="78"/>
      <c r="W1313" s="78"/>
      <c r="X1313" s="78"/>
    </row>
    <row r="1314" spans="1:24">
      <c r="A1314" s="34"/>
      <c r="I1314" s="78"/>
      <c r="J1314" s="78"/>
      <c r="K1314" s="78"/>
      <c r="L1314" s="78"/>
      <c r="V1314" s="78"/>
      <c r="W1314" s="78"/>
      <c r="X1314" s="78"/>
    </row>
    <row r="1315" spans="1:24">
      <c r="A1315" s="34"/>
      <c r="I1315" s="78"/>
      <c r="J1315" s="78"/>
      <c r="K1315" s="78"/>
      <c r="L1315" s="78"/>
      <c r="V1315" s="78"/>
      <c r="W1315" s="78"/>
      <c r="X1315" s="78"/>
    </row>
    <row r="1316" spans="1:24">
      <c r="A1316" s="34"/>
      <c r="I1316" s="78"/>
      <c r="J1316" s="78"/>
      <c r="K1316" s="78"/>
      <c r="L1316" s="78"/>
      <c r="V1316" s="78"/>
      <c r="W1316" s="78"/>
      <c r="X1316" s="78"/>
    </row>
    <row r="1317" spans="1:24">
      <c r="A1317" s="34"/>
      <c r="I1317" s="78"/>
      <c r="J1317" s="78"/>
      <c r="K1317" s="78"/>
      <c r="L1317" s="78"/>
      <c r="V1317" s="78"/>
      <c r="W1317" s="78"/>
      <c r="X1317" s="78"/>
    </row>
    <row r="1318" spans="1:24">
      <c r="A1318" s="34"/>
      <c r="I1318" s="78"/>
      <c r="J1318" s="78"/>
      <c r="K1318" s="78"/>
      <c r="L1318" s="78"/>
      <c r="V1318" s="78"/>
      <c r="W1318" s="78"/>
      <c r="X1318" s="78"/>
    </row>
    <row r="1319" spans="1:24">
      <c r="A1319" s="34"/>
      <c r="I1319" s="78"/>
      <c r="J1319" s="78"/>
      <c r="K1319" s="78"/>
      <c r="L1319" s="78"/>
      <c r="V1319" s="78"/>
      <c r="W1319" s="78"/>
      <c r="X1319" s="78"/>
    </row>
    <row r="1320" spans="1:24">
      <c r="A1320" s="34"/>
      <c r="I1320" s="78"/>
      <c r="J1320" s="78"/>
      <c r="K1320" s="78"/>
      <c r="L1320" s="78"/>
      <c r="V1320" s="78"/>
      <c r="W1320" s="78"/>
      <c r="X1320" s="78"/>
    </row>
    <row r="1321" spans="1:24">
      <c r="A1321" s="34"/>
      <c r="I1321" s="78"/>
      <c r="J1321" s="78"/>
      <c r="K1321" s="78"/>
      <c r="L1321" s="78"/>
      <c r="V1321" s="78"/>
      <c r="W1321" s="78"/>
      <c r="X1321" s="78"/>
    </row>
    <row r="1322" spans="1:24">
      <c r="A1322" s="34"/>
      <c r="I1322" s="78"/>
      <c r="J1322" s="78"/>
      <c r="K1322" s="78"/>
      <c r="L1322" s="78"/>
      <c r="V1322" s="78"/>
      <c r="W1322" s="78"/>
      <c r="X1322" s="78"/>
    </row>
    <row r="1323" spans="1:24">
      <c r="A1323" s="34"/>
      <c r="I1323" s="78"/>
      <c r="J1323" s="78"/>
      <c r="K1323" s="78"/>
      <c r="L1323" s="78"/>
      <c r="V1323" s="78"/>
      <c r="W1323" s="78"/>
      <c r="X1323" s="78"/>
    </row>
    <row r="1324" spans="1:24">
      <c r="A1324" s="34"/>
      <c r="I1324" s="78"/>
      <c r="J1324" s="78"/>
      <c r="K1324" s="78"/>
      <c r="L1324" s="78"/>
      <c r="V1324" s="78"/>
      <c r="W1324" s="78"/>
      <c r="X1324" s="78"/>
    </row>
    <row r="1325" spans="1:24">
      <c r="A1325" s="34"/>
      <c r="I1325" s="78"/>
      <c r="J1325" s="78"/>
      <c r="K1325" s="78"/>
      <c r="L1325" s="78"/>
      <c r="V1325" s="78"/>
      <c r="W1325" s="78"/>
      <c r="X1325" s="78"/>
    </row>
    <row r="1326" spans="1:24">
      <c r="A1326" s="34"/>
      <c r="I1326" s="78"/>
      <c r="J1326" s="78"/>
      <c r="K1326" s="78"/>
      <c r="L1326" s="78"/>
      <c r="V1326" s="78"/>
      <c r="W1326" s="78"/>
      <c r="X1326" s="78"/>
    </row>
    <row r="1327" spans="1:24">
      <c r="A1327" s="34"/>
      <c r="I1327" s="78"/>
      <c r="J1327" s="78"/>
      <c r="K1327" s="78"/>
      <c r="L1327" s="78"/>
      <c r="V1327" s="78"/>
      <c r="W1327" s="78"/>
      <c r="X1327" s="78"/>
    </row>
    <row r="1328" spans="1:24">
      <c r="A1328" s="34"/>
      <c r="I1328" s="78"/>
      <c r="J1328" s="78"/>
      <c r="K1328" s="78"/>
      <c r="L1328" s="78"/>
      <c r="V1328" s="78"/>
      <c r="W1328" s="78"/>
      <c r="X1328" s="78"/>
    </row>
    <row r="1329" spans="1:24">
      <c r="A1329" s="34"/>
      <c r="I1329" s="78"/>
      <c r="J1329" s="78"/>
      <c r="K1329" s="78"/>
      <c r="L1329" s="78"/>
      <c r="V1329" s="78"/>
      <c r="W1329" s="78"/>
      <c r="X1329" s="78"/>
    </row>
    <row r="1330" spans="1:24">
      <c r="A1330" s="34"/>
      <c r="I1330" s="78"/>
      <c r="J1330" s="78"/>
      <c r="K1330" s="78"/>
      <c r="L1330" s="78"/>
      <c r="V1330" s="78"/>
      <c r="W1330" s="78"/>
      <c r="X1330" s="78"/>
    </row>
    <row r="1331" spans="1:24">
      <c r="A1331" s="34"/>
      <c r="I1331" s="78"/>
      <c r="J1331" s="78"/>
      <c r="K1331" s="78"/>
      <c r="L1331" s="78"/>
      <c r="V1331" s="78"/>
      <c r="W1331" s="78"/>
      <c r="X1331" s="78"/>
    </row>
    <row r="1332" spans="1:24">
      <c r="A1332" s="34"/>
      <c r="I1332" s="78"/>
      <c r="J1332" s="78"/>
      <c r="K1332" s="78"/>
      <c r="L1332" s="78"/>
      <c r="V1332" s="78"/>
      <c r="W1332" s="78"/>
      <c r="X1332" s="78"/>
    </row>
    <row r="1333" spans="1:24">
      <c r="A1333" s="34"/>
      <c r="I1333" s="78"/>
      <c r="J1333" s="78"/>
      <c r="K1333" s="78"/>
      <c r="L1333" s="78"/>
      <c r="V1333" s="78"/>
      <c r="W1333" s="78"/>
      <c r="X1333" s="78"/>
    </row>
    <row r="1334" spans="1:24">
      <c r="A1334" s="34"/>
      <c r="I1334" s="78"/>
      <c r="J1334" s="78"/>
      <c r="K1334" s="78"/>
      <c r="L1334" s="78"/>
      <c r="V1334" s="78"/>
      <c r="W1334" s="78"/>
      <c r="X1334" s="78"/>
    </row>
    <row r="1335" spans="1:24">
      <c r="A1335" s="34"/>
      <c r="I1335" s="78"/>
      <c r="J1335" s="78"/>
      <c r="K1335" s="78"/>
      <c r="L1335" s="78"/>
      <c r="V1335" s="78"/>
      <c r="W1335" s="78"/>
      <c r="X1335" s="78"/>
    </row>
    <row r="1336" spans="1:24">
      <c r="A1336" s="34"/>
      <c r="I1336" s="78"/>
      <c r="J1336" s="78"/>
      <c r="K1336" s="78"/>
      <c r="L1336" s="78"/>
      <c r="V1336" s="78"/>
      <c r="W1336" s="78"/>
      <c r="X1336" s="78"/>
    </row>
    <row r="1337" spans="1:24">
      <c r="A1337" s="34"/>
      <c r="I1337" s="78"/>
      <c r="J1337" s="78"/>
      <c r="K1337" s="78"/>
      <c r="L1337" s="78"/>
      <c r="V1337" s="78"/>
      <c r="W1337" s="78"/>
      <c r="X1337" s="78"/>
    </row>
    <row r="1338" spans="1:24">
      <c r="A1338" s="34"/>
      <c r="I1338" s="78"/>
      <c r="J1338" s="78"/>
      <c r="K1338" s="78"/>
      <c r="L1338" s="78"/>
      <c r="V1338" s="78"/>
      <c r="W1338" s="78"/>
      <c r="X1338" s="78"/>
    </row>
    <row r="1339" spans="1:24">
      <c r="A1339" s="34"/>
      <c r="I1339" s="78"/>
      <c r="J1339" s="78"/>
      <c r="K1339" s="78"/>
      <c r="L1339" s="78"/>
      <c r="V1339" s="78"/>
      <c r="W1339" s="78"/>
      <c r="X1339" s="78"/>
    </row>
    <row r="1340" spans="1:24">
      <c r="A1340" s="34"/>
      <c r="I1340" s="78"/>
      <c r="J1340" s="78"/>
      <c r="K1340" s="78"/>
      <c r="L1340" s="78"/>
      <c r="V1340" s="78"/>
      <c r="W1340" s="78"/>
      <c r="X1340" s="78"/>
    </row>
    <row r="1341" spans="1:24">
      <c r="A1341" s="34"/>
      <c r="I1341" s="78"/>
      <c r="J1341" s="78"/>
      <c r="K1341" s="78"/>
      <c r="L1341" s="78"/>
      <c r="V1341" s="78"/>
      <c r="W1341" s="78"/>
      <c r="X1341" s="78"/>
    </row>
    <row r="1342" spans="1:24">
      <c r="A1342" s="34"/>
      <c r="I1342" s="78"/>
      <c r="J1342" s="78"/>
      <c r="K1342" s="78"/>
      <c r="L1342" s="78"/>
      <c r="V1342" s="78"/>
      <c r="W1342" s="78"/>
      <c r="X1342" s="78"/>
    </row>
    <row r="1343" spans="1:24">
      <c r="A1343" s="34"/>
      <c r="I1343" s="78"/>
      <c r="J1343" s="78"/>
      <c r="K1343" s="78"/>
      <c r="L1343" s="78"/>
      <c r="V1343" s="78"/>
      <c r="W1343" s="78"/>
      <c r="X1343" s="78"/>
    </row>
    <row r="1344" spans="1:24">
      <c r="A1344" s="34"/>
      <c r="I1344" s="78"/>
      <c r="J1344" s="78"/>
      <c r="K1344" s="78"/>
      <c r="L1344" s="78"/>
      <c r="V1344" s="78"/>
      <c r="W1344" s="78"/>
      <c r="X1344" s="78"/>
    </row>
    <row r="1345" spans="1:24">
      <c r="A1345" s="34"/>
      <c r="I1345" s="78"/>
      <c r="J1345" s="78"/>
      <c r="K1345" s="78"/>
      <c r="L1345" s="78"/>
      <c r="V1345" s="78"/>
      <c r="W1345" s="78"/>
      <c r="X1345" s="78"/>
    </row>
    <row r="1346" spans="1:24">
      <c r="A1346" s="34"/>
      <c r="I1346" s="78"/>
      <c r="J1346" s="78"/>
      <c r="K1346" s="78"/>
      <c r="L1346" s="78"/>
      <c r="V1346" s="78"/>
      <c r="W1346" s="78"/>
      <c r="X1346" s="78"/>
    </row>
    <row r="1347" spans="1:24">
      <c r="A1347" s="34"/>
      <c r="I1347" s="78"/>
      <c r="J1347" s="78"/>
      <c r="K1347" s="78"/>
      <c r="L1347" s="78"/>
      <c r="V1347" s="78"/>
      <c r="W1347" s="78"/>
      <c r="X1347" s="78"/>
    </row>
    <row r="1348" spans="1:24">
      <c r="A1348" s="34"/>
      <c r="I1348" s="78"/>
      <c r="J1348" s="78"/>
      <c r="K1348" s="78"/>
      <c r="L1348" s="78"/>
      <c r="V1348" s="78"/>
      <c r="W1348" s="78"/>
      <c r="X1348" s="78"/>
    </row>
    <row r="1349" spans="1:24">
      <c r="A1349" s="34"/>
      <c r="I1349" s="78"/>
      <c r="J1349" s="78"/>
      <c r="K1349" s="78"/>
      <c r="L1349" s="78"/>
      <c r="V1349" s="78"/>
      <c r="W1349" s="78"/>
      <c r="X1349" s="78"/>
    </row>
    <row r="1350" spans="1:24">
      <c r="A1350" s="34"/>
      <c r="I1350" s="78"/>
      <c r="J1350" s="78"/>
      <c r="K1350" s="78"/>
      <c r="L1350" s="78"/>
      <c r="V1350" s="78"/>
      <c r="W1350" s="78"/>
      <c r="X1350" s="78"/>
    </row>
    <row r="1351" spans="1:24">
      <c r="A1351" s="34"/>
      <c r="I1351" s="78"/>
      <c r="J1351" s="78"/>
      <c r="K1351" s="78"/>
      <c r="L1351" s="78"/>
      <c r="V1351" s="78"/>
      <c r="W1351" s="78"/>
      <c r="X1351" s="78"/>
    </row>
    <row r="1352" spans="1:24">
      <c r="A1352" s="34"/>
      <c r="I1352" s="78"/>
      <c r="J1352" s="78"/>
      <c r="K1352" s="78"/>
      <c r="L1352" s="78"/>
      <c r="V1352" s="78"/>
      <c r="W1352" s="78"/>
      <c r="X1352" s="78"/>
    </row>
    <row r="1353" spans="1:24">
      <c r="A1353" s="34"/>
      <c r="I1353" s="78"/>
      <c r="J1353" s="78"/>
      <c r="K1353" s="78"/>
      <c r="L1353" s="78"/>
      <c r="V1353" s="78"/>
      <c r="W1353" s="78"/>
      <c r="X1353" s="78"/>
    </row>
    <row r="1354" spans="1:24">
      <c r="A1354" s="34"/>
      <c r="I1354" s="78"/>
      <c r="J1354" s="78"/>
      <c r="K1354" s="78"/>
      <c r="L1354" s="78"/>
      <c r="V1354" s="78"/>
      <c r="W1354" s="78"/>
      <c r="X1354" s="78"/>
    </row>
    <row r="1355" spans="1:24">
      <c r="A1355" s="34"/>
      <c r="I1355" s="78"/>
      <c r="J1355" s="78"/>
      <c r="K1355" s="78"/>
      <c r="L1355" s="78"/>
      <c r="V1355" s="78"/>
      <c r="W1355" s="78"/>
      <c r="X1355" s="78"/>
    </row>
    <row r="1356" spans="1:24">
      <c r="A1356" s="34"/>
      <c r="I1356" s="78"/>
      <c r="J1356" s="78"/>
      <c r="K1356" s="78"/>
      <c r="L1356" s="78"/>
      <c r="V1356" s="78"/>
      <c r="W1356" s="78"/>
      <c r="X1356" s="78"/>
    </row>
    <row r="1357" spans="1:24">
      <c r="A1357" s="34"/>
      <c r="I1357" s="78"/>
      <c r="J1357" s="78"/>
      <c r="K1357" s="78"/>
      <c r="L1357" s="78"/>
      <c r="V1357" s="78"/>
      <c r="W1357" s="78"/>
      <c r="X1357" s="78"/>
    </row>
    <row r="1358" spans="1:24">
      <c r="A1358" s="34"/>
      <c r="I1358" s="78"/>
      <c r="J1358" s="78"/>
      <c r="K1358" s="78"/>
      <c r="L1358" s="78"/>
      <c r="V1358" s="78"/>
      <c r="W1358" s="78"/>
      <c r="X1358" s="78"/>
    </row>
    <row r="1359" spans="1:24">
      <c r="A1359" s="34"/>
      <c r="I1359" s="78"/>
      <c r="J1359" s="78"/>
      <c r="K1359" s="78"/>
      <c r="L1359" s="78"/>
      <c r="V1359" s="78"/>
      <c r="W1359" s="78"/>
      <c r="X1359" s="78"/>
    </row>
    <row r="1360" spans="1:24">
      <c r="A1360" s="34"/>
      <c r="I1360" s="78"/>
      <c r="J1360" s="78"/>
      <c r="K1360" s="78"/>
      <c r="L1360" s="78"/>
      <c r="V1360" s="78"/>
      <c r="W1360" s="78"/>
      <c r="X1360" s="78"/>
    </row>
    <row r="1361" spans="1:24">
      <c r="A1361" s="34"/>
      <c r="I1361" s="78"/>
      <c r="J1361" s="78"/>
      <c r="K1361" s="78"/>
      <c r="L1361" s="78"/>
      <c r="V1361" s="78"/>
      <c r="W1361" s="78"/>
      <c r="X1361" s="78"/>
    </row>
    <row r="1362" spans="1:24">
      <c r="A1362" s="34"/>
      <c r="I1362" s="78"/>
      <c r="J1362" s="78"/>
      <c r="K1362" s="78"/>
      <c r="L1362" s="78"/>
      <c r="V1362" s="78"/>
      <c r="W1362" s="78"/>
      <c r="X1362" s="78"/>
    </row>
    <row r="1363" spans="1:24">
      <c r="A1363" s="34"/>
      <c r="I1363" s="78"/>
      <c r="J1363" s="78"/>
      <c r="K1363" s="78"/>
      <c r="L1363" s="78"/>
      <c r="V1363" s="78"/>
      <c r="W1363" s="78"/>
      <c r="X1363" s="78"/>
    </row>
    <row r="1364" spans="1:24">
      <c r="A1364" s="34"/>
      <c r="I1364" s="78"/>
      <c r="J1364" s="78"/>
      <c r="K1364" s="78"/>
      <c r="L1364" s="78"/>
      <c r="V1364" s="78"/>
      <c r="W1364" s="78"/>
      <c r="X1364" s="78"/>
    </row>
    <row r="1365" spans="1:24">
      <c r="A1365" s="34"/>
      <c r="I1365" s="78"/>
      <c r="J1365" s="78"/>
      <c r="K1365" s="78"/>
      <c r="L1365" s="78"/>
      <c r="V1365" s="78"/>
      <c r="W1365" s="78"/>
      <c r="X1365" s="78"/>
    </row>
    <row r="1366" spans="1:24">
      <c r="A1366" s="34"/>
      <c r="I1366" s="78"/>
      <c r="J1366" s="78"/>
      <c r="K1366" s="78"/>
      <c r="L1366" s="78"/>
      <c r="V1366" s="78"/>
      <c r="W1366" s="78"/>
      <c r="X1366" s="78"/>
    </row>
    <row r="1367" spans="1:24">
      <c r="A1367" s="34"/>
      <c r="I1367" s="78"/>
      <c r="J1367" s="78"/>
      <c r="K1367" s="78"/>
      <c r="L1367" s="78"/>
      <c r="V1367" s="78"/>
      <c r="W1367" s="78"/>
      <c r="X1367" s="78"/>
    </row>
    <row r="1368" spans="1:24">
      <c r="A1368" s="34"/>
      <c r="I1368" s="78"/>
      <c r="J1368" s="78"/>
      <c r="K1368" s="78"/>
      <c r="L1368" s="78"/>
      <c r="V1368" s="78"/>
      <c r="W1368" s="78"/>
      <c r="X1368" s="78"/>
    </row>
    <row r="1369" spans="1:24">
      <c r="A1369" s="34"/>
      <c r="I1369" s="78"/>
      <c r="J1369" s="78"/>
      <c r="K1369" s="78"/>
      <c r="L1369" s="78"/>
      <c r="V1369" s="78"/>
      <c r="W1369" s="78"/>
      <c r="X1369" s="78"/>
    </row>
    <row r="1370" spans="1:24">
      <c r="A1370" s="34"/>
      <c r="I1370" s="78"/>
      <c r="J1370" s="78"/>
      <c r="K1370" s="78"/>
      <c r="L1370" s="78"/>
      <c r="V1370" s="78"/>
      <c r="W1370" s="78"/>
      <c r="X1370" s="78"/>
    </row>
    <row r="1371" spans="1:24">
      <c r="A1371" s="34"/>
      <c r="I1371" s="78"/>
      <c r="J1371" s="78"/>
      <c r="K1371" s="78"/>
      <c r="L1371" s="78"/>
      <c r="V1371" s="78"/>
      <c r="W1371" s="78"/>
      <c r="X1371" s="78"/>
    </row>
    <row r="1372" spans="1:24">
      <c r="A1372" s="34"/>
      <c r="I1372" s="78"/>
      <c r="J1372" s="78"/>
      <c r="K1372" s="78"/>
      <c r="L1372" s="78"/>
      <c r="V1372" s="78"/>
      <c r="W1372" s="78"/>
      <c r="X1372" s="78"/>
    </row>
    <row r="1373" spans="1:24">
      <c r="A1373" s="34"/>
      <c r="I1373" s="78"/>
      <c r="J1373" s="78"/>
      <c r="K1373" s="78"/>
      <c r="L1373" s="78"/>
      <c r="V1373" s="78"/>
      <c r="W1373" s="78"/>
      <c r="X1373" s="78"/>
    </row>
    <row r="1374" spans="1:24">
      <c r="A1374" s="34"/>
      <c r="I1374" s="78"/>
      <c r="J1374" s="78"/>
      <c r="K1374" s="78"/>
      <c r="L1374" s="78"/>
      <c r="V1374" s="78"/>
      <c r="W1374" s="78"/>
      <c r="X1374" s="78"/>
    </row>
    <row r="1375" spans="1:24">
      <c r="A1375" s="34"/>
      <c r="I1375" s="78"/>
      <c r="J1375" s="78"/>
      <c r="K1375" s="78"/>
      <c r="L1375" s="78"/>
      <c r="V1375" s="78"/>
      <c r="W1375" s="78"/>
      <c r="X1375" s="78"/>
    </row>
    <row r="1376" spans="1:24">
      <c r="A1376" s="34"/>
      <c r="I1376" s="78"/>
      <c r="J1376" s="78"/>
      <c r="K1376" s="78"/>
      <c r="L1376" s="78"/>
      <c r="V1376" s="78"/>
      <c r="W1376" s="78"/>
      <c r="X1376" s="78"/>
    </row>
    <row r="1377" spans="1:24">
      <c r="A1377" s="34"/>
      <c r="I1377" s="78"/>
      <c r="J1377" s="78"/>
      <c r="K1377" s="78"/>
      <c r="L1377" s="78"/>
      <c r="V1377" s="78"/>
      <c r="W1377" s="78"/>
      <c r="X1377" s="78"/>
    </row>
    <row r="1378" spans="1:24">
      <c r="A1378" s="34"/>
      <c r="I1378" s="78"/>
      <c r="J1378" s="78"/>
      <c r="K1378" s="78"/>
      <c r="L1378" s="78"/>
      <c r="V1378" s="78"/>
      <c r="W1378" s="78"/>
      <c r="X1378" s="78"/>
    </row>
    <row r="1379" spans="1:24">
      <c r="A1379" s="34"/>
      <c r="I1379" s="78"/>
      <c r="J1379" s="78"/>
      <c r="K1379" s="78"/>
      <c r="L1379" s="78"/>
      <c r="V1379" s="78"/>
      <c r="W1379" s="78"/>
      <c r="X1379" s="78"/>
    </row>
    <row r="1380" spans="1:24">
      <c r="A1380" s="34"/>
      <c r="I1380" s="78"/>
      <c r="J1380" s="78"/>
      <c r="K1380" s="78"/>
      <c r="L1380" s="78"/>
      <c r="V1380" s="78"/>
      <c r="W1380" s="78"/>
      <c r="X1380" s="78"/>
    </row>
    <row r="1381" spans="1:24">
      <c r="A1381" s="34"/>
      <c r="I1381" s="78"/>
      <c r="J1381" s="78"/>
      <c r="K1381" s="78"/>
      <c r="L1381" s="78"/>
      <c r="V1381" s="78"/>
      <c r="W1381" s="78"/>
      <c r="X1381" s="78"/>
    </row>
    <row r="1382" spans="1:24">
      <c r="A1382" s="34"/>
      <c r="I1382" s="78"/>
      <c r="J1382" s="78"/>
      <c r="K1382" s="78"/>
      <c r="L1382" s="78"/>
      <c r="V1382" s="78"/>
      <c r="W1382" s="78"/>
      <c r="X1382" s="78"/>
    </row>
    <row r="1383" spans="1:24">
      <c r="A1383" s="34"/>
      <c r="I1383" s="78"/>
      <c r="J1383" s="78"/>
      <c r="K1383" s="78"/>
      <c r="L1383" s="78"/>
      <c r="V1383" s="78"/>
      <c r="W1383" s="78"/>
      <c r="X1383" s="78"/>
    </row>
    <row r="1384" spans="1:24">
      <c r="A1384" s="34"/>
      <c r="I1384" s="78"/>
      <c r="J1384" s="78"/>
      <c r="K1384" s="78"/>
      <c r="L1384" s="78"/>
      <c r="V1384" s="78"/>
      <c r="W1384" s="78"/>
      <c r="X1384" s="78"/>
    </row>
    <row r="1385" spans="1:24">
      <c r="A1385" s="34"/>
      <c r="I1385" s="78"/>
      <c r="J1385" s="78"/>
      <c r="K1385" s="78"/>
      <c r="L1385" s="78"/>
      <c r="V1385" s="78"/>
      <c r="W1385" s="78"/>
      <c r="X1385" s="78"/>
    </row>
    <row r="1386" spans="1:24">
      <c r="A1386" s="34"/>
      <c r="I1386" s="78"/>
      <c r="J1386" s="78"/>
      <c r="K1386" s="78"/>
      <c r="L1386" s="78"/>
      <c r="V1386" s="78"/>
      <c r="W1386" s="78"/>
      <c r="X1386" s="78"/>
    </row>
    <row r="1387" spans="1:24">
      <c r="A1387" s="34"/>
      <c r="I1387" s="78"/>
      <c r="J1387" s="78"/>
      <c r="K1387" s="78"/>
      <c r="L1387" s="78"/>
      <c r="V1387" s="78"/>
      <c r="W1387" s="78"/>
      <c r="X1387" s="78"/>
    </row>
    <row r="1388" spans="1:24">
      <c r="A1388" s="34"/>
      <c r="I1388" s="78"/>
      <c r="J1388" s="78"/>
      <c r="K1388" s="78"/>
      <c r="L1388" s="78"/>
      <c r="V1388" s="78"/>
      <c r="W1388" s="78"/>
      <c r="X1388" s="78"/>
    </row>
    <row r="1389" spans="1:24">
      <c r="A1389" s="34"/>
      <c r="I1389" s="78"/>
      <c r="J1389" s="78"/>
      <c r="K1389" s="78"/>
      <c r="L1389" s="78"/>
      <c r="V1389" s="78"/>
      <c r="W1389" s="78"/>
      <c r="X1389" s="78"/>
    </row>
    <row r="1390" spans="1:24">
      <c r="A1390" s="34"/>
      <c r="I1390" s="78"/>
      <c r="J1390" s="78"/>
      <c r="K1390" s="78"/>
      <c r="L1390" s="78"/>
      <c r="V1390" s="78"/>
      <c r="W1390" s="78"/>
      <c r="X1390" s="78"/>
    </row>
    <row r="1391" spans="1:24">
      <c r="A1391" s="34"/>
      <c r="I1391" s="78"/>
      <c r="J1391" s="78"/>
      <c r="K1391" s="78"/>
      <c r="L1391" s="78"/>
      <c r="V1391" s="78"/>
      <c r="W1391" s="78"/>
      <c r="X1391" s="78"/>
    </row>
    <row r="1392" spans="1:24">
      <c r="A1392" s="34"/>
      <c r="I1392" s="78"/>
      <c r="J1392" s="78"/>
      <c r="K1392" s="78"/>
      <c r="L1392" s="78"/>
      <c r="V1392" s="78"/>
      <c r="W1392" s="78"/>
      <c r="X1392" s="78"/>
    </row>
    <row r="1393" spans="1:24">
      <c r="A1393" s="34"/>
      <c r="I1393" s="78"/>
      <c r="J1393" s="78"/>
      <c r="K1393" s="78"/>
      <c r="L1393" s="78"/>
      <c r="V1393" s="78"/>
      <c r="W1393" s="78"/>
      <c r="X1393" s="78"/>
    </row>
    <row r="1394" spans="1:24">
      <c r="A1394" s="34"/>
      <c r="I1394" s="78"/>
      <c r="J1394" s="78"/>
      <c r="K1394" s="78"/>
      <c r="L1394" s="78"/>
      <c r="V1394" s="78"/>
      <c r="W1394" s="78"/>
      <c r="X1394" s="78"/>
    </row>
    <row r="1395" spans="1:24">
      <c r="A1395" s="34"/>
      <c r="I1395" s="78"/>
      <c r="J1395" s="78"/>
      <c r="K1395" s="78"/>
      <c r="L1395" s="78"/>
      <c r="V1395" s="78"/>
      <c r="W1395" s="78"/>
      <c r="X1395" s="78"/>
    </row>
    <row r="1396" spans="1:24">
      <c r="A1396" s="34"/>
      <c r="I1396" s="78"/>
      <c r="J1396" s="78"/>
      <c r="K1396" s="78"/>
      <c r="L1396" s="78"/>
      <c r="V1396" s="78"/>
      <c r="W1396" s="78"/>
      <c r="X1396" s="78"/>
    </row>
    <row r="1397" spans="1:24">
      <c r="A1397" s="34"/>
      <c r="I1397" s="78"/>
      <c r="J1397" s="78"/>
      <c r="K1397" s="78"/>
      <c r="L1397" s="78"/>
      <c r="V1397" s="78"/>
      <c r="W1397" s="78"/>
      <c r="X1397" s="78"/>
    </row>
    <row r="1398" spans="1:24">
      <c r="A1398" s="34"/>
      <c r="I1398" s="78"/>
      <c r="J1398" s="78"/>
      <c r="K1398" s="78"/>
      <c r="L1398" s="78"/>
      <c r="V1398" s="78"/>
      <c r="W1398" s="78"/>
      <c r="X1398" s="78"/>
    </row>
    <row r="1399" spans="1:24">
      <c r="A1399" s="34"/>
      <c r="I1399" s="78"/>
      <c r="J1399" s="78"/>
      <c r="K1399" s="78"/>
      <c r="L1399" s="78"/>
      <c r="V1399" s="78"/>
      <c r="W1399" s="78"/>
      <c r="X1399" s="78"/>
    </row>
    <row r="1400" spans="1:24">
      <c r="A1400" s="34"/>
      <c r="I1400" s="78"/>
      <c r="J1400" s="78"/>
      <c r="K1400" s="78"/>
      <c r="L1400" s="78"/>
      <c r="V1400" s="78"/>
      <c r="W1400" s="78"/>
      <c r="X1400" s="78"/>
    </row>
    <row r="1401" spans="1:24">
      <c r="A1401" s="34"/>
      <c r="I1401" s="78"/>
      <c r="J1401" s="78"/>
      <c r="K1401" s="78"/>
      <c r="L1401" s="78"/>
      <c r="V1401" s="78"/>
      <c r="W1401" s="78"/>
      <c r="X1401" s="78"/>
    </row>
    <row r="1402" spans="1:24">
      <c r="A1402" s="34"/>
      <c r="I1402" s="78"/>
      <c r="J1402" s="78"/>
      <c r="K1402" s="78"/>
      <c r="L1402" s="78"/>
      <c r="V1402" s="78"/>
      <c r="W1402" s="78"/>
      <c r="X1402" s="78"/>
    </row>
    <row r="1403" spans="1:24">
      <c r="A1403" s="34"/>
      <c r="I1403" s="78"/>
      <c r="J1403" s="78"/>
      <c r="K1403" s="78"/>
      <c r="L1403" s="78"/>
      <c r="V1403" s="78"/>
      <c r="W1403" s="78"/>
      <c r="X1403" s="78"/>
    </row>
    <row r="1404" spans="1:24">
      <c r="A1404" s="34"/>
      <c r="I1404" s="78"/>
      <c r="J1404" s="78"/>
      <c r="K1404" s="78"/>
      <c r="L1404" s="78"/>
      <c r="V1404" s="78"/>
      <c r="W1404" s="78"/>
      <c r="X1404" s="78"/>
    </row>
    <row r="1405" spans="1:24">
      <c r="A1405" s="34"/>
      <c r="I1405" s="78"/>
      <c r="J1405" s="78"/>
      <c r="K1405" s="78"/>
      <c r="L1405" s="78"/>
      <c r="V1405" s="78"/>
      <c r="W1405" s="78"/>
      <c r="X1405" s="78"/>
    </row>
    <row r="1406" spans="1:24">
      <c r="A1406" s="34"/>
      <c r="I1406" s="78"/>
      <c r="J1406" s="78"/>
      <c r="K1406" s="78"/>
      <c r="L1406" s="78"/>
      <c r="V1406" s="78"/>
      <c r="W1406" s="78"/>
      <c r="X1406" s="78"/>
    </row>
    <row r="1407" spans="1:24">
      <c r="A1407" s="34"/>
      <c r="I1407" s="78"/>
      <c r="J1407" s="78"/>
      <c r="K1407" s="78"/>
      <c r="L1407" s="78"/>
      <c r="V1407" s="78"/>
      <c r="W1407" s="78"/>
      <c r="X1407" s="78"/>
    </row>
    <row r="1408" spans="1:24">
      <c r="A1408" s="34"/>
      <c r="I1408" s="78"/>
      <c r="J1408" s="78"/>
      <c r="K1408" s="78"/>
      <c r="L1408" s="78"/>
      <c r="V1408" s="78"/>
      <c r="W1408" s="78"/>
      <c r="X1408" s="78"/>
    </row>
    <row r="1409" spans="1:24">
      <c r="A1409" s="34"/>
      <c r="I1409" s="78"/>
      <c r="J1409" s="78"/>
      <c r="K1409" s="78"/>
      <c r="L1409" s="78"/>
      <c r="V1409" s="78"/>
      <c r="W1409" s="78"/>
      <c r="X1409" s="78"/>
    </row>
    <row r="1410" spans="1:24">
      <c r="A1410" s="34"/>
      <c r="I1410" s="78"/>
      <c r="J1410" s="78"/>
      <c r="K1410" s="78"/>
      <c r="L1410" s="78"/>
      <c r="V1410" s="78"/>
      <c r="W1410" s="78"/>
      <c r="X1410" s="78"/>
    </row>
    <row r="1411" spans="1:24">
      <c r="A1411" s="34"/>
      <c r="I1411" s="78"/>
      <c r="J1411" s="78"/>
      <c r="K1411" s="78"/>
      <c r="L1411" s="78"/>
      <c r="V1411" s="78"/>
      <c r="W1411" s="78"/>
      <c r="X1411" s="78"/>
    </row>
    <row r="1412" spans="1:24">
      <c r="A1412" s="34"/>
      <c r="I1412" s="78"/>
      <c r="J1412" s="78"/>
      <c r="K1412" s="78"/>
      <c r="L1412" s="78"/>
      <c r="V1412" s="78"/>
      <c r="W1412" s="78"/>
      <c r="X1412" s="78"/>
    </row>
    <row r="1413" spans="1:24">
      <c r="A1413" s="34"/>
      <c r="I1413" s="78"/>
      <c r="J1413" s="78"/>
      <c r="K1413" s="78"/>
      <c r="L1413" s="78"/>
      <c r="V1413" s="78"/>
      <c r="W1413" s="78"/>
      <c r="X1413" s="78"/>
    </row>
    <row r="1414" spans="1:24">
      <c r="A1414" s="34"/>
      <c r="I1414" s="78"/>
      <c r="J1414" s="78"/>
      <c r="K1414" s="78"/>
      <c r="L1414" s="78"/>
      <c r="V1414" s="78"/>
      <c r="W1414" s="78"/>
      <c r="X1414" s="78"/>
    </row>
    <row r="1415" spans="1:24">
      <c r="A1415" s="34"/>
      <c r="I1415" s="78"/>
      <c r="J1415" s="78"/>
      <c r="K1415" s="78"/>
      <c r="L1415" s="78"/>
      <c r="V1415" s="78"/>
      <c r="W1415" s="78"/>
      <c r="X1415" s="78"/>
    </row>
    <row r="1416" spans="1:24">
      <c r="A1416" s="34"/>
      <c r="I1416" s="78"/>
      <c r="J1416" s="78"/>
      <c r="K1416" s="78"/>
      <c r="L1416" s="78"/>
      <c r="V1416" s="78"/>
      <c r="W1416" s="78"/>
      <c r="X1416" s="78"/>
    </row>
    <row r="1417" spans="1:24">
      <c r="A1417" s="34"/>
      <c r="I1417" s="78"/>
      <c r="J1417" s="78"/>
      <c r="K1417" s="78"/>
      <c r="L1417" s="78"/>
      <c r="V1417" s="78"/>
      <c r="W1417" s="78"/>
      <c r="X1417" s="78"/>
    </row>
    <row r="1418" spans="1:24">
      <c r="A1418" s="34"/>
      <c r="I1418" s="78"/>
      <c r="J1418" s="78"/>
      <c r="K1418" s="78"/>
      <c r="L1418" s="78"/>
      <c r="V1418" s="78"/>
      <c r="W1418" s="78"/>
      <c r="X1418" s="78"/>
    </row>
    <row r="1419" spans="1:24">
      <c r="A1419" s="34"/>
      <c r="I1419" s="78"/>
      <c r="J1419" s="78"/>
      <c r="K1419" s="78"/>
      <c r="L1419" s="78"/>
      <c r="V1419" s="78"/>
      <c r="W1419" s="78"/>
      <c r="X1419" s="78"/>
    </row>
    <row r="1420" spans="1:24">
      <c r="A1420" s="34"/>
      <c r="I1420" s="78"/>
      <c r="J1420" s="78"/>
      <c r="K1420" s="78"/>
      <c r="L1420" s="78"/>
      <c r="V1420" s="78"/>
      <c r="W1420" s="78"/>
      <c r="X1420" s="78"/>
    </row>
    <row r="1421" spans="1:24">
      <c r="A1421" s="34"/>
      <c r="I1421" s="78"/>
      <c r="J1421" s="78"/>
      <c r="K1421" s="78"/>
      <c r="L1421" s="78"/>
      <c r="V1421" s="78"/>
      <c r="W1421" s="78"/>
      <c r="X1421" s="78"/>
    </row>
    <row r="1422" spans="1:24">
      <c r="A1422" s="34"/>
      <c r="I1422" s="78"/>
      <c r="J1422" s="78"/>
      <c r="K1422" s="78"/>
      <c r="L1422" s="78"/>
      <c r="V1422" s="78"/>
      <c r="W1422" s="78"/>
      <c r="X1422" s="78"/>
    </row>
    <row r="1423" spans="1:24">
      <c r="A1423" s="34"/>
      <c r="I1423" s="78"/>
      <c r="J1423" s="78"/>
      <c r="K1423" s="78"/>
      <c r="L1423" s="78"/>
      <c r="V1423" s="78"/>
      <c r="W1423" s="78"/>
      <c r="X1423" s="78"/>
    </row>
    <row r="1424" spans="1:24">
      <c r="A1424" s="34"/>
      <c r="I1424" s="78"/>
      <c r="J1424" s="78"/>
      <c r="K1424" s="78"/>
      <c r="L1424" s="78"/>
      <c r="V1424" s="78"/>
      <c r="W1424" s="78"/>
      <c r="X1424" s="78"/>
    </row>
    <row r="1425" spans="1:24">
      <c r="A1425" s="34"/>
      <c r="I1425" s="78"/>
      <c r="J1425" s="78"/>
      <c r="K1425" s="78"/>
      <c r="L1425" s="78"/>
      <c r="V1425" s="78"/>
      <c r="W1425" s="78"/>
      <c r="X1425" s="78"/>
    </row>
    <row r="1426" spans="1:24">
      <c r="A1426" s="34"/>
      <c r="I1426" s="78"/>
      <c r="J1426" s="78"/>
      <c r="K1426" s="78"/>
      <c r="L1426" s="78"/>
      <c r="V1426" s="78"/>
      <c r="W1426" s="78"/>
      <c r="X1426" s="78"/>
    </row>
    <row r="1427" spans="1:24">
      <c r="A1427" s="34"/>
      <c r="I1427" s="78"/>
      <c r="J1427" s="78"/>
      <c r="K1427" s="78"/>
      <c r="L1427" s="78"/>
      <c r="V1427" s="78"/>
      <c r="W1427" s="78"/>
      <c r="X1427" s="78"/>
    </row>
    <row r="1428" spans="1:24">
      <c r="A1428" s="34"/>
      <c r="I1428" s="78"/>
      <c r="J1428" s="78"/>
      <c r="K1428" s="78"/>
      <c r="L1428" s="78"/>
      <c r="V1428" s="78"/>
      <c r="W1428" s="78"/>
      <c r="X1428" s="78"/>
    </row>
    <row r="1429" spans="1:24">
      <c r="A1429" s="34"/>
      <c r="I1429" s="78"/>
      <c r="J1429" s="78"/>
      <c r="K1429" s="78"/>
      <c r="L1429" s="78"/>
      <c r="V1429" s="78"/>
      <c r="W1429" s="78"/>
      <c r="X1429" s="78"/>
    </row>
    <row r="1430" spans="1:24">
      <c r="A1430" s="34"/>
      <c r="I1430" s="78"/>
      <c r="J1430" s="78"/>
      <c r="K1430" s="78"/>
      <c r="L1430" s="78"/>
      <c r="V1430" s="78"/>
      <c r="W1430" s="78"/>
      <c r="X1430" s="78"/>
    </row>
    <row r="1431" spans="1:24">
      <c r="A1431" s="34"/>
      <c r="I1431" s="78"/>
      <c r="J1431" s="78"/>
      <c r="K1431" s="78"/>
      <c r="L1431" s="78"/>
      <c r="V1431" s="78"/>
      <c r="W1431" s="78"/>
      <c r="X1431" s="78"/>
    </row>
    <row r="1432" spans="1:24">
      <c r="A1432" s="34"/>
      <c r="I1432" s="78"/>
      <c r="J1432" s="78"/>
      <c r="K1432" s="78"/>
      <c r="L1432" s="78"/>
      <c r="V1432" s="78"/>
      <c r="W1432" s="78"/>
      <c r="X1432" s="78"/>
    </row>
    <row r="1433" spans="1:24">
      <c r="A1433" s="34"/>
      <c r="I1433" s="78"/>
      <c r="J1433" s="78"/>
      <c r="K1433" s="78"/>
      <c r="L1433" s="78"/>
      <c r="V1433" s="78"/>
      <c r="W1433" s="78"/>
      <c r="X1433" s="78"/>
    </row>
    <row r="1434" spans="1:24">
      <c r="A1434" s="34"/>
      <c r="I1434" s="78"/>
      <c r="J1434" s="78"/>
      <c r="K1434" s="78"/>
      <c r="L1434" s="78"/>
      <c r="V1434" s="78"/>
      <c r="W1434" s="78"/>
      <c r="X1434" s="78"/>
    </row>
    <row r="1435" spans="1:24">
      <c r="A1435" s="34"/>
      <c r="I1435" s="78"/>
      <c r="J1435" s="78"/>
      <c r="K1435" s="78"/>
      <c r="L1435" s="78"/>
      <c r="V1435" s="78"/>
      <c r="W1435" s="78"/>
      <c r="X1435" s="78"/>
    </row>
    <row r="1436" spans="1:24">
      <c r="A1436" s="34"/>
      <c r="I1436" s="78"/>
      <c r="J1436" s="78"/>
      <c r="K1436" s="78"/>
      <c r="L1436" s="78"/>
      <c r="V1436" s="78"/>
      <c r="W1436" s="78"/>
      <c r="X1436" s="78"/>
    </row>
    <row r="1437" spans="1:24">
      <c r="A1437" s="34"/>
      <c r="I1437" s="78"/>
      <c r="J1437" s="78"/>
      <c r="K1437" s="78"/>
      <c r="L1437" s="78"/>
      <c r="V1437" s="78"/>
      <c r="W1437" s="78"/>
      <c r="X1437" s="78"/>
    </row>
    <row r="1438" spans="1:24">
      <c r="A1438" s="34"/>
      <c r="I1438" s="78"/>
      <c r="J1438" s="78"/>
      <c r="K1438" s="78"/>
      <c r="L1438" s="78"/>
      <c r="V1438" s="78"/>
      <c r="W1438" s="78"/>
      <c r="X1438" s="78"/>
    </row>
    <row r="1439" spans="1:24">
      <c r="A1439" s="34"/>
      <c r="I1439" s="78"/>
      <c r="J1439" s="78"/>
      <c r="K1439" s="78"/>
      <c r="L1439" s="78"/>
      <c r="V1439" s="78"/>
      <c r="W1439" s="78"/>
      <c r="X1439" s="78"/>
    </row>
    <row r="1440" spans="1:24">
      <c r="A1440" s="34"/>
      <c r="I1440" s="78"/>
      <c r="J1440" s="78"/>
      <c r="K1440" s="78"/>
      <c r="L1440" s="78"/>
      <c r="V1440" s="78"/>
      <c r="W1440" s="78"/>
      <c r="X1440" s="78"/>
    </row>
    <row r="1441" spans="1:24">
      <c r="A1441" s="34"/>
      <c r="I1441" s="78"/>
      <c r="J1441" s="78"/>
      <c r="K1441" s="78"/>
      <c r="L1441" s="78"/>
      <c r="V1441" s="78"/>
      <c r="W1441" s="78"/>
      <c r="X1441" s="78"/>
    </row>
    <row r="1442" spans="1:24">
      <c r="A1442" s="34"/>
      <c r="I1442" s="78"/>
      <c r="J1442" s="78"/>
      <c r="K1442" s="78"/>
      <c r="L1442" s="78"/>
      <c r="V1442" s="78"/>
      <c r="W1442" s="78"/>
      <c r="X1442" s="78"/>
    </row>
    <row r="1443" spans="1:24">
      <c r="A1443" s="34"/>
      <c r="I1443" s="78"/>
      <c r="J1443" s="78"/>
      <c r="K1443" s="78"/>
      <c r="L1443" s="78"/>
      <c r="V1443" s="78"/>
      <c r="W1443" s="78"/>
      <c r="X1443" s="78"/>
    </row>
    <row r="1444" spans="1:24">
      <c r="A1444" s="34"/>
      <c r="I1444" s="78"/>
      <c r="J1444" s="78"/>
      <c r="K1444" s="78"/>
      <c r="L1444" s="78"/>
      <c r="V1444" s="78"/>
      <c r="W1444" s="78"/>
      <c r="X1444" s="78"/>
    </row>
    <row r="1445" spans="1:24">
      <c r="A1445" s="34"/>
      <c r="I1445" s="78"/>
      <c r="J1445" s="78"/>
      <c r="K1445" s="78"/>
      <c r="L1445" s="78"/>
      <c r="V1445" s="78"/>
      <c r="W1445" s="78"/>
      <c r="X1445" s="78"/>
    </row>
    <row r="1446" spans="1:24">
      <c r="A1446" s="34"/>
      <c r="I1446" s="78"/>
      <c r="J1446" s="78"/>
      <c r="K1446" s="78"/>
      <c r="L1446" s="78"/>
      <c r="V1446" s="78"/>
      <c r="W1446" s="78"/>
      <c r="X1446" s="78"/>
    </row>
    <row r="1447" spans="1:24">
      <c r="A1447" s="34"/>
      <c r="I1447" s="78"/>
      <c r="J1447" s="78"/>
      <c r="K1447" s="78"/>
      <c r="L1447" s="78"/>
      <c r="V1447" s="78"/>
      <c r="W1447" s="78"/>
      <c r="X1447" s="78"/>
    </row>
    <row r="1448" spans="1:24">
      <c r="A1448" s="34"/>
      <c r="I1448" s="78"/>
      <c r="J1448" s="78"/>
      <c r="K1448" s="78"/>
      <c r="L1448" s="78"/>
      <c r="V1448" s="78"/>
      <c r="W1448" s="78"/>
      <c r="X1448" s="78"/>
    </row>
    <row r="1449" spans="1:24">
      <c r="A1449" s="34"/>
      <c r="I1449" s="78"/>
      <c r="J1449" s="78"/>
      <c r="K1449" s="78"/>
      <c r="L1449" s="78"/>
      <c r="V1449" s="78"/>
      <c r="W1449" s="78"/>
      <c r="X1449" s="78"/>
    </row>
    <row r="1450" spans="1:24">
      <c r="A1450" s="34"/>
      <c r="I1450" s="78"/>
      <c r="J1450" s="78"/>
      <c r="K1450" s="78"/>
      <c r="L1450" s="78"/>
      <c r="V1450" s="78"/>
      <c r="W1450" s="78"/>
      <c r="X1450" s="78"/>
    </row>
    <row r="1451" spans="1:24">
      <c r="A1451" s="34"/>
      <c r="I1451" s="78"/>
      <c r="J1451" s="78"/>
      <c r="K1451" s="78"/>
      <c r="L1451" s="78"/>
      <c r="V1451" s="78"/>
      <c r="W1451" s="78"/>
      <c r="X1451" s="78"/>
    </row>
    <row r="1452" spans="1:24">
      <c r="A1452" s="34"/>
      <c r="I1452" s="78"/>
      <c r="J1452" s="78"/>
      <c r="K1452" s="78"/>
      <c r="L1452" s="78"/>
      <c r="V1452" s="78"/>
      <c r="W1452" s="78"/>
      <c r="X1452" s="78"/>
    </row>
    <row r="1453" spans="1:24">
      <c r="A1453" s="34"/>
      <c r="I1453" s="78"/>
      <c r="J1453" s="78"/>
      <c r="K1453" s="78"/>
      <c r="L1453" s="78"/>
      <c r="V1453" s="78"/>
      <c r="W1453" s="78"/>
      <c r="X1453" s="78"/>
    </row>
    <row r="1454" spans="1:24">
      <c r="A1454" s="34"/>
      <c r="I1454" s="78"/>
      <c r="J1454" s="78"/>
      <c r="K1454" s="78"/>
      <c r="L1454" s="78"/>
      <c r="V1454" s="78"/>
      <c r="W1454" s="78"/>
      <c r="X1454" s="78"/>
    </row>
    <row r="1455" spans="1:24">
      <c r="A1455" s="34"/>
      <c r="I1455" s="78"/>
      <c r="J1455" s="78"/>
      <c r="K1455" s="78"/>
      <c r="L1455" s="78"/>
      <c r="V1455" s="78"/>
      <c r="W1455" s="78"/>
      <c r="X1455" s="78"/>
    </row>
    <row r="1456" spans="1:24">
      <c r="A1456" s="34"/>
      <c r="I1456" s="78"/>
      <c r="J1456" s="78"/>
      <c r="K1456" s="78"/>
      <c r="L1456" s="78"/>
      <c r="V1456" s="78"/>
      <c r="W1456" s="78"/>
      <c r="X1456" s="78"/>
    </row>
    <row r="1457" spans="1:24">
      <c r="A1457" s="34"/>
      <c r="I1457" s="78"/>
      <c r="J1457" s="78"/>
      <c r="K1457" s="78"/>
      <c r="L1457" s="78"/>
      <c r="V1457" s="78"/>
      <c r="W1457" s="78"/>
      <c r="X1457" s="78"/>
    </row>
    <row r="1458" spans="1:24">
      <c r="A1458" s="34"/>
      <c r="I1458" s="78"/>
      <c r="J1458" s="78"/>
      <c r="K1458" s="78"/>
      <c r="L1458" s="78"/>
      <c r="V1458" s="78"/>
      <c r="W1458" s="78"/>
      <c r="X1458" s="78"/>
    </row>
    <row r="1459" spans="1:24">
      <c r="A1459" s="34"/>
      <c r="I1459" s="78"/>
      <c r="J1459" s="78"/>
      <c r="K1459" s="78"/>
      <c r="L1459" s="78"/>
      <c r="V1459" s="78"/>
      <c r="W1459" s="78"/>
      <c r="X1459" s="78"/>
    </row>
    <row r="1460" spans="1:24">
      <c r="A1460" s="34"/>
      <c r="I1460" s="78"/>
      <c r="J1460" s="78"/>
      <c r="K1460" s="78"/>
      <c r="L1460" s="78"/>
      <c r="V1460" s="78"/>
      <c r="W1460" s="78"/>
      <c r="X1460" s="78"/>
    </row>
    <row r="1461" spans="1:24">
      <c r="A1461" s="34"/>
      <c r="I1461" s="78"/>
      <c r="J1461" s="78"/>
      <c r="K1461" s="78"/>
      <c r="L1461" s="78"/>
      <c r="V1461" s="78"/>
      <c r="W1461" s="78"/>
      <c r="X1461" s="78"/>
    </row>
    <row r="1462" spans="1:24">
      <c r="A1462" s="34"/>
      <c r="I1462" s="78"/>
      <c r="J1462" s="78"/>
      <c r="K1462" s="78"/>
      <c r="L1462" s="78"/>
      <c r="V1462" s="78"/>
      <c r="W1462" s="78"/>
      <c r="X1462" s="78"/>
    </row>
    <row r="1463" spans="1:24">
      <c r="A1463" s="34"/>
      <c r="I1463" s="78"/>
      <c r="J1463" s="78"/>
      <c r="K1463" s="78"/>
      <c r="L1463" s="78"/>
      <c r="V1463" s="78"/>
      <c r="W1463" s="78"/>
      <c r="X1463" s="78"/>
    </row>
    <row r="1464" spans="1:24">
      <c r="A1464" s="34"/>
      <c r="I1464" s="78"/>
      <c r="J1464" s="78"/>
      <c r="K1464" s="78"/>
      <c r="L1464" s="78"/>
      <c r="V1464" s="78"/>
      <c r="W1464" s="78"/>
      <c r="X1464" s="78"/>
    </row>
    <row r="1465" spans="1:24">
      <c r="A1465" s="34"/>
      <c r="I1465" s="78"/>
      <c r="J1465" s="78"/>
      <c r="K1465" s="78"/>
      <c r="L1465" s="78"/>
      <c r="V1465" s="78"/>
      <c r="W1465" s="78"/>
      <c r="X1465" s="78"/>
    </row>
    <row r="1466" spans="1:24">
      <c r="A1466" s="34"/>
      <c r="I1466" s="78"/>
      <c r="J1466" s="78"/>
      <c r="K1466" s="78"/>
      <c r="L1466" s="78"/>
      <c r="V1466" s="78"/>
      <c r="W1466" s="78"/>
      <c r="X1466" s="78"/>
    </row>
    <row r="1467" spans="1:24">
      <c r="A1467" s="34"/>
      <c r="I1467" s="78"/>
      <c r="J1467" s="78"/>
      <c r="K1467" s="78"/>
      <c r="L1467" s="78"/>
      <c r="V1467" s="78"/>
      <c r="W1467" s="78"/>
      <c r="X1467" s="78"/>
    </row>
    <row r="1468" spans="1:24">
      <c r="A1468" s="34"/>
      <c r="I1468" s="78"/>
      <c r="J1468" s="78"/>
      <c r="K1468" s="78"/>
      <c r="L1468" s="78"/>
      <c r="V1468" s="78"/>
      <c r="W1468" s="78"/>
      <c r="X1468" s="78"/>
    </row>
    <row r="1469" spans="1:24">
      <c r="A1469" s="34"/>
      <c r="I1469" s="78"/>
      <c r="J1469" s="78"/>
      <c r="K1469" s="78"/>
      <c r="L1469" s="78"/>
      <c r="V1469" s="78"/>
      <c r="W1469" s="78"/>
      <c r="X1469" s="78"/>
    </row>
    <row r="1470" spans="1:24">
      <c r="A1470" s="34"/>
      <c r="I1470" s="78"/>
      <c r="J1470" s="78"/>
      <c r="K1470" s="78"/>
      <c r="L1470" s="78"/>
      <c r="V1470" s="78"/>
      <c r="W1470" s="78"/>
      <c r="X1470" s="78"/>
    </row>
    <row r="1471" spans="1:24">
      <c r="A1471" s="34"/>
      <c r="I1471" s="78"/>
      <c r="J1471" s="78"/>
      <c r="K1471" s="78"/>
      <c r="L1471" s="78"/>
      <c r="V1471" s="78"/>
      <c r="W1471" s="78"/>
      <c r="X1471" s="78"/>
    </row>
    <row r="1472" spans="1:24">
      <c r="A1472" s="34"/>
      <c r="I1472" s="78"/>
      <c r="J1472" s="78"/>
      <c r="K1472" s="78"/>
      <c r="L1472" s="78"/>
      <c r="V1472" s="78"/>
      <c r="W1472" s="78"/>
      <c r="X1472" s="78"/>
    </row>
    <row r="1473" spans="1:24">
      <c r="A1473" s="34"/>
      <c r="I1473" s="78"/>
      <c r="J1473" s="78"/>
      <c r="K1473" s="78"/>
      <c r="L1473" s="78"/>
      <c r="V1473" s="78"/>
      <c r="W1473" s="78"/>
      <c r="X1473" s="78"/>
    </row>
    <row r="1474" spans="1:24">
      <c r="A1474" s="34"/>
      <c r="I1474" s="78"/>
      <c r="J1474" s="78"/>
      <c r="K1474" s="78"/>
      <c r="L1474" s="78"/>
      <c r="V1474" s="78"/>
      <c r="W1474" s="78"/>
      <c r="X1474" s="78"/>
    </row>
    <row r="1475" spans="1:24">
      <c r="A1475" s="34"/>
      <c r="I1475" s="78"/>
      <c r="J1475" s="78"/>
      <c r="K1475" s="78"/>
      <c r="L1475" s="78"/>
      <c r="V1475" s="78"/>
      <c r="W1475" s="78"/>
      <c r="X1475" s="78"/>
    </row>
    <row r="1476" spans="1:24">
      <c r="A1476" s="34"/>
      <c r="I1476" s="78"/>
      <c r="J1476" s="78"/>
      <c r="K1476" s="78"/>
      <c r="L1476" s="78"/>
      <c r="V1476" s="78"/>
      <c r="W1476" s="78"/>
      <c r="X1476" s="78"/>
    </row>
    <row r="1477" spans="1:24">
      <c r="A1477" s="34"/>
      <c r="I1477" s="78"/>
      <c r="J1477" s="78"/>
      <c r="K1477" s="78"/>
      <c r="L1477" s="78"/>
      <c r="V1477" s="78"/>
      <c r="W1477" s="78"/>
      <c r="X1477" s="78"/>
    </row>
    <row r="1478" spans="1:24">
      <c r="A1478" s="34"/>
      <c r="I1478" s="78"/>
      <c r="J1478" s="78"/>
      <c r="K1478" s="78"/>
      <c r="L1478" s="78"/>
      <c r="V1478" s="78"/>
      <c r="W1478" s="78"/>
      <c r="X1478" s="78"/>
    </row>
    <row r="1479" spans="1:24">
      <c r="A1479" s="34"/>
      <c r="I1479" s="78"/>
      <c r="J1479" s="78"/>
      <c r="K1479" s="78"/>
      <c r="L1479" s="78"/>
      <c r="V1479" s="78"/>
      <c r="W1479" s="78"/>
      <c r="X1479" s="78"/>
    </row>
    <row r="1480" spans="1:24">
      <c r="A1480" s="34"/>
      <c r="I1480" s="78"/>
      <c r="J1480" s="78"/>
      <c r="K1480" s="78"/>
      <c r="L1480" s="78"/>
      <c r="V1480" s="78"/>
      <c r="W1480" s="78"/>
      <c r="X1480" s="78"/>
    </row>
    <row r="1481" spans="1:24">
      <c r="A1481" s="34"/>
      <c r="I1481" s="78"/>
      <c r="J1481" s="78"/>
      <c r="K1481" s="78"/>
      <c r="L1481" s="78"/>
      <c r="V1481" s="78"/>
      <c r="W1481" s="78"/>
      <c r="X1481" s="78"/>
    </row>
    <row r="1482" spans="1:24">
      <c r="A1482" s="34"/>
      <c r="I1482" s="78"/>
      <c r="J1482" s="78"/>
      <c r="K1482" s="78"/>
      <c r="L1482" s="78"/>
      <c r="V1482" s="78"/>
      <c r="W1482" s="78"/>
      <c r="X1482" s="78"/>
    </row>
    <row r="1483" spans="1:24">
      <c r="A1483" s="34"/>
      <c r="I1483" s="78"/>
      <c r="J1483" s="78"/>
      <c r="K1483" s="78"/>
      <c r="L1483" s="78"/>
      <c r="V1483" s="78"/>
      <c r="W1483" s="78"/>
      <c r="X1483" s="78"/>
    </row>
    <row r="1484" spans="1:24">
      <c r="A1484" s="34"/>
      <c r="I1484" s="78"/>
      <c r="J1484" s="78"/>
      <c r="K1484" s="78"/>
      <c r="L1484" s="78"/>
      <c r="V1484" s="78"/>
      <c r="W1484" s="78"/>
      <c r="X1484" s="78"/>
    </row>
    <row r="1485" spans="1:24">
      <c r="A1485" s="34"/>
      <c r="I1485" s="78"/>
      <c r="J1485" s="78"/>
      <c r="K1485" s="78"/>
      <c r="L1485" s="78"/>
      <c r="V1485" s="78"/>
      <c r="W1485" s="78"/>
      <c r="X1485" s="78"/>
    </row>
    <row r="1486" spans="1:24">
      <c r="A1486" s="34"/>
      <c r="I1486" s="78"/>
      <c r="J1486" s="78"/>
      <c r="K1486" s="78"/>
      <c r="L1486" s="78"/>
      <c r="V1486" s="78"/>
      <c r="W1486" s="78"/>
      <c r="X1486" s="78"/>
    </row>
    <row r="1487" spans="1:24">
      <c r="A1487" s="34"/>
      <c r="I1487" s="78"/>
      <c r="J1487" s="78"/>
      <c r="K1487" s="78"/>
      <c r="L1487" s="78"/>
      <c r="V1487" s="78"/>
      <c r="W1487" s="78"/>
      <c r="X1487" s="78"/>
    </row>
    <row r="1488" spans="1:24">
      <c r="A1488" s="34"/>
      <c r="I1488" s="78"/>
      <c r="J1488" s="78"/>
      <c r="K1488" s="78"/>
      <c r="L1488" s="78"/>
      <c r="V1488" s="78"/>
      <c r="W1488" s="78"/>
      <c r="X1488" s="78"/>
    </row>
    <row r="1489" spans="1:24">
      <c r="A1489" s="34"/>
      <c r="I1489" s="78"/>
      <c r="J1489" s="78"/>
      <c r="K1489" s="78"/>
      <c r="L1489" s="78"/>
      <c r="V1489" s="78"/>
      <c r="W1489" s="78"/>
      <c r="X1489" s="78"/>
    </row>
    <row r="1490" spans="1:24">
      <c r="A1490" s="34"/>
      <c r="I1490" s="78"/>
      <c r="J1490" s="78"/>
      <c r="K1490" s="78"/>
      <c r="L1490" s="78"/>
      <c r="V1490" s="78"/>
      <c r="W1490" s="78"/>
      <c r="X1490" s="78"/>
    </row>
    <row r="1491" spans="1:24">
      <c r="A1491" s="34"/>
      <c r="I1491" s="78"/>
      <c r="J1491" s="78"/>
      <c r="K1491" s="78"/>
      <c r="L1491" s="78"/>
      <c r="V1491" s="78"/>
      <c r="W1491" s="78"/>
      <c r="X1491" s="78"/>
    </row>
    <row r="1492" spans="1:24">
      <c r="A1492" s="34"/>
      <c r="I1492" s="78"/>
      <c r="J1492" s="78"/>
      <c r="K1492" s="78"/>
      <c r="L1492" s="78"/>
      <c r="V1492" s="78"/>
      <c r="W1492" s="78"/>
      <c r="X1492" s="78"/>
    </row>
    <row r="1493" spans="1:24">
      <c r="A1493" s="34"/>
      <c r="I1493" s="78"/>
      <c r="J1493" s="78"/>
      <c r="K1493" s="78"/>
      <c r="L1493" s="78"/>
      <c r="V1493" s="78"/>
      <c r="W1493" s="78"/>
      <c r="X1493" s="78"/>
    </row>
    <row r="1494" spans="1:24">
      <c r="A1494" s="34"/>
      <c r="I1494" s="78"/>
      <c r="J1494" s="78"/>
      <c r="K1494" s="78"/>
      <c r="L1494" s="78"/>
      <c r="V1494" s="78"/>
      <c r="W1494" s="78"/>
      <c r="X1494" s="78"/>
    </row>
    <row r="1495" spans="1:24">
      <c r="A1495" s="34"/>
      <c r="I1495" s="78"/>
      <c r="J1495" s="78"/>
      <c r="K1495" s="78"/>
      <c r="L1495" s="78"/>
      <c r="V1495" s="78"/>
      <c r="W1495" s="78"/>
      <c r="X1495" s="78"/>
    </row>
    <row r="1496" spans="1:24">
      <c r="A1496" s="34"/>
      <c r="I1496" s="78"/>
      <c r="J1496" s="78"/>
      <c r="K1496" s="78"/>
      <c r="L1496" s="78"/>
      <c r="V1496" s="78"/>
      <c r="W1496" s="78"/>
      <c r="X1496" s="78"/>
    </row>
    <row r="1497" spans="1:24">
      <c r="A1497" s="34"/>
      <c r="I1497" s="78"/>
      <c r="J1497" s="78"/>
      <c r="K1497" s="78"/>
      <c r="L1497" s="78"/>
      <c r="V1497" s="78"/>
      <c r="W1497" s="78"/>
      <c r="X1497" s="78"/>
    </row>
    <row r="1498" spans="1:24">
      <c r="A1498" s="34"/>
      <c r="I1498" s="78"/>
      <c r="J1498" s="78"/>
      <c r="K1498" s="78"/>
      <c r="L1498" s="78"/>
      <c r="V1498" s="78"/>
      <c r="W1498" s="78"/>
      <c r="X1498" s="78"/>
    </row>
    <row r="1499" spans="1:24">
      <c r="A1499" s="34"/>
      <c r="I1499" s="78"/>
      <c r="J1499" s="78"/>
      <c r="K1499" s="78"/>
      <c r="L1499" s="78"/>
      <c r="V1499" s="78"/>
      <c r="W1499" s="78"/>
      <c r="X1499" s="78"/>
    </row>
    <row r="1500" spans="1:24">
      <c r="A1500" s="34"/>
      <c r="I1500" s="78"/>
      <c r="J1500" s="78"/>
      <c r="K1500" s="78"/>
      <c r="L1500" s="78"/>
      <c r="V1500" s="78"/>
      <c r="W1500" s="78"/>
      <c r="X1500" s="78"/>
    </row>
    <row r="1501" spans="1:24">
      <c r="A1501" s="34"/>
      <c r="I1501" s="78"/>
      <c r="J1501" s="78"/>
      <c r="K1501" s="78"/>
      <c r="L1501" s="78"/>
      <c r="V1501" s="78"/>
      <c r="W1501" s="78"/>
      <c r="X1501" s="78"/>
    </row>
    <row r="1502" spans="1:24">
      <c r="A1502" s="34"/>
      <c r="I1502" s="78"/>
      <c r="J1502" s="78"/>
      <c r="K1502" s="78"/>
      <c r="L1502" s="78"/>
      <c r="V1502" s="78"/>
      <c r="W1502" s="78"/>
      <c r="X1502" s="78"/>
    </row>
    <row r="1503" spans="1:24">
      <c r="A1503" s="34"/>
      <c r="I1503" s="78"/>
      <c r="J1503" s="78"/>
      <c r="K1503" s="78"/>
      <c r="L1503" s="78"/>
      <c r="V1503" s="78"/>
      <c r="W1503" s="78"/>
      <c r="X1503" s="78"/>
    </row>
    <row r="1504" spans="1:24">
      <c r="A1504" s="34"/>
      <c r="I1504" s="78"/>
      <c r="J1504" s="78"/>
      <c r="K1504" s="78"/>
      <c r="L1504" s="78"/>
      <c r="V1504" s="78"/>
      <c r="W1504" s="78"/>
      <c r="X1504" s="78"/>
    </row>
    <row r="1505" spans="1:24">
      <c r="A1505" s="34"/>
      <c r="I1505" s="78"/>
      <c r="J1505" s="78"/>
      <c r="K1505" s="78"/>
      <c r="L1505" s="78"/>
      <c r="V1505" s="78"/>
      <c r="W1505" s="78"/>
      <c r="X1505" s="78"/>
    </row>
    <row r="1506" spans="1:24">
      <c r="A1506" s="34"/>
      <c r="I1506" s="78"/>
      <c r="J1506" s="78"/>
      <c r="K1506" s="78"/>
      <c r="L1506" s="78"/>
      <c r="V1506" s="78"/>
      <c r="W1506" s="78"/>
      <c r="X1506" s="78"/>
    </row>
    <row r="1507" spans="1:24">
      <c r="A1507" s="34"/>
      <c r="I1507" s="78"/>
      <c r="J1507" s="78"/>
      <c r="K1507" s="78"/>
      <c r="L1507" s="78"/>
      <c r="V1507" s="78"/>
      <c r="W1507" s="78"/>
      <c r="X1507" s="78"/>
    </row>
    <row r="1508" spans="1:24">
      <c r="A1508" s="34"/>
      <c r="I1508" s="78"/>
      <c r="J1508" s="78"/>
      <c r="K1508" s="78"/>
      <c r="L1508" s="78"/>
      <c r="V1508" s="78"/>
      <c r="W1508" s="78"/>
      <c r="X1508" s="78"/>
    </row>
    <row r="1509" spans="1:24">
      <c r="A1509" s="34"/>
      <c r="I1509" s="78"/>
      <c r="J1509" s="78"/>
      <c r="K1509" s="78"/>
      <c r="L1509" s="78"/>
      <c r="V1509" s="78"/>
      <c r="W1509" s="78"/>
      <c r="X1509" s="78"/>
    </row>
    <row r="1510" spans="1:24">
      <c r="A1510" s="34"/>
      <c r="I1510" s="78"/>
      <c r="J1510" s="78"/>
      <c r="K1510" s="78"/>
      <c r="L1510" s="78"/>
      <c r="V1510" s="78"/>
      <c r="W1510" s="78"/>
      <c r="X1510" s="78"/>
    </row>
    <row r="1511" spans="1:24">
      <c r="A1511" s="34"/>
      <c r="I1511" s="78"/>
      <c r="J1511" s="78"/>
      <c r="K1511" s="78"/>
      <c r="L1511" s="78"/>
      <c r="V1511" s="78"/>
      <c r="W1511" s="78"/>
      <c r="X1511" s="78"/>
    </row>
    <row r="1512" spans="1:24">
      <c r="A1512" s="34"/>
      <c r="I1512" s="78"/>
      <c r="J1512" s="78"/>
      <c r="K1512" s="78"/>
      <c r="L1512" s="78"/>
      <c r="V1512" s="78"/>
      <c r="W1512" s="78"/>
      <c r="X1512" s="78"/>
    </row>
    <row r="1513" spans="1:24">
      <c r="A1513" s="34"/>
      <c r="I1513" s="78"/>
      <c r="J1513" s="78"/>
      <c r="K1513" s="78"/>
      <c r="L1513" s="78"/>
      <c r="V1513" s="78"/>
      <c r="W1513" s="78"/>
      <c r="X1513" s="78"/>
    </row>
    <row r="1514" spans="1:24">
      <c r="A1514" s="34"/>
      <c r="I1514" s="78"/>
      <c r="J1514" s="78"/>
      <c r="K1514" s="78"/>
      <c r="L1514" s="78"/>
      <c r="V1514" s="78"/>
      <c r="W1514" s="78"/>
      <c r="X1514" s="78"/>
    </row>
    <row r="1515" spans="1:24">
      <c r="A1515" s="34"/>
      <c r="I1515" s="78"/>
      <c r="J1515" s="78"/>
      <c r="K1515" s="78"/>
      <c r="L1515" s="78"/>
      <c r="V1515" s="78"/>
      <c r="W1515" s="78"/>
      <c r="X1515" s="78"/>
    </row>
    <row r="1516" spans="1:24">
      <c r="A1516" s="34"/>
      <c r="I1516" s="78"/>
      <c r="J1516" s="78"/>
      <c r="K1516" s="78"/>
      <c r="L1516" s="78"/>
      <c r="V1516" s="78"/>
      <c r="W1516" s="78"/>
      <c r="X1516" s="78"/>
    </row>
    <row r="1517" spans="1:24">
      <c r="A1517" s="34"/>
      <c r="I1517" s="78"/>
      <c r="J1517" s="78"/>
      <c r="K1517" s="78"/>
      <c r="L1517" s="78"/>
      <c r="V1517" s="78"/>
      <c r="W1517" s="78"/>
      <c r="X1517" s="78"/>
    </row>
    <row r="1518" spans="1:24">
      <c r="A1518" s="34"/>
      <c r="I1518" s="78"/>
      <c r="J1518" s="78"/>
      <c r="K1518" s="78"/>
      <c r="L1518" s="78"/>
      <c r="V1518" s="78"/>
      <c r="W1518" s="78"/>
      <c r="X1518" s="78"/>
    </row>
    <row r="1519" spans="1:24">
      <c r="A1519" s="34"/>
      <c r="I1519" s="78"/>
      <c r="J1519" s="78"/>
      <c r="K1519" s="78"/>
      <c r="L1519" s="78"/>
      <c r="V1519" s="78"/>
      <c r="W1519" s="78"/>
      <c r="X1519" s="78"/>
    </row>
    <row r="1520" spans="1:24">
      <c r="A1520" s="34"/>
      <c r="I1520" s="78"/>
      <c r="J1520" s="78"/>
      <c r="K1520" s="78"/>
      <c r="L1520" s="78"/>
      <c r="V1520" s="78"/>
      <c r="W1520" s="78"/>
      <c r="X1520" s="78"/>
    </row>
    <row r="1521" spans="1:24">
      <c r="A1521" s="34"/>
      <c r="I1521" s="78"/>
      <c r="J1521" s="78"/>
      <c r="K1521" s="78"/>
      <c r="L1521" s="78"/>
      <c r="V1521" s="78"/>
      <c r="W1521" s="78"/>
      <c r="X1521" s="78"/>
    </row>
    <row r="1522" spans="1:24">
      <c r="A1522" s="34"/>
      <c r="I1522" s="78"/>
      <c r="J1522" s="78"/>
      <c r="K1522" s="78"/>
      <c r="L1522" s="78"/>
      <c r="V1522" s="78"/>
      <c r="W1522" s="78"/>
      <c r="X1522" s="78"/>
    </row>
    <row r="1523" spans="1:24">
      <c r="A1523" s="34"/>
      <c r="I1523" s="78"/>
      <c r="J1523" s="78"/>
      <c r="K1523" s="78"/>
      <c r="L1523" s="78"/>
      <c r="V1523" s="78"/>
      <c r="W1523" s="78"/>
      <c r="X1523" s="78"/>
    </row>
    <row r="1524" spans="1:24">
      <c r="A1524" s="34"/>
      <c r="I1524" s="78"/>
      <c r="J1524" s="78"/>
      <c r="K1524" s="78"/>
      <c r="L1524" s="78"/>
      <c r="V1524" s="78"/>
      <c r="W1524" s="78"/>
      <c r="X1524" s="78"/>
    </row>
    <row r="1525" spans="1:24">
      <c r="A1525" s="34"/>
      <c r="I1525" s="78"/>
      <c r="J1525" s="78"/>
      <c r="K1525" s="78"/>
      <c r="L1525" s="78"/>
      <c r="V1525" s="78"/>
      <c r="W1525" s="78"/>
      <c r="X1525" s="78"/>
    </row>
    <row r="1526" spans="1:24">
      <c r="A1526" s="34"/>
      <c r="I1526" s="78"/>
      <c r="J1526" s="78"/>
      <c r="K1526" s="78"/>
      <c r="L1526" s="78"/>
      <c r="V1526" s="78"/>
      <c r="W1526" s="78"/>
      <c r="X1526" s="78"/>
    </row>
    <row r="1527" spans="1:24">
      <c r="A1527" s="34"/>
      <c r="I1527" s="78"/>
      <c r="J1527" s="78"/>
      <c r="K1527" s="78"/>
      <c r="L1527" s="78"/>
      <c r="V1527" s="78"/>
      <c r="W1527" s="78"/>
      <c r="X1527" s="78"/>
    </row>
    <row r="1528" spans="1:24">
      <c r="A1528" s="34"/>
      <c r="I1528" s="78"/>
      <c r="J1528" s="78"/>
      <c r="K1528" s="78"/>
      <c r="L1528" s="78"/>
      <c r="V1528" s="78"/>
      <c r="W1528" s="78"/>
      <c r="X1528" s="78"/>
    </row>
    <row r="1529" spans="1:24">
      <c r="A1529" s="34"/>
      <c r="I1529" s="78"/>
      <c r="J1529" s="78"/>
      <c r="K1529" s="78"/>
      <c r="L1529" s="78"/>
      <c r="V1529" s="78"/>
      <c r="W1529" s="78"/>
      <c r="X1529" s="78"/>
    </row>
    <row r="1530" spans="1:24">
      <c r="A1530" s="34"/>
      <c r="I1530" s="78"/>
      <c r="J1530" s="78"/>
      <c r="K1530" s="78"/>
      <c r="L1530" s="78"/>
      <c r="V1530" s="78"/>
      <c r="W1530" s="78"/>
      <c r="X1530" s="78"/>
    </row>
    <row r="1531" spans="1:24">
      <c r="A1531" s="34"/>
      <c r="I1531" s="78"/>
      <c r="J1531" s="78"/>
      <c r="K1531" s="78"/>
      <c r="L1531" s="78"/>
      <c r="V1531" s="78"/>
      <c r="W1531" s="78"/>
      <c r="X1531" s="78"/>
    </row>
    <row r="1532" spans="1:24">
      <c r="A1532" s="34"/>
      <c r="I1532" s="78"/>
      <c r="J1532" s="78"/>
      <c r="K1532" s="78"/>
      <c r="L1532" s="78"/>
      <c r="V1532" s="78"/>
      <c r="W1532" s="78"/>
      <c r="X1532" s="78"/>
    </row>
    <row r="1533" spans="1:24">
      <c r="A1533" s="34"/>
      <c r="I1533" s="78"/>
      <c r="J1533" s="78"/>
      <c r="K1533" s="78"/>
      <c r="L1533" s="78"/>
      <c r="V1533" s="78"/>
      <c r="W1533" s="78"/>
      <c r="X1533" s="78"/>
    </row>
    <row r="1534" spans="1:24">
      <c r="A1534" s="34"/>
      <c r="I1534" s="78"/>
      <c r="J1534" s="78"/>
      <c r="K1534" s="78"/>
      <c r="L1534" s="78"/>
      <c r="V1534" s="78"/>
      <c r="W1534" s="78"/>
      <c r="X1534" s="78"/>
    </row>
    <row r="1535" spans="1:24">
      <c r="A1535" s="34"/>
      <c r="I1535" s="78"/>
      <c r="J1535" s="78"/>
      <c r="K1535" s="78"/>
      <c r="L1535" s="78"/>
      <c r="V1535" s="78"/>
      <c r="W1535" s="78"/>
      <c r="X1535" s="78"/>
    </row>
    <row r="1536" spans="1:24">
      <c r="A1536" s="34"/>
      <c r="I1536" s="78"/>
      <c r="J1536" s="78"/>
      <c r="K1536" s="78"/>
      <c r="L1536" s="78"/>
      <c r="V1536" s="78"/>
      <c r="W1536" s="78"/>
      <c r="X1536" s="78"/>
    </row>
    <row r="1537" spans="1:24">
      <c r="A1537" s="34"/>
      <c r="I1537" s="78"/>
      <c r="J1537" s="78"/>
      <c r="K1537" s="78"/>
      <c r="L1537" s="78"/>
      <c r="V1537" s="78"/>
      <c r="W1537" s="78"/>
      <c r="X1537" s="78"/>
    </row>
    <row r="1538" spans="1:24">
      <c r="A1538" s="34"/>
      <c r="I1538" s="78"/>
      <c r="J1538" s="78"/>
      <c r="K1538" s="78"/>
      <c r="L1538" s="78"/>
      <c r="V1538" s="78"/>
      <c r="W1538" s="78"/>
      <c r="X1538" s="78"/>
    </row>
    <row r="1539" spans="1:24">
      <c r="A1539" s="34"/>
      <c r="I1539" s="78"/>
      <c r="J1539" s="78"/>
      <c r="K1539" s="78"/>
      <c r="L1539" s="78"/>
      <c r="V1539" s="78"/>
      <c r="W1539" s="78"/>
      <c r="X1539" s="78"/>
    </row>
    <row r="1540" spans="1:24">
      <c r="A1540" s="34"/>
      <c r="I1540" s="78"/>
      <c r="J1540" s="78"/>
      <c r="K1540" s="78"/>
      <c r="L1540" s="78"/>
      <c r="V1540" s="78"/>
      <c r="W1540" s="78"/>
      <c r="X1540" s="78"/>
    </row>
    <row r="1541" spans="1:24">
      <c r="A1541" s="34"/>
      <c r="I1541" s="78"/>
      <c r="J1541" s="78"/>
      <c r="K1541" s="78"/>
      <c r="L1541" s="78"/>
      <c r="V1541" s="78"/>
      <c r="W1541" s="78"/>
      <c r="X1541" s="78"/>
    </row>
    <row r="1542" spans="1:24">
      <c r="A1542" s="34"/>
      <c r="I1542" s="78"/>
      <c r="J1542" s="78"/>
      <c r="K1542" s="78"/>
      <c r="L1542" s="78"/>
      <c r="V1542" s="78"/>
      <c r="W1542" s="78"/>
      <c r="X1542" s="78"/>
    </row>
    <row r="1543" spans="1:24">
      <c r="A1543" s="34"/>
      <c r="I1543" s="78"/>
      <c r="J1543" s="78"/>
      <c r="K1543" s="78"/>
      <c r="L1543" s="78"/>
      <c r="V1543" s="78"/>
      <c r="W1543" s="78"/>
      <c r="X1543" s="78"/>
    </row>
    <row r="1544" spans="1:24">
      <c r="A1544" s="34"/>
      <c r="I1544" s="78"/>
      <c r="J1544" s="78"/>
      <c r="K1544" s="78"/>
      <c r="L1544" s="78"/>
      <c r="V1544" s="78"/>
      <c r="W1544" s="78"/>
      <c r="X1544" s="78"/>
    </row>
    <row r="1545" spans="1:24">
      <c r="A1545" s="34"/>
      <c r="I1545" s="78"/>
      <c r="J1545" s="78"/>
      <c r="K1545" s="78"/>
      <c r="L1545" s="78"/>
      <c r="V1545" s="78"/>
      <c r="W1545" s="78"/>
      <c r="X1545" s="78"/>
    </row>
    <row r="1546" spans="1:24">
      <c r="A1546" s="34"/>
      <c r="I1546" s="78"/>
      <c r="J1546" s="78"/>
      <c r="K1546" s="78"/>
      <c r="L1546" s="78"/>
      <c r="V1546" s="78"/>
      <c r="W1546" s="78"/>
      <c r="X1546" s="78"/>
    </row>
    <row r="1547" spans="1:24">
      <c r="A1547" s="34"/>
      <c r="I1547" s="78"/>
      <c r="J1547" s="78"/>
      <c r="K1547" s="78"/>
      <c r="L1547" s="78"/>
      <c r="V1547" s="78"/>
      <c r="W1547" s="78"/>
      <c r="X1547" s="78"/>
    </row>
    <row r="1548" spans="1:24">
      <c r="A1548" s="34"/>
      <c r="I1548" s="78"/>
      <c r="J1548" s="78"/>
      <c r="K1548" s="78"/>
      <c r="L1548" s="78"/>
      <c r="V1548" s="78"/>
      <c r="W1548" s="78"/>
      <c r="X1548" s="78"/>
    </row>
    <row r="1549" spans="1:24">
      <c r="A1549" s="34"/>
      <c r="I1549" s="78"/>
      <c r="J1549" s="78"/>
      <c r="K1549" s="78"/>
      <c r="L1549" s="78"/>
      <c r="V1549" s="78"/>
      <c r="W1549" s="78"/>
      <c r="X1549" s="78"/>
    </row>
    <row r="1550" spans="1:24">
      <c r="A1550" s="34"/>
      <c r="I1550" s="78"/>
      <c r="J1550" s="78"/>
      <c r="K1550" s="78"/>
      <c r="L1550" s="78"/>
      <c r="V1550" s="78"/>
      <c r="W1550" s="78"/>
      <c r="X1550" s="78"/>
    </row>
    <row r="1551" spans="1:24">
      <c r="A1551" s="34"/>
      <c r="I1551" s="78"/>
      <c r="J1551" s="78"/>
      <c r="K1551" s="78"/>
      <c r="L1551" s="78"/>
      <c r="V1551" s="78"/>
      <c r="W1551" s="78"/>
      <c r="X1551" s="78"/>
    </row>
    <row r="1552" spans="1:24">
      <c r="A1552" s="34"/>
      <c r="I1552" s="78"/>
      <c r="J1552" s="78"/>
      <c r="K1552" s="78"/>
      <c r="L1552" s="78"/>
      <c r="V1552" s="78"/>
      <c r="W1552" s="78"/>
      <c r="X1552" s="78"/>
    </row>
    <row r="1553" spans="1:24">
      <c r="A1553" s="34"/>
      <c r="I1553" s="78"/>
      <c r="J1553" s="78"/>
      <c r="K1553" s="78"/>
      <c r="L1553" s="78"/>
      <c r="V1553" s="78"/>
      <c r="W1553" s="78"/>
      <c r="X1553" s="78"/>
    </row>
    <row r="1554" spans="1:24">
      <c r="A1554" s="34"/>
      <c r="I1554" s="78"/>
      <c r="J1554" s="78"/>
      <c r="K1554" s="78"/>
      <c r="L1554" s="78"/>
      <c r="V1554" s="78"/>
      <c r="W1554" s="78"/>
      <c r="X1554" s="78"/>
    </row>
    <row r="1555" spans="1:24">
      <c r="A1555" s="34"/>
      <c r="I1555" s="78"/>
      <c r="J1555" s="78"/>
      <c r="K1555" s="78"/>
      <c r="L1555" s="78"/>
      <c r="V1555" s="78"/>
      <c r="W1555" s="78"/>
      <c r="X1555" s="78"/>
    </row>
    <row r="1556" spans="1:24">
      <c r="A1556" s="34"/>
      <c r="I1556" s="78"/>
      <c r="J1556" s="78"/>
      <c r="K1556" s="78"/>
      <c r="L1556" s="78"/>
      <c r="V1556" s="78"/>
      <c r="W1556" s="78"/>
      <c r="X1556" s="78"/>
    </row>
    <row r="1557" spans="1:24">
      <c r="A1557" s="34"/>
      <c r="I1557" s="78"/>
      <c r="J1557" s="78"/>
      <c r="K1557" s="78"/>
      <c r="L1557" s="78"/>
      <c r="V1557" s="78"/>
      <c r="W1557" s="78"/>
      <c r="X1557" s="78"/>
    </row>
    <row r="1558" spans="1:24">
      <c r="A1558" s="34"/>
      <c r="I1558" s="78"/>
      <c r="J1558" s="78"/>
      <c r="K1558" s="78"/>
      <c r="L1558" s="78"/>
      <c r="V1558" s="78"/>
      <c r="W1558" s="78"/>
      <c r="X1558" s="78"/>
    </row>
    <row r="1559" spans="1:24">
      <c r="A1559" s="34"/>
      <c r="I1559" s="78"/>
      <c r="J1559" s="78"/>
      <c r="K1559" s="78"/>
      <c r="L1559" s="78"/>
      <c r="V1559" s="78"/>
      <c r="W1559" s="78"/>
      <c r="X1559" s="78"/>
    </row>
    <row r="1560" spans="1:24">
      <c r="A1560" s="34"/>
      <c r="I1560" s="78"/>
      <c r="J1560" s="78"/>
      <c r="K1560" s="78"/>
      <c r="L1560" s="78"/>
      <c r="V1560" s="78"/>
      <c r="W1560" s="78"/>
      <c r="X1560" s="78"/>
    </row>
    <row r="1561" spans="1:24">
      <c r="A1561" s="34"/>
      <c r="I1561" s="78"/>
      <c r="J1561" s="78"/>
      <c r="K1561" s="78"/>
      <c r="L1561" s="78"/>
      <c r="V1561" s="78"/>
      <c r="W1561" s="78"/>
      <c r="X1561" s="78"/>
    </row>
    <row r="1562" spans="1:24">
      <c r="A1562" s="34"/>
      <c r="I1562" s="78"/>
      <c r="J1562" s="78"/>
      <c r="K1562" s="78"/>
      <c r="L1562" s="78"/>
      <c r="V1562" s="78"/>
      <c r="W1562" s="78"/>
      <c r="X1562" s="78"/>
    </row>
    <row r="1563" spans="1:24">
      <c r="A1563" s="34"/>
      <c r="I1563" s="78"/>
      <c r="J1563" s="78"/>
      <c r="K1563" s="78"/>
      <c r="L1563" s="78"/>
      <c r="V1563" s="78"/>
      <c r="W1563" s="78"/>
      <c r="X1563" s="78"/>
    </row>
    <row r="1564" spans="1:24">
      <c r="A1564" s="34"/>
      <c r="I1564" s="78"/>
      <c r="J1564" s="78"/>
      <c r="K1564" s="78"/>
      <c r="L1564" s="78"/>
      <c r="V1564" s="78"/>
      <c r="W1564" s="78"/>
      <c r="X1564" s="78"/>
    </row>
    <row r="1565" spans="1:24">
      <c r="A1565" s="34"/>
      <c r="I1565" s="78"/>
      <c r="J1565" s="78"/>
      <c r="K1565" s="78"/>
      <c r="L1565" s="78"/>
      <c r="V1565" s="78"/>
      <c r="W1565" s="78"/>
      <c r="X1565" s="78"/>
    </row>
    <row r="1566" spans="1:24">
      <c r="A1566" s="34"/>
      <c r="I1566" s="78"/>
      <c r="J1566" s="78"/>
      <c r="K1566" s="78"/>
      <c r="L1566" s="78"/>
      <c r="V1566" s="78"/>
      <c r="W1566" s="78"/>
      <c r="X1566" s="78"/>
    </row>
    <row r="1567" spans="1:24">
      <c r="A1567" s="34"/>
      <c r="I1567" s="78"/>
      <c r="J1567" s="78"/>
      <c r="K1567" s="78"/>
      <c r="L1567" s="78"/>
      <c r="V1567" s="78"/>
      <c r="W1567" s="78"/>
      <c r="X1567" s="78"/>
    </row>
    <row r="1568" spans="1:24">
      <c r="A1568" s="34"/>
      <c r="I1568" s="78"/>
      <c r="J1568" s="78"/>
      <c r="K1568" s="78"/>
      <c r="L1568" s="78"/>
      <c r="V1568" s="78"/>
      <c r="W1568" s="78"/>
      <c r="X1568" s="78"/>
    </row>
    <row r="1569" spans="1:24">
      <c r="A1569" s="34"/>
      <c r="I1569" s="78"/>
      <c r="J1569" s="78"/>
      <c r="K1569" s="78"/>
      <c r="L1569" s="78"/>
      <c r="V1569" s="78"/>
      <c r="W1569" s="78"/>
      <c r="X1569" s="78"/>
    </row>
    <row r="1570" spans="1:24">
      <c r="A1570" s="34"/>
      <c r="I1570" s="78"/>
      <c r="J1570" s="78"/>
      <c r="K1570" s="78"/>
      <c r="L1570" s="78"/>
      <c r="V1570" s="78"/>
      <c r="W1570" s="78"/>
      <c r="X1570" s="78"/>
    </row>
    <row r="1571" spans="1:24">
      <c r="A1571" s="34"/>
      <c r="I1571" s="78"/>
      <c r="J1571" s="78"/>
      <c r="K1571" s="78"/>
      <c r="L1571" s="78"/>
      <c r="V1571" s="78"/>
      <c r="W1571" s="78"/>
      <c r="X1571" s="78"/>
    </row>
    <row r="1572" spans="1:24">
      <c r="A1572" s="34"/>
      <c r="I1572" s="78"/>
      <c r="J1572" s="78"/>
      <c r="K1572" s="78"/>
      <c r="L1572" s="78"/>
      <c r="V1572" s="78"/>
      <c r="W1572" s="78"/>
      <c r="X1572" s="78"/>
    </row>
    <row r="1573" spans="1:24">
      <c r="A1573" s="34"/>
      <c r="I1573" s="78"/>
      <c r="J1573" s="78"/>
      <c r="K1573" s="78"/>
      <c r="L1573" s="78"/>
      <c r="V1573" s="78"/>
      <c r="W1573" s="78"/>
      <c r="X1573" s="78"/>
    </row>
    <row r="1574" spans="1:24">
      <c r="A1574" s="34"/>
      <c r="I1574" s="78"/>
      <c r="J1574" s="78"/>
      <c r="K1574" s="78"/>
      <c r="L1574" s="78"/>
      <c r="V1574" s="78"/>
      <c r="W1574" s="78"/>
      <c r="X1574" s="78"/>
    </row>
    <row r="1575" spans="1:24">
      <c r="A1575" s="34"/>
      <c r="I1575" s="78"/>
      <c r="J1575" s="78"/>
      <c r="K1575" s="78"/>
      <c r="L1575" s="78"/>
      <c r="V1575" s="78"/>
      <c r="W1575" s="78"/>
      <c r="X1575" s="78"/>
    </row>
    <row r="1576" spans="1:24">
      <c r="A1576" s="34"/>
      <c r="I1576" s="78"/>
      <c r="J1576" s="78"/>
      <c r="K1576" s="78"/>
      <c r="L1576" s="78"/>
      <c r="V1576" s="78"/>
      <c r="W1576" s="78"/>
      <c r="X1576" s="78"/>
    </row>
    <row r="1577" spans="1:24">
      <c r="A1577" s="34"/>
      <c r="I1577" s="78"/>
      <c r="J1577" s="78"/>
      <c r="K1577" s="78"/>
      <c r="L1577" s="78"/>
      <c r="V1577" s="78"/>
      <c r="W1577" s="78"/>
      <c r="X1577" s="78"/>
    </row>
    <row r="1578" spans="1:24">
      <c r="A1578" s="34"/>
      <c r="I1578" s="78"/>
      <c r="J1578" s="78"/>
      <c r="K1578" s="78"/>
      <c r="L1578" s="78"/>
      <c r="V1578" s="78"/>
      <c r="W1578" s="78"/>
      <c r="X1578" s="78"/>
    </row>
    <row r="1579" spans="1:24">
      <c r="A1579" s="34"/>
      <c r="I1579" s="78"/>
      <c r="J1579" s="78"/>
      <c r="K1579" s="78"/>
      <c r="L1579" s="78"/>
      <c r="V1579" s="78"/>
      <c r="W1579" s="78"/>
      <c r="X1579" s="78"/>
    </row>
    <row r="1580" spans="1:24">
      <c r="A1580" s="34"/>
      <c r="I1580" s="78"/>
      <c r="J1580" s="78"/>
      <c r="K1580" s="78"/>
      <c r="L1580" s="78"/>
      <c r="V1580" s="78"/>
      <c r="W1580" s="78"/>
      <c r="X1580" s="78"/>
    </row>
    <row r="1581" spans="1:24">
      <c r="A1581" s="34"/>
      <c r="I1581" s="78"/>
      <c r="J1581" s="78"/>
      <c r="K1581" s="78"/>
      <c r="L1581" s="78"/>
      <c r="V1581" s="78"/>
      <c r="W1581" s="78"/>
      <c r="X1581" s="78"/>
    </row>
    <row r="1582" spans="1:24">
      <c r="A1582" s="34"/>
      <c r="I1582" s="78"/>
      <c r="J1582" s="78"/>
      <c r="K1582" s="78"/>
      <c r="L1582" s="78"/>
      <c r="V1582" s="78"/>
      <c r="W1582" s="78"/>
      <c r="X1582" s="78"/>
    </row>
    <row r="1583" spans="1:24">
      <c r="A1583" s="34"/>
      <c r="I1583" s="78"/>
      <c r="J1583" s="78"/>
      <c r="K1583" s="78"/>
      <c r="L1583" s="78"/>
      <c r="V1583" s="78"/>
      <c r="W1583" s="78"/>
      <c r="X1583" s="78"/>
    </row>
    <row r="1584" spans="1:24">
      <c r="A1584" s="34"/>
      <c r="I1584" s="78"/>
      <c r="J1584" s="78"/>
      <c r="K1584" s="78"/>
      <c r="L1584" s="78"/>
      <c r="V1584" s="78"/>
      <c r="W1584" s="78"/>
      <c r="X1584" s="78"/>
    </row>
    <row r="1585" spans="1:24">
      <c r="A1585" s="34"/>
      <c r="I1585" s="78"/>
      <c r="J1585" s="78"/>
      <c r="K1585" s="78"/>
      <c r="L1585" s="78"/>
      <c r="V1585" s="78"/>
      <c r="W1585" s="78"/>
      <c r="X1585" s="78"/>
    </row>
    <row r="1586" spans="1:24">
      <c r="A1586" s="34"/>
      <c r="I1586" s="78"/>
      <c r="J1586" s="78"/>
      <c r="K1586" s="78"/>
      <c r="L1586" s="78"/>
      <c r="V1586" s="78"/>
      <c r="W1586" s="78"/>
      <c r="X1586" s="78"/>
    </row>
    <row r="1587" spans="1:24">
      <c r="A1587" s="34"/>
      <c r="I1587" s="78"/>
      <c r="J1587" s="78"/>
      <c r="K1587" s="78"/>
      <c r="L1587" s="78"/>
      <c r="V1587" s="78"/>
      <c r="W1587" s="78"/>
      <c r="X1587" s="78"/>
    </row>
    <row r="1588" spans="1:24">
      <c r="A1588" s="34"/>
      <c r="I1588" s="78"/>
      <c r="J1588" s="78"/>
      <c r="K1588" s="78"/>
      <c r="L1588" s="78"/>
      <c r="V1588" s="78"/>
      <c r="W1588" s="78"/>
      <c r="X1588" s="78"/>
    </row>
    <row r="1589" spans="1:24">
      <c r="A1589" s="34"/>
      <c r="I1589" s="78"/>
      <c r="J1589" s="78"/>
      <c r="K1589" s="78"/>
      <c r="L1589" s="78"/>
      <c r="V1589" s="78"/>
      <c r="W1589" s="78"/>
      <c r="X1589" s="78"/>
    </row>
    <row r="1590" spans="1:24">
      <c r="A1590" s="34"/>
      <c r="I1590" s="78"/>
      <c r="J1590" s="78"/>
      <c r="K1590" s="78"/>
      <c r="L1590" s="78"/>
      <c r="V1590" s="78"/>
      <c r="W1590" s="78"/>
      <c r="X1590" s="78"/>
    </row>
    <row r="1591" spans="1:24">
      <c r="A1591" s="34"/>
      <c r="I1591" s="78"/>
      <c r="J1591" s="78"/>
      <c r="K1591" s="78"/>
      <c r="L1591" s="78"/>
      <c r="V1591" s="78"/>
      <c r="W1591" s="78"/>
      <c r="X1591" s="78"/>
    </row>
    <row r="1592" spans="1:24">
      <c r="A1592" s="34"/>
      <c r="I1592" s="78"/>
      <c r="J1592" s="78"/>
      <c r="K1592" s="78"/>
      <c r="L1592" s="78"/>
      <c r="V1592" s="78"/>
      <c r="W1592" s="78"/>
      <c r="X1592" s="78"/>
    </row>
    <row r="1593" spans="1:24">
      <c r="A1593" s="34"/>
      <c r="I1593" s="78"/>
      <c r="J1593" s="78"/>
      <c r="K1593" s="78"/>
      <c r="L1593" s="78"/>
      <c r="V1593" s="78"/>
      <c r="W1593" s="78"/>
      <c r="X1593" s="78"/>
    </row>
    <row r="1594" spans="1:24">
      <c r="A1594" s="34"/>
      <c r="I1594" s="78"/>
      <c r="J1594" s="78"/>
      <c r="K1594" s="78"/>
      <c r="L1594" s="78"/>
      <c r="V1594" s="78"/>
      <c r="W1594" s="78"/>
      <c r="X1594" s="78"/>
    </row>
    <row r="1595" spans="1:24">
      <c r="A1595" s="34"/>
      <c r="I1595" s="78"/>
      <c r="J1595" s="78"/>
      <c r="K1595" s="78"/>
      <c r="L1595" s="78"/>
      <c r="V1595" s="78"/>
      <c r="W1595" s="78"/>
      <c r="X1595" s="78"/>
    </row>
    <row r="1596" spans="1:24">
      <c r="A1596" s="34"/>
      <c r="I1596" s="78"/>
      <c r="J1596" s="78"/>
      <c r="K1596" s="78"/>
      <c r="L1596" s="78"/>
      <c r="V1596" s="78"/>
      <c r="W1596" s="78"/>
      <c r="X1596" s="78"/>
    </row>
    <row r="1597" spans="1:24">
      <c r="A1597" s="34"/>
      <c r="I1597" s="78"/>
      <c r="J1597" s="78"/>
      <c r="K1597" s="78"/>
      <c r="L1597" s="78"/>
      <c r="V1597" s="78"/>
      <c r="W1597" s="78"/>
      <c r="X1597" s="78"/>
    </row>
    <row r="1598" spans="1:24">
      <c r="A1598" s="34"/>
      <c r="I1598" s="78"/>
      <c r="J1598" s="78"/>
      <c r="K1598" s="78"/>
      <c r="L1598" s="78"/>
      <c r="V1598" s="78"/>
      <c r="W1598" s="78"/>
      <c r="X1598" s="78"/>
    </row>
    <row r="1599" spans="1:24">
      <c r="A1599" s="34"/>
      <c r="I1599" s="78"/>
      <c r="J1599" s="78"/>
      <c r="K1599" s="78"/>
      <c r="L1599" s="78"/>
      <c r="V1599" s="78"/>
      <c r="W1599" s="78"/>
      <c r="X1599" s="78"/>
    </row>
    <row r="1600" spans="1:24">
      <c r="A1600" s="34"/>
      <c r="I1600" s="78"/>
      <c r="J1600" s="78"/>
      <c r="K1600" s="78"/>
      <c r="L1600" s="78"/>
      <c r="V1600" s="78"/>
      <c r="W1600" s="78"/>
      <c r="X1600" s="78"/>
    </row>
    <row r="1601" spans="1:24">
      <c r="A1601" s="34"/>
      <c r="I1601" s="78"/>
      <c r="J1601" s="78"/>
      <c r="K1601" s="78"/>
      <c r="L1601" s="78"/>
      <c r="V1601" s="78"/>
      <c r="W1601" s="78"/>
      <c r="X1601" s="78"/>
    </row>
    <row r="1602" spans="1:24">
      <c r="A1602" s="34"/>
      <c r="I1602" s="78"/>
      <c r="J1602" s="78"/>
      <c r="K1602" s="78"/>
      <c r="L1602" s="78"/>
      <c r="V1602" s="78"/>
      <c r="W1602" s="78"/>
      <c r="X1602" s="78"/>
    </row>
    <row r="1603" spans="1:24">
      <c r="A1603" s="34"/>
      <c r="I1603" s="78"/>
      <c r="J1603" s="78"/>
      <c r="K1603" s="78"/>
      <c r="L1603" s="78"/>
      <c r="V1603" s="78"/>
      <c r="W1603" s="78"/>
      <c r="X1603" s="78"/>
    </row>
    <row r="1604" spans="1:24">
      <c r="A1604" s="34"/>
      <c r="I1604" s="78"/>
      <c r="J1604" s="78"/>
      <c r="K1604" s="78"/>
      <c r="L1604" s="78"/>
      <c r="V1604" s="78"/>
      <c r="W1604" s="78"/>
      <c r="X1604" s="78"/>
    </row>
    <row r="1605" spans="1:24">
      <c r="A1605" s="34"/>
      <c r="I1605" s="78"/>
      <c r="J1605" s="78"/>
      <c r="K1605" s="78"/>
      <c r="L1605" s="78"/>
      <c r="V1605" s="78"/>
      <c r="W1605" s="78"/>
      <c r="X1605" s="78"/>
    </row>
    <row r="1606" spans="1:24">
      <c r="A1606" s="34"/>
      <c r="I1606" s="78"/>
      <c r="J1606" s="78"/>
      <c r="K1606" s="78"/>
      <c r="L1606" s="78"/>
      <c r="V1606" s="78"/>
      <c r="W1606" s="78"/>
      <c r="X1606" s="78"/>
    </row>
    <row r="1607" spans="1:24">
      <c r="A1607" s="34"/>
      <c r="I1607" s="78"/>
      <c r="J1607" s="78"/>
      <c r="K1607" s="78"/>
      <c r="L1607" s="78"/>
      <c r="V1607" s="78"/>
      <c r="W1607" s="78"/>
      <c r="X1607" s="78"/>
    </row>
    <row r="1608" spans="1:24">
      <c r="A1608" s="34"/>
      <c r="I1608" s="78"/>
      <c r="J1608" s="78"/>
      <c r="K1608" s="78"/>
      <c r="L1608" s="78"/>
      <c r="V1608" s="78"/>
      <c r="W1608" s="78"/>
      <c r="X1608" s="78"/>
    </row>
    <row r="1609" spans="1:24">
      <c r="A1609" s="34"/>
      <c r="I1609" s="78"/>
      <c r="J1609" s="78"/>
      <c r="K1609" s="78"/>
      <c r="L1609" s="78"/>
      <c r="V1609" s="78"/>
      <c r="W1609" s="78"/>
      <c r="X1609" s="78"/>
    </row>
    <row r="1610" spans="1:24">
      <c r="A1610" s="34"/>
      <c r="I1610" s="78"/>
      <c r="J1610" s="78"/>
      <c r="K1610" s="78"/>
      <c r="L1610" s="78"/>
      <c r="V1610" s="78"/>
      <c r="W1610" s="78"/>
      <c r="X1610" s="78"/>
    </row>
    <row r="1611" spans="1:24">
      <c r="A1611" s="34"/>
      <c r="I1611" s="78"/>
      <c r="J1611" s="78"/>
      <c r="K1611" s="78"/>
      <c r="L1611" s="78"/>
      <c r="V1611" s="78"/>
      <c r="W1611" s="78"/>
      <c r="X1611" s="78"/>
    </row>
    <row r="1612" spans="1:24">
      <c r="A1612" s="34"/>
      <c r="I1612" s="78"/>
      <c r="J1612" s="78"/>
      <c r="K1612" s="78"/>
      <c r="L1612" s="78"/>
      <c r="V1612" s="78"/>
      <c r="W1612" s="78"/>
      <c r="X1612" s="78"/>
    </row>
    <row r="1613" spans="1:24">
      <c r="A1613" s="34"/>
      <c r="I1613" s="78"/>
      <c r="J1613" s="78"/>
      <c r="K1613" s="78"/>
      <c r="L1613" s="78"/>
      <c r="V1613" s="78"/>
      <c r="W1613" s="78"/>
      <c r="X1613" s="78"/>
    </row>
    <row r="1614" spans="1:24">
      <c r="A1614" s="34"/>
      <c r="I1614" s="78"/>
      <c r="J1614" s="78"/>
      <c r="K1614" s="78"/>
      <c r="L1614" s="78"/>
      <c r="V1614" s="78"/>
      <c r="W1614" s="78"/>
      <c r="X1614" s="78"/>
    </row>
    <row r="1615" spans="1:24">
      <c r="A1615" s="34"/>
      <c r="I1615" s="78"/>
      <c r="J1615" s="78"/>
      <c r="K1615" s="78"/>
      <c r="L1615" s="78"/>
      <c r="V1615" s="78"/>
      <c r="W1615" s="78"/>
      <c r="X1615" s="78"/>
    </row>
    <row r="1616" spans="1:24">
      <c r="A1616" s="34"/>
      <c r="I1616" s="78"/>
      <c r="J1616" s="78"/>
      <c r="K1616" s="78"/>
      <c r="L1616" s="78"/>
      <c r="V1616" s="78"/>
      <c r="W1616" s="78"/>
      <c r="X1616" s="78"/>
    </row>
    <row r="1617" spans="1:24">
      <c r="A1617" s="34"/>
      <c r="I1617" s="78"/>
      <c r="J1617" s="78"/>
      <c r="K1617" s="78"/>
      <c r="L1617" s="78"/>
      <c r="V1617" s="78"/>
      <c r="W1617" s="78"/>
      <c r="X1617" s="78"/>
    </row>
    <row r="1618" spans="1:24">
      <c r="A1618" s="34"/>
      <c r="I1618" s="78"/>
      <c r="J1618" s="78"/>
      <c r="K1618" s="78"/>
      <c r="L1618" s="78"/>
      <c r="V1618" s="78"/>
      <c r="W1618" s="78"/>
      <c r="X1618" s="78"/>
    </row>
    <row r="1619" spans="1:24">
      <c r="A1619" s="34"/>
      <c r="I1619" s="78"/>
      <c r="J1619" s="78"/>
      <c r="K1619" s="78"/>
      <c r="L1619" s="78"/>
      <c r="V1619" s="78"/>
      <c r="W1619" s="78"/>
      <c r="X1619" s="78"/>
    </row>
    <row r="1620" spans="1:24">
      <c r="A1620" s="34"/>
      <c r="I1620" s="78"/>
      <c r="J1620" s="78"/>
      <c r="K1620" s="78"/>
      <c r="L1620" s="78"/>
      <c r="V1620" s="78"/>
      <c r="W1620" s="78"/>
      <c r="X1620" s="78"/>
    </row>
    <row r="1621" spans="1:24">
      <c r="A1621" s="34"/>
      <c r="I1621" s="78"/>
      <c r="J1621" s="78"/>
      <c r="K1621" s="78"/>
      <c r="L1621" s="78"/>
      <c r="V1621" s="78"/>
      <c r="W1621" s="78"/>
      <c r="X1621" s="78"/>
    </row>
    <row r="1622" spans="1:24">
      <c r="A1622" s="34"/>
      <c r="I1622" s="78"/>
      <c r="J1622" s="78"/>
      <c r="K1622" s="78"/>
      <c r="L1622" s="78"/>
      <c r="V1622" s="78"/>
      <c r="W1622" s="78"/>
      <c r="X1622" s="78"/>
    </row>
    <row r="1623" spans="1:24">
      <c r="A1623" s="34"/>
      <c r="I1623" s="78"/>
      <c r="J1623" s="78"/>
      <c r="K1623" s="78"/>
      <c r="L1623" s="78"/>
      <c r="V1623" s="78"/>
      <c r="W1623" s="78"/>
      <c r="X1623" s="78"/>
    </row>
    <row r="1624" spans="1:24">
      <c r="A1624" s="34"/>
      <c r="I1624" s="78"/>
      <c r="J1624" s="78"/>
      <c r="K1624" s="78"/>
      <c r="L1624" s="78"/>
      <c r="V1624" s="78"/>
      <c r="W1624" s="78"/>
      <c r="X1624" s="78"/>
    </row>
    <row r="1625" spans="1:24">
      <c r="A1625" s="34"/>
      <c r="I1625" s="78"/>
      <c r="J1625" s="78"/>
      <c r="K1625" s="78"/>
      <c r="L1625" s="78"/>
      <c r="V1625" s="78"/>
      <c r="W1625" s="78"/>
      <c r="X1625" s="78"/>
    </row>
    <row r="1626" spans="1:24">
      <c r="A1626" s="34"/>
      <c r="I1626" s="78"/>
      <c r="J1626" s="78"/>
      <c r="K1626" s="78"/>
      <c r="L1626" s="78"/>
      <c r="V1626" s="78"/>
      <c r="W1626" s="78"/>
      <c r="X1626" s="78"/>
    </row>
  </sheetData>
  <phoneticPr fontId="1" type="noConversion"/>
  <dataValidations count="1">
    <dataValidation type="custom" allowBlank="1" showInputMessage="1" showErrorMessage="1" sqref="J2:L402 V2:X402">
      <formula1>AND(ISNUMBER(J2),(NOT(OR(NOT(ISERROR(DATEVALUE(J2))), AND(ISNUMBER(J2), LEFT(CELL("format", J2))="D")))))</formula1>
    </dataValidation>
  </dataValidations>
  <pageMargins left="0.70" right="0.70" top="0.75" bottom="0.75" header="0.30" footer="0.3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Erdem Ergul</cp:lastModifiedBy>
  <cp:version>10.105.307.56236</cp:version>
  <dcterms:modified xsi:type="dcterms:W3CDTF">2026-06-02T21:14:12Z</dcterms:modified>
</cp:coreProperties>
</file>